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ummary" sheetId="1" r:id="rId1"/>
    <sheet name="Mentions" sheetId="2" r:id="rId2"/>
    <sheet name="Review_Queue" sheetId="3" r:id="rId3"/>
    <sheet name="People" sheetId="4" r:id="rId4"/>
    <sheet name="Notification_List" sheetId="5" r:id="rId5"/>
    <sheet name="Excluded" sheetId="6" r:id="rId6"/>
    <sheet name="About" sheetId="7" r:id="rId7"/>
  </sheets>
  <definedNames>
    <definedName name="RunDate">Summary!$B$3</definedName>
    <definedName name="RunId">Summary!$B$2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<sst xmlns="http://schemas.openxmlformats.org/spreadsheetml/2006/main" count="22150" uniqueCount="3064">
  <si>
    <t>BreachLens review workbook - SYNTHETIC DATA, NOT REAL</t>
  </si>
  <si>
    <t>RunId</t>
  </si>
  <si>
    <t>R20261020-011706-51da</t>
  </si>
  <si>
    <t>RunDate (as_of_date)</t>
  </si>
  <si>
    <t>Excel = live formula; Python = value from the pipeline; match = Excel = Python</t>
  </si>
  <si>
    <t>section</t>
  </si>
  <si>
    <t>item</t>
  </si>
  <si>
    <t>excel</t>
  </si>
  <si>
    <t>python</t>
  </si>
  <si>
    <t>match</t>
  </si>
  <si>
    <t>KPI</t>
  </si>
  <si>
    <t>People</t>
  </si>
  <si>
    <t>Mentions</t>
  </si>
  <si>
    <t>Collapse ratio (mentions per person)</t>
  </si>
  <si>
    <t>People to notify</t>
  </si>
  <si>
    <t>Notify status READY</t>
  </si>
  <si>
    <t>Notify status NEEDS_REVIEW</t>
  </si>
  <si>
    <t>Notify status NOT_REQUIRED</t>
  </si>
  <si>
    <t>Excel status formula agrees with Python</t>
  </si>
  <si>
    <t>People needing review</t>
  </si>
  <si>
    <t>Minors (flag)</t>
  </si>
  <si>
    <t>Minors (DATEDIF from RunDate)</t>
  </si>
  <si>
    <t>FERPA flagged</t>
  </si>
  <si>
    <t>SSN + medical exposed</t>
  </si>
  <si>
    <t>Review items open</t>
  </si>
  <si>
    <t>Open COLUMN items</t>
  </si>
  <si>
    <t>Open MENTION items</t>
  </si>
  <si>
    <t>Open PAIR items</t>
  </si>
  <si>
    <t>Rows affected by open COLUMN items</t>
  </si>
  <si>
    <t>Resolved COLUMN items (review_overrides.yaml)</t>
  </si>
  <si>
    <t>Review items PENDING (reviewer column)</t>
  </si>
  <si>
    <t>Excluded entities/identifiers</t>
  </si>
  <si>
    <t>To notify by state</t>
  </si>
  <si>
    <t>CA</t>
  </si>
  <si>
    <t>FL</t>
  </si>
  <si>
    <t>MA</t>
  </si>
  <si>
    <t>NJ</t>
  </si>
  <si>
    <t>NY</t>
  </si>
  <si>
    <t>PA</t>
  </si>
  <si>
    <t>TX</t>
  </si>
  <si>
    <t>VA</t>
  </si>
  <si>
    <t>SSN + medical by state</t>
  </si>
  <si>
    <t>Top reason codes (mentions)</t>
  </si>
  <si>
    <t>ADDR_GEOCODE_NOMATCH</t>
  </si>
  <si>
    <t>DUPLICATE_CANDIDATE</t>
  </si>
  <si>
    <t>COL_MAPPING_LOW_CONF</t>
  </si>
  <si>
    <t>DOB_MINOR</t>
  </si>
  <si>
    <t>NOTIFY_STATE_UNKNOWN</t>
  </si>
  <si>
    <t>PERSON_NO_QUALIFYING_ELEMENT</t>
  </si>
  <si>
    <t>FERPA_RECORD</t>
  </si>
  <si>
    <t>ADDR_LINE2_SPLIT</t>
  </si>
  <si>
    <t>XL_DATE_SERIAL_CONVERTED</t>
  </si>
  <si>
    <t>DOB_TWO_DIGIT_YEAR</t>
  </si>
  <si>
    <t>mention_id</t>
  </si>
  <si>
    <t>source_type</t>
  </si>
  <si>
    <t>doc_id</t>
  </si>
  <si>
    <t>page</t>
  </si>
  <si>
    <t>source_file</t>
  </si>
  <si>
    <t>source_sheet</t>
  </si>
  <si>
    <t>source_row</t>
  </si>
  <si>
    <t>related_mention_id</t>
  </si>
  <si>
    <t>doc_type</t>
  </si>
  <si>
    <t>doc_date</t>
  </si>
  <si>
    <t>person_role</t>
  </si>
  <si>
    <t>entity_type</t>
  </si>
  <si>
    <t>name_title</t>
  </si>
  <si>
    <t>first_name</t>
  </si>
  <si>
    <t>middle_name</t>
  </si>
  <si>
    <t>middle_initial</t>
  </si>
  <si>
    <t>last_name</t>
  </si>
  <si>
    <t>name_suffix</t>
  </si>
  <si>
    <t>name_order_detected</t>
  </si>
  <si>
    <t>address_line1</t>
  </si>
  <si>
    <t>address_line2</t>
  </si>
  <si>
    <t>city</t>
  </si>
  <si>
    <t>state</t>
  </si>
  <si>
    <t>zip5</t>
  </si>
  <si>
    <t>zip4</t>
  </si>
  <si>
    <t>country</t>
  </si>
  <si>
    <t>address_status</t>
  </si>
  <si>
    <t>address_suggestion</t>
  </si>
  <si>
    <t>address_source</t>
  </si>
  <si>
    <t>phone</t>
  </si>
  <si>
    <t>email</t>
  </si>
  <si>
    <t>dob</t>
  </si>
  <si>
    <t>age_at_run</t>
  </si>
  <si>
    <t>is_minor</t>
  </si>
  <si>
    <t>ssn_present</t>
  </si>
  <si>
    <t>ssn_masked</t>
  </si>
  <si>
    <t>ssn_valid</t>
  </si>
  <si>
    <t>dl_present</t>
  </si>
  <si>
    <t>dl_masked</t>
  </si>
  <si>
    <t>dl_valid</t>
  </si>
  <si>
    <t>dl_state</t>
  </si>
  <si>
    <t>state_id_present</t>
  </si>
  <si>
    <t>state_id_masked</t>
  </si>
  <si>
    <t>state_id_valid</t>
  </si>
  <si>
    <t>state_id_state</t>
  </si>
  <si>
    <t>passport_present</t>
  </si>
  <si>
    <t>passport_masked</t>
  </si>
  <si>
    <t>passport_valid</t>
  </si>
  <si>
    <t>passport_country</t>
  </si>
  <si>
    <t>bank_account_present</t>
  </si>
  <si>
    <t>bank_account_masked</t>
  </si>
  <si>
    <t>bank_account_valid</t>
  </si>
  <si>
    <t>routing_number_present</t>
  </si>
  <si>
    <t>routing_number_valid</t>
  </si>
  <si>
    <t>card_present</t>
  </si>
  <si>
    <t>card_masked</t>
  </si>
  <si>
    <t>card_valid</t>
  </si>
  <si>
    <t>mrn_present</t>
  </si>
  <si>
    <t>mrn_masked</t>
  </si>
  <si>
    <t>health_member_id_present</t>
  </si>
  <si>
    <t>health_member_id_masked</t>
  </si>
  <si>
    <t>health_group_number_present</t>
  </si>
  <si>
    <t>insurer_name</t>
  </si>
  <si>
    <t>diagnosis_present</t>
  </si>
  <si>
    <t>procedure_present</t>
  </si>
  <si>
    <t>date_of_service_present</t>
  </si>
  <si>
    <t>employee_id_present</t>
  </si>
  <si>
    <t>employer_name</t>
  </si>
  <si>
    <t>student_id_present</t>
  </si>
  <si>
    <t>student_id_masked</t>
  </si>
  <si>
    <t>school_name</t>
  </si>
  <si>
    <t>ferpa_flag</t>
  </si>
  <si>
    <t>field_confidence</t>
  </si>
  <si>
    <t>extraction_method</t>
  </si>
  <si>
    <t>qc_status</t>
  </si>
  <si>
    <t>qc_reasons</t>
  </si>
  <si>
    <t>person_id</t>
  </si>
  <si>
    <t>cluster_confidence</t>
  </si>
  <si>
    <t>review_status</t>
  </si>
  <si>
    <t>processed_at</t>
  </si>
  <si>
    <t>M00001</t>
  </si>
  <si>
    <t>PDF</t>
  </si>
  <si>
    <t>D0001</t>
  </si>
  <si>
    <t>pdf/eob_letter_01.pdf</t>
  </si>
  <si>
    <t>EOB_LETTER</t>
  </si>
  <si>
    <t>PATIENT</t>
  </si>
  <si>
    <t>PERSON</t>
  </si>
  <si>
    <t>DR</t>
  </si>
  <si>
    <t>KERRY</t>
  </si>
  <si>
    <t>M</t>
  </si>
  <si>
    <t>SMITH</t>
  </si>
  <si>
    <t>FIRST_LAST</t>
  </si>
  <si>
    <t>2600 FRESNO ST</t>
  </si>
  <si>
    <t>FRESNO</t>
  </si>
  <si>
    <t>93721</t>
  </si>
  <si>
    <t>US</t>
  </si>
  <si>
    <t>VERIFIED</t>
  </si>
  <si>
    <t>CENSUS</t>
  </si>
  <si>
    <t>********5850</t>
  </si>
  <si>
    <t>{"date_of_service": 0.96, "raw_address": 0.9584, "raw_name": 0.9375, "raw_member_id": 0.91, "raw_procedure": 0.96}</t>
  </si>
  <si>
    <t>OCR</t>
  </si>
  <si>
    <t>REVIEW</t>
  </si>
  <si>
    <t>NAME_TITLE_REMOVED;DUPLICATE_CANDIDATE</t>
  </si>
  <si>
    <t>P0001</t>
  </si>
  <si>
    <t>PENDING</t>
  </si>
  <si>
    <t>M00002</t>
  </si>
  <si>
    <t>D0002</t>
  </si>
  <si>
    <t>pdf/eob_letter_02.pdf</t>
  </si>
  <si>
    <t>REV</t>
  </si>
  <si>
    <t>SCOTT</t>
  </si>
  <si>
    <t>J</t>
  </si>
  <si>
    <t>WRIGHT</t>
  </si>
  <si>
    <t>120 N DUKE ST</t>
  </si>
  <si>
    <t>LANCASTER</t>
  </si>
  <si>
    <t>17602</t>
  </si>
  <si>
    <t>********3644</t>
  </si>
  <si>
    <t>{"date_of_service": 1.0, "raw_address": 1.0, "raw_name": 1.0, "raw_member_id": 1.0, "raw_procedure": 1.0}</t>
  </si>
  <si>
    <t>TEXT</t>
  </si>
  <si>
    <t>PASS</t>
  </si>
  <si>
    <t>NAME_TITLE_REMOVED</t>
  </si>
  <si>
    <t>P0002</t>
  </si>
  <si>
    <t>M00003</t>
  </si>
  <si>
    <t>D0003</t>
  </si>
  <si>
    <t>pdf/eob_letter_03.pdf</t>
  </si>
  <si>
    <t>TAMMY</t>
  </si>
  <si>
    <t>G</t>
  </si>
  <si>
    <t>ALLISON</t>
  </si>
  <si>
    <t>301 KING ST</t>
  </si>
  <si>
    <t>ALEXANDRIA</t>
  </si>
  <si>
    <t>22314</t>
  </si>
  <si>
    <t>********1631</t>
  </si>
  <si>
    <t>P0003</t>
  </si>
  <si>
    <t>M00004</t>
  </si>
  <si>
    <t>D0004</t>
  </si>
  <si>
    <t>pdf/eob_letter_04.pdf</t>
  </si>
  <si>
    <t>JOHN</t>
  </si>
  <si>
    <t>L</t>
  </si>
  <si>
    <t>DE LA VEGA</t>
  </si>
  <si>
    <t>10 E CHURCH ST</t>
  </si>
  <si>
    <t>BETHLEHEM</t>
  </si>
  <si>
    <t>18018</t>
  </si>
  <si>
    <t>********9933</t>
  </si>
  <si>
    <t>P0004</t>
  </si>
  <si>
    <t>M00005</t>
  </si>
  <si>
    <t>D0005</t>
  </si>
  <si>
    <t>pdf/eob_letter_05.pdf</t>
  </si>
  <si>
    <t>TIMOTHY</t>
  </si>
  <si>
    <t>VAN DYKE</t>
  </si>
  <si>
    <t>II</t>
  </si>
  <si>
    <t>4603 ANDERSON KEYS</t>
  </si>
  <si>
    <t>ORLANDO</t>
  </si>
  <si>
    <t>32825</t>
  </si>
  <si>
    <t>UNVERIFIED</t>
  </si>
  <si>
    <t>********3348</t>
  </si>
  <si>
    <t>P0005</t>
  </si>
  <si>
    <t>M00006</t>
  </si>
  <si>
    <t>D0006</t>
  </si>
  <si>
    <t>pdf/eob_letter_06.pdf</t>
  </si>
  <si>
    <t>BRADLEY</t>
  </si>
  <si>
    <t>C</t>
  </si>
  <si>
    <t>TUCKER</t>
  </si>
  <si>
    <t>III</t>
  </si>
  <si>
    <t>447 S SALINA ST</t>
  </si>
  <si>
    <t>SYRACUSE</t>
  </si>
  <si>
    <t>13202</t>
  </si>
  <si>
    <t>********4978</t>
  </si>
  <si>
    <t>P0006</t>
  </si>
  <si>
    <t>M00007</t>
  </si>
  <si>
    <t>D0007</t>
  </si>
  <si>
    <t>pdf/eob_letter_07.pdf</t>
  </si>
  <si>
    <t>PHILIP</t>
  </si>
  <si>
    <t>D</t>
  </si>
  <si>
    <t>CANNON</t>
  </si>
  <si>
    <t>303 GENESEE ST</t>
  </si>
  <si>
    <t>UTICA</t>
  </si>
  <si>
    <t>13501</t>
  </si>
  <si>
    <t>********6816</t>
  </si>
  <si>
    <t>P0007</t>
  </si>
  <si>
    <t>M00008</t>
  </si>
  <si>
    <t>D0008</t>
  </si>
  <si>
    <t>pdf/eob_letter_08.pdf</t>
  </si>
  <si>
    <t>ALICIA</t>
  </si>
  <si>
    <t>N</t>
  </si>
  <si>
    <t>HICKMAN</t>
  </si>
  <si>
    <t>65 NIAGARA SQ</t>
  </si>
  <si>
    <t>BUFFALO</t>
  </si>
  <si>
    <t>14202</t>
  </si>
  <si>
    <t>********8917</t>
  </si>
  <si>
    <t>P0008</t>
  </si>
  <si>
    <t>M00009</t>
  </si>
  <si>
    <t>D0009</t>
  </si>
  <si>
    <t>pdf/health_claim_01.pdf</t>
  </si>
  <si>
    <t>HEALTH_CLAIM</t>
  </si>
  <si>
    <t>INSURED</t>
  </si>
  <si>
    <t>ERIC</t>
  </si>
  <si>
    <t>CARNEY</t>
  </si>
  <si>
    <t>LAST_COMMA_FIRST</t>
  </si>
  <si>
    <t>1520 K AVE</t>
  </si>
  <si>
    <t>PLANO</t>
  </si>
  <si>
    <t>75074</t>
  </si>
  <si>
    <t>********0515</t>
  </si>
  <si>
    <t>BAYVIEW MUTUAL HEALTH PLAN</t>
  </si>
  <si>
    <t>{"insurer_name": 1.0, "raw_address": 1.0, "raw_name": 1.0, "raw_group_number": 1.0, "raw_member_id": 1.0}</t>
  </si>
  <si>
    <t>P0009</t>
  </si>
  <si>
    <t>M00010</t>
  </si>
  <si>
    <t>MICHELLE</t>
  </si>
  <si>
    <t>E</t>
  </si>
  <si>
    <t>{"date_of_service": 1.0, "dob": 1.0, "insurer_name": 1.0, "raw_address": 1.0, "raw_name": 1.0, "relationship": 1.0, "raw_diagnosis": 1.0, "raw_procedure": 1.0}</t>
  </si>
  <si>
    <t>DOB_MINOR;DUPLICATE_CANDIDATE</t>
  </si>
  <si>
    <t>P0010</t>
  </si>
  <si>
    <t>M00011</t>
  </si>
  <si>
    <t>D0010</t>
  </si>
  <si>
    <t>pdf/health_claim_02.pdf</t>
  </si>
  <si>
    <t>LEE</t>
  </si>
  <si>
    <t>K</t>
  </si>
  <si>
    <t>HERNANDEZ</t>
  </si>
  <si>
    <t>828 I ST</t>
  </si>
  <si>
    <t>SACRAMNETO</t>
  </si>
  <si>
    <t>95814</t>
  </si>
  <si>
    <t>CORRECTED</t>
  </si>
  <si>
    <t>828 I ST, SACRAMENTO, CA 95814</t>
  </si>
  <si>
    <t>********9533</t>
  </si>
  <si>
    <t>{"date_of_service": 0.95, "dob": 0.96, "insurer_name": 0.945, "raw_address": 0.935, "raw_name": 0.9033, "relationship": 0.955, "raw_diagnosis": 0.79, "raw_procedure": 0.96}</t>
  </si>
  <si>
    <t>ADDR_ZIP_CITY_MISMATCH;DOB_TWO_DIGIT_YEAR;LOW_OCR_CONFIDENCE;DUPLICATE_CANDIDATE</t>
  </si>
  <si>
    <t>P0011</t>
  </si>
  <si>
    <t>M00012</t>
  </si>
  <si>
    <t>D0011</t>
  </si>
  <si>
    <t>pdf/health_claim_03.pdf</t>
  </si>
  <si>
    <t>BRYAN</t>
  </si>
  <si>
    <t>WALKER</t>
  </si>
  <si>
    <t>1201 LEOPARD ST</t>
  </si>
  <si>
    <t>CORPUS CHRISTI</t>
  </si>
  <si>
    <t>7840</t>
  </si>
  <si>
    <t>INVALID</t>
  </si>
  <si>
    <t>********5569</t>
  </si>
  <si>
    <t>{"date_of_service": 0.9267, "dob": 0.9167, "insurer_name": 0.9475, "raw_address": 0.9586, "raw_name": 0.94, "relationship": 0.95, "raw_diagnosis": 0.71, "raw_procedure": 0.69}</t>
  </si>
  <si>
    <t>FAIL</t>
  </si>
  <si>
    <t>ADDR_ZIP_FORMAT;LOW_OCR_CONFIDENCE</t>
  </si>
  <si>
    <t>P0012</t>
  </si>
  <si>
    <t>M00013</t>
  </si>
  <si>
    <t>D0012</t>
  </si>
  <si>
    <t>pdf/health_claim_04.pdf</t>
  </si>
  <si>
    <t>M00014</t>
  </si>
  <si>
    <t>D0013</t>
  </si>
  <si>
    <t>pdf/health_claim_05.pdf</t>
  </si>
  <si>
    <t>RICHARD</t>
  </si>
  <si>
    <t>R</t>
  </si>
  <si>
    <t>GIBSON</t>
  </si>
  <si>
    <t>795 MASSACHUSETTS AVE</t>
  </si>
  <si>
    <t>CAMBRIDGE</t>
  </si>
  <si>
    <t>02139</t>
  </si>
  <si>
    <t>********2586</t>
  </si>
  <si>
    <t>DUPLICATE_CANDIDATE;NOTIFY_STATE_UNKNOWN</t>
  </si>
  <si>
    <t>P0013</t>
  </si>
  <si>
    <t>M00015</t>
  </si>
  <si>
    <t>CYNTHIA</t>
  </si>
  <si>
    <t>DOB_MINOR;DUPLICATE_CANDIDATE;NOTIFY_STATE_UNKNOWN</t>
  </si>
  <si>
    <t>P0014</t>
  </si>
  <si>
    <t>M00016</t>
  </si>
  <si>
    <t>D0014</t>
  </si>
  <si>
    <t>pdf/health_claim_06.pdf</t>
  </si>
  <si>
    <t>LEAH</t>
  </si>
  <si>
    <t>ANDERSON</t>
  </si>
  <si>
    <t>315 E KENNEDY BLVD</t>
  </si>
  <si>
    <t>TAMPA</t>
  </si>
  <si>
    <t>33602</t>
  </si>
  <si>
    <t>{"insurer_name": 0.8775, "raw_address": 0.9443, "raw_name": 0.9567}</t>
  </si>
  <si>
    <t>PERSON_NO_QUALIFYING_ELEMENT;DUPLICATE_CANDIDATE</t>
  </si>
  <si>
    <t>P0015</t>
  </si>
  <si>
    <t>M00017</t>
  </si>
  <si>
    <t>LAUREN</t>
  </si>
  <si>
    <t>A</t>
  </si>
  <si>
    <t>{"date_of_service": 0.96, "dob": 0.69, "insurer_name": 0.8775, "raw_address": 0.9443, "raw_name": 0.9533, "relationship": 0.955, "raw_diagnosis": 0.78, "raw_procedure": 0.95}</t>
  </si>
  <si>
    <t>DOB_TWO_DIGIT_YEAR;LOW_OCR_CONFIDENCE;DUPLICATE_CANDIDATE</t>
  </si>
  <si>
    <t>P0016</t>
  </si>
  <si>
    <t>M00018</t>
  </si>
  <si>
    <t>D0015</t>
  </si>
  <si>
    <t>pdf/health_claim_07.pdf</t>
  </si>
  <si>
    <t>CHRISTOPHER</t>
  </si>
  <si>
    <t>GAINES</t>
  </si>
  <si>
    <t>100 LARKIN ST</t>
  </si>
  <si>
    <t>SAN FRANCISCO</t>
  </si>
  <si>
    <t>94102</t>
  </si>
  <si>
    <t>P0017</t>
  </si>
  <si>
    <t>M00019</t>
  </si>
  <si>
    <t>D0016</t>
  </si>
  <si>
    <t>pdf/health_claim_08.pdf</t>
  </si>
  <si>
    <t>DOB_TWO_DIGIT_YEAR;DUPLICATE_CANDIDATE</t>
  </si>
  <si>
    <t>M00020</t>
  </si>
  <si>
    <t>D0017</t>
  </si>
  <si>
    <t>pdf/new_hire_id_01.pdf</t>
  </si>
  <si>
    <t>NEW_HIRE_ID</t>
  </si>
  <si>
    <t>NEW_HIRE</t>
  </si>
  <si>
    <t>+16195550190</t>
  </si>
  <si>
    <t>christopher.gaines11@example.net</t>
  </si>
  <si>
    <t>***-**-3336</t>
  </si>
  <si>
    <t>****2257</t>
  </si>
  <si>
    <t>DL_FORMAT_STATE</t>
  </si>
  <si>
    <t>HARBORLINE LOGISTICS INC</t>
  </si>
  <si>
    <t>{"dl_state": 1.0, "dob": 1.0, "email": 1.0, "employer_name": 1.0, "hire_date": 1.0, "phone": 1.0, "raw_address": 1.0, "raw_name": 1.0, "raw_dl": 1.0, "raw_ssn": 1.0}</t>
  </si>
  <si>
    <t>M00021</t>
  </si>
  <si>
    <t>D0018</t>
  </si>
  <si>
    <t>pdf/new_hire_id_02.pdf</t>
  </si>
  <si>
    <t>EDWIN</t>
  </si>
  <si>
    <t>FOWLER</t>
  </si>
  <si>
    <t>2461 BRYANT TERRACE</t>
  </si>
  <si>
    <t>GREENFIELD</t>
  </si>
  <si>
    <t>93927</t>
  </si>
  <si>
    <t>+19165550135</t>
  </si>
  <si>
    <t>***-**-2648</t>
  </si>
  <si>
    <t>****1343</t>
  </si>
  <si>
    <t>DL_STATE_MISSING</t>
  </si>
  <si>
    <t>{"dob": 1.0, "employer_name": 1.0, "hire_date": 1.0, "phone": 1.0, "raw_address": 1.0, "raw_name": 1.0, "raw_dl": 1.0, "raw_ssn": 1.0}</t>
  </si>
  <si>
    <t>DL_STATE_MISSING;ADDR_GEOCODE_NOMATCH</t>
  </si>
  <si>
    <t>P0018</t>
  </si>
  <si>
    <t>M00022</t>
  </si>
  <si>
    <t>D0019</t>
  </si>
  <si>
    <t>pdf/new_hire_id_03.pdf</t>
  </si>
  <si>
    <t>JOSHUA</t>
  </si>
  <si>
    <t>O'BRIEN</t>
  </si>
  <si>
    <t>330 PARK BLVD</t>
  </si>
  <si>
    <t>UPPER</t>
  </si>
  <si>
    <t>SAN DIEGO</t>
  </si>
  <si>
    <t>92101</t>
  </si>
  <si>
    <t>+15105550181</t>
  </si>
  <si>
    <t>joshua.obrien36@example.com</t>
  </si>
  <si>
    <t>***-**-2901</t>
  </si>
  <si>
    <t>****7095</t>
  </si>
  <si>
    <t>NAME_PUNCT_FIXED;ADDR_LINE2_SPLIT</t>
  </si>
  <si>
    <t>P0019</t>
  </si>
  <si>
    <t>M00023</t>
  </si>
  <si>
    <t>D0020</t>
  </si>
  <si>
    <t>pdf/new_hire_id_04.pdf</t>
  </si>
  <si>
    <t>+17035550138</t>
  </si>
  <si>
    <t>***-**-8923</t>
  </si>
  <si>
    <t>*****8902</t>
  </si>
  <si>
    <t>{"dl_state": 0.96, "dob": 0.95, "hire_date": 0.96, "phone": 0.91, "raw_address": 0.9583, "raw_name": 0.95, "raw_dl": 0.91, "raw_ssn": 0.91}</t>
  </si>
  <si>
    <t>M00024</t>
  </si>
  <si>
    <t>D0021</t>
  </si>
  <si>
    <t>pdf/new_hire_id_05.pdf</t>
  </si>
  <si>
    <t>CONNOR</t>
  </si>
  <si>
    <t>DAVIS</t>
  </si>
  <si>
    <t>626 STATE ST</t>
  </si>
  <si>
    <t>ERIE</t>
  </si>
  <si>
    <t>16501</t>
  </si>
  <si>
    <t>+16105550191</t>
  </si>
  <si>
    <t>connor.davis89@example.org</t>
  </si>
  <si>
    <t>***-**-2980</t>
  </si>
  <si>
    <t>*****6887</t>
  </si>
  <si>
    <t>{"dob": 1.0, "email": 1.0, "employer_name": 1.0, "hire_date": 1.0, "phone": 1.0, "raw_address": 1.0, "raw_name": 1.0, "raw_passport": 1.0, "raw_ssn": 1.0}</t>
  </si>
  <si>
    <t>P0020</t>
  </si>
  <si>
    <t>M00025</t>
  </si>
  <si>
    <t>D0022</t>
  </si>
  <si>
    <t>pdf/new_hire_id_06.pdf</t>
  </si>
  <si>
    <t>JOSÉ</t>
  </si>
  <si>
    <t>MUÑOZ</t>
  </si>
  <si>
    <t>600 SOLEDAD ST</t>
  </si>
  <si>
    <t>SAN ANTONIO</t>
  </si>
  <si>
    <t>78205</t>
  </si>
  <si>
    <t>+15125550120</t>
  </si>
  <si>
    <t>***-**-4051</t>
  </si>
  <si>
    <t>****2392</t>
  </si>
  <si>
    <t>{"dl_state": 1.0, "dob": 1.0, "employer_name": 1.0, "hire_date": 1.0, "phone": 1.0, "raw_address": 1.0, "raw_name": 1.0, "raw_dl": 1.0, "raw_ssn": 1.0}</t>
  </si>
  <si>
    <t>P0021</t>
  </si>
  <si>
    <t>M00026</t>
  </si>
  <si>
    <t>D0023</t>
  </si>
  <si>
    <t>pdf/wage_statement_01.pdf</t>
  </si>
  <si>
    <t>WAGE_STATEMENT</t>
  </si>
  <si>
    <t>EMPLOYEE</t>
  </si>
  <si>
    <t>JOAN</t>
  </si>
  <si>
    <t>HENDERSON</t>
  </si>
  <si>
    <t>235 E PLUME ST</t>
  </si>
  <si>
    <t>NORFOLK</t>
  </si>
  <si>
    <t>23510</t>
  </si>
  <si>
    <t>***-**-7217</t>
  </si>
  <si>
    <t>{"employer_name": 1.0, "raw_address": 1.0, "raw_name": 1.0, "raw_ssn": 1.0}</t>
  </si>
  <si>
    <t>P0022</t>
  </si>
  <si>
    <t>M00027</t>
  </si>
  <si>
    <t>D0024</t>
  </si>
  <si>
    <t>pdf/wage_statement_02.pdf</t>
  </si>
  <si>
    <t>ROBERT</t>
  </si>
  <si>
    <t>B</t>
  </si>
  <si>
    <t>PIERCE</t>
  </si>
  <si>
    <t>605 E MAIN ST</t>
  </si>
  <si>
    <t>CHARLOTTESVILLE</t>
  </si>
  <si>
    <t>22902</t>
  </si>
  <si>
    <t>***-**-7026</t>
  </si>
  <si>
    <t>P0023</t>
  </si>
  <si>
    <t>M00028</t>
  </si>
  <si>
    <t>D0025</t>
  </si>
  <si>
    <t>pdf/wage_statement_03.pdf</t>
  </si>
  <si>
    <t>BENJAMIN</t>
  </si>
  <si>
    <t>YOUNG</t>
  </si>
  <si>
    <t>JR</t>
  </si>
  <si>
    <t>101 E CENTRAL BLVD</t>
  </si>
  <si>
    <t>32801</t>
  </si>
  <si>
    <t>***-**-9950</t>
  </si>
  <si>
    <t>{"employer_name": 0.94, "raw_address": 0.9457, "raw_name": 0.9567, "raw_ssn": 0.88}</t>
  </si>
  <si>
    <t>P0024</t>
  </si>
  <si>
    <t>M00029</t>
  </si>
  <si>
    <t>D0027</t>
  </si>
  <si>
    <t>pdf/wage_statement_04.pdf</t>
  </si>
  <si>
    <t>M00030</t>
  </si>
  <si>
    <t>D0028</t>
  </si>
  <si>
    <t>pdf/wage_statement_05.pdf</t>
  </si>
  <si>
    <t>KAREN</t>
  </si>
  <si>
    <t>GARCIA-LOPEZ</t>
  </si>
  <si>
    <t>115 SOUTH AVE</t>
  </si>
  <si>
    <t>ROCHESTER</t>
  </si>
  <si>
    <t>14604</t>
  </si>
  <si>
    <t>***-**-2415</t>
  </si>
  <si>
    <t>P0025</t>
  </si>
  <si>
    <t>M00031</t>
  </si>
  <si>
    <t>D0029</t>
  </si>
  <si>
    <t>pdf/wage_statement_06.pdf</t>
  </si>
  <si>
    <t>JESSICA</t>
  </si>
  <si>
    <t>OWENS</t>
  </si>
  <si>
    <t>4400 FORBES AVE</t>
  </si>
  <si>
    <t>PITTSBURGH</t>
  </si>
  <si>
    <t>15213</t>
  </si>
  <si>
    <t>***-**-8005</t>
  </si>
  <si>
    <t>{"employer_name": 0.94, "raw_address": 0.9533, "raw_name": 0.9567, "raw_ssn": 0.9533}</t>
  </si>
  <si>
    <t>P0026</t>
  </si>
  <si>
    <t>M00032</t>
  </si>
  <si>
    <t>D0030</t>
  </si>
  <si>
    <t>pdf/wage_statement_07.pdf</t>
  </si>
  <si>
    <t>SHANE</t>
  </si>
  <si>
    <t>710 W CESAR CHAVEZ ST</t>
  </si>
  <si>
    <t>AUSTIN</t>
  </si>
  <si>
    <t>78701</t>
  </si>
  <si>
    <t>***-**-0091</t>
  </si>
  <si>
    <t>{"employer_name": 0.94, "raw_address": 0.9475, "raw_name": 0.96, "raw_ssn": 0.91}</t>
  </si>
  <si>
    <t>P0027</t>
  </si>
  <si>
    <t>M00033</t>
  </si>
  <si>
    <t>D0031</t>
  </si>
  <si>
    <t>pdf/wage_statement_08.pdf</t>
  </si>
  <si>
    <t>{"employer_name": 0.9367, "raw_address": 0.9533, "raw_name": 0.96, "raw_ssn": 0.96}</t>
  </si>
  <si>
    <t>M00034</t>
  </si>
  <si>
    <t>SPREADSHEET</t>
  </si>
  <si>
    <t>D0032</t>
  </si>
  <si>
    <t>sheets/benefits_enrollment.xlsx</t>
  </si>
  <si>
    <t>Enrollment</t>
  </si>
  <si>
    <t>SUBSCRIBER</t>
  </si>
  <si>
    <t>TINA</t>
  </si>
  <si>
    <t>COWAN</t>
  </si>
  <si>
    <t>700 BOYLSTON ST</t>
  </si>
  <si>
    <t>BOSTON</t>
  </si>
  <si>
    <t>02116</t>
  </si>
  <si>
    <t>***-**-8168</t>
  </si>
  <si>
    <t>********9691</t>
  </si>
  <si>
    <t>{"ADDRESS_LINE1": 0.9211, "CITY": 0.967, "DOB": 0.6952, "EMPLOYEE_ID": 0.7174, "FIRST_NAME": 0.9379, "GROUP_NUMBER": 0.7068, "LAST_NAME": 0.9531, "MEMBER_ID": 0.7887, "OTHER": 0.795, "SSN": 0.8617, "STATE": 0.7369, "SUFFIX": 0.9621, "ZIP": 0.9589}</t>
  </si>
  <si>
    <t>SHEET</t>
  </si>
  <si>
    <t>P0028</t>
  </si>
  <si>
    <t>M00035</t>
  </si>
  <si>
    <t>ANTHONY</t>
  </si>
  <si>
    <t>HUMPHREY</t>
  </si>
  <si>
    <t>40 S BROADWAY</t>
  </si>
  <si>
    <t>YONKERS</t>
  </si>
  <si>
    <t>10701</t>
  </si>
  <si>
    <t>***-**-3229</t>
  </si>
  <si>
    <t>********2731</t>
  </si>
  <si>
    <t>P0029</t>
  </si>
  <si>
    <t>M00036</t>
  </si>
  <si>
    <t>DEPENDENT</t>
  </si>
  <si>
    <t>NICOLE</t>
  </si>
  <si>
    <t>P0030</t>
  </si>
  <si>
    <t>M00037</t>
  </si>
  <si>
    <t>BOBBY</t>
  </si>
  <si>
    <t>P0031</t>
  </si>
  <si>
    <t>M00038</t>
  </si>
  <si>
    <t>WELCH</t>
  </si>
  <si>
    <t>101 W FLAGLER ST</t>
  </si>
  <si>
    <t>MIAMI</t>
  </si>
  <si>
    <t>33130</t>
  </si>
  <si>
    <t>***-**-4559</t>
  </si>
  <si>
    <t>********5900</t>
  </si>
  <si>
    <t>P0032</t>
  </si>
  <si>
    <t>M00039</t>
  </si>
  <si>
    <t>***-**-6212</t>
  </si>
  <si>
    <t>M00040</t>
  </si>
  <si>
    <t>********8750</t>
  </si>
  <si>
    <t>M00041</t>
  </si>
  <si>
    <t>DANIELLE</t>
  </si>
  <si>
    <t>LEBLANC</t>
  </si>
  <si>
    <t>5107 MOORE VILLAGE</t>
  </si>
  <si>
    <t>LORTON</t>
  </si>
  <si>
    <t>22079</t>
  </si>
  <si>
    <t>***-**-4979</t>
  </si>
  <si>
    <t>********9642</t>
  </si>
  <si>
    <t>P0033</t>
  </si>
  <si>
    <t>M00042</t>
  </si>
  <si>
    <t>********6449</t>
  </si>
  <si>
    <t>M00043</t>
  </si>
  <si>
    <t>SHAWN</t>
  </si>
  <si>
    <t>BAKER</t>
  </si>
  <si>
    <t>2090 KITTREDGE ST</t>
  </si>
  <si>
    <t>BERKELEY</t>
  </si>
  <si>
    <t>94704</t>
  </si>
  <si>
    <t>***-**-8667</t>
  </si>
  <si>
    <t>********8867</t>
  </si>
  <si>
    <t>P0034</t>
  </si>
  <si>
    <t>M00044</t>
  </si>
  <si>
    <t>***-**-1376</t>
  </si>
  <si>
    <t>********4678</t>
  </si>
  <si>
    <t>M00045</t>
  </si>
  <si>
    <t>M00046</t>
  </si>
  <si>
    <t>TONYA</t>
  </si>
  <si>
    <t>P0035</t>
  </si>
  <si>
    <t>M00047</t>
  </si>
  <si>
    <t>STEVEN</t>
  </si>
  <si>
    <t>SALAZAR</t>
  </si>
  <si>
    <t>161 WASHINGTON AVE</t>
  </si>
  <si>
    <t>ALBANY</t>
  </si>
  <si>
    <t>12210</t>
  </si>
  <si>
    <t>***-**-1638</t>
  </si>
  <si>
    <t>********0822</t>
  </si>
  <si>
    <t>P0036</t>
  </si>
  <si>
    <t>M00048</t>
  </si>
  <si>
    <t>********5271</t>
  </si>
  <si>
    <t>M00049</t>
  </si>
  <si>
    <t>***-**-1443</t>
  </si>
  <si>
    <t>M00050</t>
  </si>
  <si>
    <t>********6878</t>
  </si>
  <si>
    <t>M00051</t>
  </si>
  <si>
    <t>REEVES</t>
  </si>
  <si>
    <t>***-**-4789</t>
  </si>
  <si>
    <t>********7749</t>
  </si>
  <si>
    <t>P0037</t>
  </si>
  <si>
    <t>M00052</t>
  </si>
  <si>
    <t>***-**-8850</t>
  </si>
  <si>
    <t>M00053</t>
  </si>
  <si>
    <t>M00054</t>
  </si>
  <si>
    <t>KATHRYN</t>
  </si>
  <si>
    <t>P0038</t>
  </si>
  <si>
    <t>M00055</t>
  </si>
  <si>
    <t>***-**-7245</t>
  </si>
  <si>
    <t>M00056</t>
  </si>
  <si>
    <t>***-**-5729</t>
  </si>
  <si>
    <t>M00057</t>
  </si>
  <si>
    <t>RONALD</t>
  </si>
  <si>
    <t>PARKER</t>
  </si>
  <si>
    <t>7965 ALBERT ROAD</t>
  </si>
  <si>
    <t>TIVOLI</t>
  </si>
  <si>
    <t>12583</t>
  </si>
  <si>
    <t>***-**-5664</t>
  </si>
  <si>
    <t>********6615</t>
  </si>
  <si>
    <t>P0039</t>
  </si>
  <si>
    <t>M00058</t>
  </si>
  <si>
    <t>LEWIS</t>
  </si>
  <si>
    <t>706 S JEFFERSON ST</t>
  </si>
  <si>
    <t>ROANOKE</t>
  </si>
  <si>
    <t>24016</t>
  </si>
  <si>
    <t>***-**-8805</t>
  </si>
  <si>
    <t>********2622</t>
  </si>
  <si>
    <t>P0040</t>
  </si>
  <si>
    <t>M00059</t>
  </si>
  <si>
    <t>M00060</t>
  </si>
  <si>
    <t>RENÉE</t>
  </si>
  <si>
    <t>LEFÈVRE</t>
  </si>
  <si>
    <t>5441 CHARLES FOREST</t>
  </si>
  <si>
    <t>LOWER</t>
  </si>
  <si>
    <t>HOUSTON</t>
  </si>
  <si>
    <t>77065</t>
  </si>
  <si>
    <t>***-**-6382</t>
  </si>
  <si>
    <t>********7758</t>
  </si>
  <si>
    <t>ADDR_LINE2_SPLIT;ADDR_GEOCODE_NOMATCH</t>
  </si>
  <si>
    <t>P0041</t>
  </si>
  <si>
    <t>M00061</t>
  </si>
  <si>
    <t>AMY</t>
  </si>
  <si>
    <t>P0042</t>
  </si>
  <si>
    <t>M00062</t>
  </si>
  <si>
    <t>KURT</t>
  </si>
  <si>
    <t>P0043</t>
  </si>
  <si>
    <t>M00063</t>
  </si>
  <si>
    <t>78408</t>
  </si>
  <si>
    <t>***-**-3614</t>
  </si>
  <si>
    <t>M00064</t>
  </si>
  <si>
    <t>********6120</t>
  </si>
  <si>
    <t>M00065</t>
  </si>
  <si>
    <t>***-**-0208</t>
  </si>
  <si>
    <t>M00066</t>
  </si>
  <si>
    <t>********7901</t>
  </si>
  <si>
    <t>M00067</t>
  </si>
  <si>
    <t>SACRAMENTO</t>
  </si>
  <si>
    <t>***-**-2089</t>
  </si>
  <si>
    <t>M00068</t>
  </si>
  <si>
    <t>EDWARD</t>
  </si>
  <si>
    <t>P0044</t>
  </si>
  <si>
    <t>M00069</t>
  </si>
  <si>
    <t>SAMUEL</t>
  </si>
  <si>
    <t>P0045</t>
  </si>
  <si>
    <t>M00070</t>
  </si>
  <si>
    <t>101 E FRANKLIN ST</t>
  </si>
  <si>
    <t>RICHMOND</t>
  </si>
  <si>
    <t>23219</t>
  </si>
  <si>
    <t>********5403</t>
  </si>
  <si>
    <t>M00071</t>
  </si>
  <si>
    <t>ALLEN</t>
  </si>
  <si>
    <t>3040 CANNON PIKE</t>
  </si>
  <si>
    <t>CHESAPEAKE</t>
  </si>
  <si>
    <t>23325</t>
  </si>
  <si>
    <t>***-**-0023</t>
  </si>
  <si>
    <t>********4864</t>
  </si>
  <si>
    <t>P0046</t>
  </si>
  <si>
    <t>M00072</t>
  </si>
  <si>
    <t>NATHAN</t>
  </si>
  <si>
    <t>WAGNER</t>
  </si>
  <si>
    <t>303 N LAURA ST</t>
  </si>
  <si>
    <t>JACKSONVILLE</t>
  </si>
  <si>
    <t>32202</t>
  </si>
  <si>
    <t>***-**-3257</t>
  </si>
  <si>
    <t>********3492</t>
  </si>
  <si>
    <t>P0047</t>
  </si>
  <si>
    <t>M00073</t>
  </si>
  <si>
    <t>CHRISTY</t>
  </si>
  <si>
    <t>RYAN</t>
  </si>
  <si>
    <t>501 N OREGON ST</t>
  </si>
  <si>
    <t>APT 6F</t>
  </si>
  <si>
    <t>EL PASO</t>
  </si>
  <si>
    <t>79901</t>
  </si>
  <si>
    <t>***-**-8703</t>
  </si>
  <si>
    <t>********7359</t>
  </si>
  <si>
    <t>ADDR_LINE2_SPLIT;ADDR_UNIT_FORMAT</t>
  </si>
  <si>
    <t>P0048</t>
  </si>
  <si>
    <t>M00074</t>
  </si>
  <si>
    <t>JENNIFER</t>
  </si>
  <si>
    <t>***-**-8780</t>
  </si>
  <si>
    <t>********8686</t>
  </si>
  <si>
    <t>P0049</t>
  </si>
  <si>
    <t>M00075</t>
  </si>
  <si>
    <t>********4268</t>
  </si>
  <si>
    <t>M00076</t>
  </si>
  <si>
    <t>ZOË</t>
  </si>
  <si>
    <t>BRÜCKNER</t>
  </si>
  <si>
    <t>1472 NATASHA LAND</t>
  </si>
  <si>
    <t>COLUMBIA</t>
  </si>
  <si>
    <t>17512</t>
  </si>
  <si>
    <t>***-**-9529</t>
  </si>
  <si>
    <t>********8225</t>
  </si>
  <si>
    <t>P0050</t>
  </si>
  <si>
    <t>M00077</t>
  </si>
  <si>
    <t>YVONNE</t>
  </si>
  <si>
    <t>HUFF</t>
  </si>
  <si>
    <t>1015 N QUINCY ST</t>
  </si>
  <si>
    <t>ARLINGTON</t>
  </si>
  <si>
    <t>22201</t>
  </si>
  <si>
    <t>***-**-6694</t>
  </si>
  <si>
    <t>********9180</t>
  </si>
  <si>
    <t>P0051</t>
  </si>
  <si>
    <t>M00078</t>
  </si>
  <si>
    <t>GRAY</t>
  </si>
  <si>
    <t>5 WASHINGTON ST</t>
  </si>
  <si>
    <t>NEWARK</t>
  </si>
  <si>
    <t>07102</t>
  </si>
  <si>
    <t>***-**-3751</t>
  </si>
  <si>
    <t>********1939</t>
  </si>
  <si>
    <t>P0052</t>
  </si>
  <si>
    <t>M00079</t>
  </si>
  <si>
    <t>********5961</t>
  </si>
  <si>
    <t>M00080</t>
  </si>
  <si>
    <t>***-**-8347</t>
  </si>
  <si>
    <t>M00081</t>
  </si>
  <si>
    <t>***-**-9708</t>
  </si>
  <si>
    <t>M00082</t>
  </si>
  <si>
    <t>COLE</t>
  </si>
  <si>
    <t>1426 MERRITT SUMMIT</t>
  </si>
  <si>
    <t>EATONTOWN</t>
  </si>
  <si>
    <t>07799</t>
  </si>
  <si>
    <t>***-**-9693</t>
  </si>
  <si>
    <t>********9907</t>
  </si>
  <si>
    <t>ADDR_GEOCODE_NOMATCH;NOTIFY_STATE_UNKNOWN</t>
  </si>
  <si>
    <t>P0053</t>
  </si>
  <si>
    <t>M00083</t>
  </si>
  <si>
    <t>KYLE</t>
  </si>
  <si>
    <t>DODSON</t>
  </si>
  <si>
    <t>8758 CONTRERAS POINTS</t>
  </si>
  <si>
    <t>CAPRON</t>
  </si>
  <si>
    <t>23829</t>
  </si>
  <si>
    <t>***-**-5534</t>
  </si>
  <si>
    <t>********1142</t>
  </si>
  <si>
    <t>P0054</t>
  </si>
  <si>
    <t>M00084</t>
  </si>
  <si>
    <t>D0033</t>
  </si>
  <si>
    <t>sheets/customer_cards.xlsx</t>
  </si>
  <si>
    <t>Customers</t>
  </si>
  <si>
    <t>CUSTOMER</t>
  </si>
  <si>
    <t>KELLY</t>
  </si>
  <si>
    <t>DEAN</t>
  </si>
  <si>
    <t>8202 GUTIERREZ FIELD</t>
  </si>
  <si>
    <t>NORTH</t>
  </si>
  <si>
    <t>23128</t>
  </si>
  <si>
    <t>+17575550185</t>
  </si>
  <si>
    <t>************5670</t>
  </si>
  <si>
    <t>XL_NUMBER_PRECISION_LOST</t>
  </si>
  <si>
    <t>{"ADDRESS_LINE1": 0.9721, "CARD": 0.9615, "CITY_STATE_ZIP": 0.9508, "FULL_NAME": 0.875, "OTHER": 0.9859, "PHONE": 0.9899}</t>
  </si>
  <si>
    <t>NAME_ORDER_AMBIGUOUS;XL_NUMBER_PRECISION_LOST;ADDR_GEOCODE_NOMATCH</t>
  </si>
  <si>
    <t>P0055</t>
  </si>
  <si>
    <t>M00085</t>
  </si>
  <si>
    <t>KARI</t>
  </si>
  <si>
    <t>HARDY</t>
  </si>
  <si>
    <t>5592 JAMES STREETS</t>
  </si>
  <si>
    <t>BEN LOMOND</t>
  </si>
  <si>
    <t>95005</t>
  </si>
  <si>
    <t>+14155550158</t>
  </si>
  <si>
    <t>************7378</t>
  </si>
  <si>
    <t>PREMASKED_VALUE</t>
  </si>
  <si>
    <t>PREMASKED_VALUE;ADDR_GEOCODE_NOMATCH</t>
  </si>
  <si>
    <t>P0056</t>
  </si>
  <si>
    <t>M00086</t>
  </si>
  <si>
    <t>REBECCA</t>
  </si>
  <si>
    <t>LARSON</t>
  </si>
  <si>
    <t>6957 CHARLES EXPRESSWAY</t>
  </si>
  <si>
    <t>76262</t>
  </si>
  <si>
    <t>+19155550102</t>
  </si>
  <si>
    <t>************5769</t>
  </si>
  <si>
    <t>P0057</t>
  </si>
  <si>
    <t>M00087</t>
  </si>
  <si>
    <t>+17135550186</t>
  </si>
  <si>
    <t>************5484</t>
  </si>
  <si>
    <t>M00088</t>
  </si>
  <si>
    <t>+15125550136</t>
  </si>
  <si>
    <t>************0370</t>
  </si>
  <si>
    <t>M00089</t>
  </si>
  <si>
    <t>JULIE</t>
  </si>
  <si>
    <t>ORTIZ</t>
  </si>
  <si>
    <t>65 WITHERSPOON ST</t>
  </si>
  <si>
    <t>PRINCETON</t>
  </si>
  <si>
    <t>08542</t>
  </si>
  <si>
    <t>+16095550154</t>
  </si>
  <si>
    <t>************5429</t>
  </si>
  <si>
    <t>P0058</t>
  </si>
  <si>
    <t>M00090</t>
  </si>
  <si>
    <t>RAVEN</t>
  </si>
  <si>
    <t>LAWRENCE</t>
  </si>
  <si>
    <t>3315 SANDRA TURNPIKE</t>
  </si>
  <si>
    <t>SIERRA CITY</t>
  </si>
  <si>
    <t>96125</t>
  </si>
  <si>
    <t>+15105550154</t>
  </si>
  <si>
    <t>************4197</t>
  </si>
  <si>
    <t>NAME_ORDER_AMBIGUOUS;ADDR_GEOCODE_NOMATCH</t>
  </si>
  <si>
    <t>P0059</t>
  </si>
  <si>
    <t>M00091</t>
  </si>
  <si>
    <t>BOB</t>
  </si>
  <si>
    <t>+18045550100</t>
  </si>
  <si>
    <t>************3416</t>
  </si>
  <si>
    <t>M00092</t>
  </si>
  <si>
    <t>JESSE</t>
  </si>
  <si>
    <t>630 W 5TH ST</t>
  </si>
  <si>
    <t>LOS ANGELES</t>
  </si>
  <si>
    <t>90012</t>
  </si>
  <si>
    <t>+19165550180</t>
  </si>
  <si>
    <t>************2864</t>
  </si>
  <si>
    <t>CARD_LUHN_FAIL</t>
  </si>
  <si>
    <t>NAME_ORDER_AMBIGUOUS;CARD_LUHN_FAIL</t>
  </si>
  <si>
    <t>P0060</t>
  </si>
  <si>
    <t>M00093</t>
  </si>
  <si>
    <t>KELLIE</t>
  </si>
  <si>
    <t>+14155550156</t>
  </si>
  <si>
    <t>************0415</t>
  </si>
  <si>
    <t>NAME_ORDER_AMBIGUOUS</t>
  </si>
  <si>
    <t>P0061</t>
  </si>
  <si>
    <t>M00094</t>
  </si>
  <si>
    <t>JOANNA</t>
  </si>
  <si>
    <t>RAMOS</t>
  </si>
  <si>
    <t>3117 KIMBERLY LIGHT</t>
  </si>
  <si>
    <t>RANCHO CUCAMONGA</t>
  </si>
  <si>
    <t>91737</t>
  </si>
  <si>
    <t>+14155550160</t>
  </si>
  <si>
    <t>************4665</t>
  </si>
  <si>
    <t>P0062</t>
  </si>
  <si>
    <t>M00095</t>
  </si>
  <si>
    <t>JENKINS</t>
  </si>
  <si>
    <t>1614 SANTIAGO WALKS</t>
  </si>
  <si>
    <t>CENTREVILLE</t>
  </si>
  <si>
    <t>20121</t>
  </si>
  <si>
    <t>+15405550161</t>
  </si>
  <si>
    <t>************4654</t>
  </si>
  <si>
    <t>P0063</t>
  </si>
  <si>
    <t>M00096</t>
  </si>
  <si>
    <t>MICHAEL</t>
  </si>
  <si>
    <t>ROGERS</t>
  </si>
  <si>
    <t>+18045550182</t>
  </si>
  <si>
    <t>************7650</t>
  </si>
  <si>
    <t>P0064</t>
  </si>
  <si>
    <t>M00097</t>
  </si>
  <si>
    <t>+13055550199</t>
  </si>
  <si>
    <t>XXXX-XXXX-XXXX-3589</t>
  </si>
  <si>
    <t>M00098</t>
  </si>
  <si>
    <t>CARLSON</t>
  </si>
  <si>
    <t>+16105550105</t>
  </si>
  <si>
    <t>************9619</t>
  </si>
  <si>
    <t>P0065</t>
  </si>
  <si>
    <t>M00099</t>
  </si>
  <si>
    <t>AMANDA</t>
  </si>
  <si>
    <t>MILLER</t>
  </si>
  <si>
    <t>3942 CERVANTES PLAZA</t>
  </si>
  <si>
    <t>TRIANGLE</t>
  </si>
  <si>
    <t>22172</t>
  </si>
  <si>
    <t>+17575550194</t>
  </si>
  <si>
    <t>************0961</t>
  </si>
  <si>
    <t>P0066</t>
  </si>
  <si>
    <t>M00100</t>
  </si>
  <si>
    <t>DANNY</t>
  </si>
  <si>
    <t>2187 RONALD PLAINS</t>
  </si>
  <si>
    <t>77049</t>
  </si>
  <si>
    <t>+17135550193</t>
  </si>
  <si>
    <t>************1670</t>
  </si>
  <si>
    <t>XL_NUMBER_PRECISION_LOST;ADDR_GEOCODE_NOMATCH;DUPLICATE_CANDIDATE</t>
  </si>
  <si>
    <t>P0067</t>
  </si>
  <si>
    <t>M00101</t>
  </si>
  <si>
    <t>STEWART</t>
  </si>
  <si>
    <t>+17035550153</t>
  </si>
  <si>
    <t>************8430</t>
  </si>
  <si>
    <t>P0068</t>
  </si>
  <si>
    <t>M00102</t>
  </si>
  <si>
    <t>MATTHEW</t>
  </si>
  <si>
    <t>WOOD</t>
  </si>
  <si>
    <t>+18135550111</t>
  </si>
  <si>
    <t>************0792</t>
  </si>
  <si>
    <t>P0069</t>
  </si>
  <si>
    <t>M00103</t>
  </si>
  <si>
    <t>9190 MARTINEZ ROADS</t>
  </si>
  <si>
    <t>SAINT CLOUD</t>
  </si>
  <si>
    <t>34772</t>
  </si>
  <si>
    <t>+19045550177</t>
  </si>
  <si>
    <t>************2401</t>
  </si>
  <si>
    <t>NAME_ORDER_AMBIGUOUS;PREMASKED_VALUE;ADDR_GEOCODE_NOMATCH</t>
  </si>
  <si>
    <t>P0070</t>
  </si>
  <si>
    <t>M00104</t>
  </si>
  <si>
    <t>KRISTEN</t>
  </si>
  <si>
    <t>TERRY</t>
  </si>
  <si>
    <t>1478 JOSHUA CENTER</t>
  </si>
  <si>
    <t>PORTLAND</t>
  </si>
  <si>
    <t>14769</t>
  </si>
  <si>
    <t>+15185550181</t>
  </si>
  <si>
    <t>************2892</t>
  </si>
  <si>
    <t>P0071</t>
  </si>
  <si>
    <t>M00105</t>
  </si>
  <si>
    <t>SPENCER</t>
  </si>
  <si>
    <t>PETERS</t>
  </si>
  <si>
    <t>7443 BEARD SQUARES</t>
  </si>
  <si>
    <t>94104</t>
  </si>
  <si>
    <t>+14155550171</t>
  </si>
  <si>
    <t>************5866</t>
  </si>
  <si>
    <t>P0072</t>
  </si>
  <si>
    <t>M00106</t>
  </si>
  <si>
    <t>+14125550159</t>
  </si>
  <si>
    <t>************0300</t>
  </si>
  <si>
    <t>M00107</t>
  </si>
  <si>
    <t>TERESA</t>
  </si>
  <si>
    <t>WOODS</t>
  </si>
  <si>
    <t>5872 TAMMY GLEN</t>
  </si>
  <si>
    <t>GLADE SPRING</t>
  </si>
  <si>
    <t>24340</t>
  </si>
  <si>
    <t>+17575550108</t>
  </si>
  <si>
    <t>************8036</t>
  </si>
  <si>
    <t>P0073</t>
  </si>
  <si>
    <t>M00108</t>
  </si>
  <si>
    <t>BELL</t>
  </si>
  <si>
    <t>844 COLEMAN SUMMIT</t>
  </si>
  <si>
    <t>ELDRED</t>
  </si>
  <si>
    <t>12732</t>
  </si>
  <si>
    <t>+19145550189</t>
  </si>
  <si>
    <t>************2974</t>
  </si>
  <si>
    <t>P0074</t>
  </si>
  <si>
    <t>M00109</t>
  </si>
  <si>
    <t>+12155550115</t>
  </si>
  <si>
    <t>************1829</t>
  </si>
  <si>
    <t>P0075</t>
  </si>
  <si>
    <t>M00110</t>
  </si>
  <si>
    <t>LYONS</t>
  </si>
  <si>
    <t>6302 GONZALES MOUNTAIN</t>
  </si>
  <si>
    <t>PENNSAUKEN</t>
  </si>
  <si>
    <t>08110</t>
  </si>
  <si>
    <t>+12015550175</t>
  </si>
  <si>
    <t>************3725</t>
  </si>
  <si>
    <t>P0076</t>
  </si>
  <si>
    <t>M00111</t>
  </si>
  <si>
    <t>RAMIREZ</t>
  </si>
  <si>
    <t>3697 THOMAS RUN</t>
  </si>
  <si>
    <t>WALWORTH</t>
  </si>
  <si>
    <t>14568</t>
  </si>
  <si>
    <t>+19145550112</t>
  </si>
  <si>
    <t>************8590</t>
  </si>
  <si>
    <t>XL_NUMBER_PRECISION_LOST;ADDR_GEOCODE_NOMATCH</t>
  </si>
  <si>
    <t>P0077</t>
  </si>
  <si>
    <t>M00112</t>
  </si>
  <si>
    <t>************4811</t>
  </si>
  <si>
    <t>M00113</t>
  </si>
  <si>
    <t>MARK</t>
  </si>
  <si>
    <t>BROWN</t>
  </si>
  <si>
    <t>7364 VASQUEZ PORTS</t>
  </si>
  <si>
    <t>SANTA CRUZ</t>
  </si>
  <si>
    <t>95060</t>
  </si>
  <si>
    <t>+16195550132</t>
  </si>
  <si>
    <t>************6113</t>
  </si>
  <si>
    <t>P0078</t>
  </si>
  <si>
    <t>M00114</t>
  </si>
  <si>
    <t>XXXX-XXXX-XXXX-1936</t>
  </si>
  <si>
    <t>M00115</t>
  </si>
  <si>
    <t>6259 LISA HOLLOW</t>
  </si>
  <si>
    <t>DUKE CENTER</t>
  </si>
  <si>
    <t>16729</t>
  </si>
  <si>
    <t>+14125550181</t>
  </si>
  <si>
    <t>************0892</t>
  </si>
  <si>
    <t>P0079</t>
  </si>
  <si>
    <t>M00116</t>
  </si>
  <si>
    <t>JERRY</t>
  </si>
  <si>
    <t>WHEELER</t>
  </si>
  <si>
    <t>5363 ERIC LODGE</t>
  </si>
  <si>
    <t>POWAY</t>
  </si>
  <si>
    <t>92064</t>
  </si>
  <si>
    <t>+14155550118</t>
  </si>
  <si>
    <t>************1608</t>
  </si>
  <si>
    <t>P0080</t>
  </si>
  <si>
    <t>M00117</t>
  </si>
  <si>
    <t>MARY</t>
  </si>
  <si>
    <t>MOORE</t>
  </si>
  <si>
    <t>2286 COLLEEN GREENS</t>
  </si>
  <si>
    <t>77021</t>
  </si>
  <si>
    <t>+19155550148</t>
  </si>
  <si>
    <t>************8170</t>
  </si>
  <si>
    <t>P0081</t>
  </si>
  <si>
    <t>M00118</t>
  </si>
  <si>
    <t>8768 LANCE BRIDGE</t>
  </si>
  <si>
    <t>MERCER</t>
  </si>
  <si>
    <t>16137</t>
  </si>
  <si>
    <t>+16105550126</t>
  </si>
  <si>
    <t>************1635</t>
  </si>
  <si>
    <t>P0082</t>
  </si>
  <si>
    <t>M00119</t>
  </si>
  <si>
    <t>+19735550143</t>
  </si>
  <si>
    <t>************5698</t>
  </si>
  <si>
    <t>M00120</t>
  </si>
  <si>
    <t>SAMANTHA</t>
  </si>
  <si>
    <t>JOHNSTON</t>
  </si>
  <si>
    <t>2026 YVONNE SPRING</t>
  </si>
  <si>
    <t>COATESVILLE</t>
  </si>
  <si>
    <t>19320</t>
  </si>
  <si>
    <t>+14125550166</t>
  </si>
  <si>
    <t>************6057</t>
  </si>
  <si>
    <t>P0083</t>
  </si>
  <si>
    <t>M00121</t>
  </si>
  <si>
    <t>CORY</t>
  </si>
  <si>
    <t>PEREZ</t>
  </si>
  <si>
    <t>9647 HOOPER VILLAGE</t>
  </si>
  <si>
    <t>93705</t>
  </si>
  <si>
    <t>+19165550118</t>
  </si>
  <si>
    <t>************5193</t>
  </si>
  <si>
    <t>P0084</t>
  </si>
  <si>
    <t>M00122</t>
  </si>
  <si>
    <t>+16105550154</t>
  </si>
  <si>
    <t>************2274</t>
  </si>
  <si>
    <t>M00123</t>
  </si>
  <si>
    <t>LAURA</t>
  </si>
  <si>
    <t>HARRISON</t>
  </si>
  <si>
    <t>2024 GARCIA BRIDGE</t>
  </si>
  <si>
    <t>95834</t>
  </si>
  <si>
    <t>+19165550182</t>
  </si>
  <si>
    <t>************0308</t>
  </si>
  <si>
    <t>P0085</t>
  </si>
  <si>
    <t>M00124</t>
  </si>
  <si>
    <t>CHOI</t>
  </si>
  <si>
    <t>4180 TORRES RIVER</t>
  </si>
  <si>
    <t>HOMESTEAD</t>
  </si>
  <si>
    <t>33031</t>
  </si>
  <si>
    <t>+18135550124</t>
  </si>
  <si>
    <t>************6372</t>
  </si>
  <si>
    <t>P0086</t>
  </si>
  <si>
    <t>M00125</t>
  </si>
  <si>
    <t>+15125550149</t>
  </si>
  <si>
    <t>************9292</t>
  </si>
  <si>
    <t>NAME_ORDER_AMBIGUOUS;ADDR_LINE2_SPLIT;ADDR_UNIT_FORMAT;PREMASKED_VALUE</t>
  </si>
  <si>
    <t>M00126</t>
  </si>
  <si>
    <t>SHARON</t>
  </si>
  <si>
    <t>8456 TARA LODGE</t>
  </si>
  <si>
    <t>BARKER</t>
  </si>
  <si>
    <t>14012</t>
  </si>
  <si>
    <t>+15855550136</t>
  </si>
  <si>
    <t>************5317</t>
  </si>
  <si>
    <t>P0087</t>
  </si>
  <si>
    <t>M00127</t>
  </si>
  <si>
    <t>************0450</t>
  </si>
  <si>
    <t>M00128</t>
  </si>
  <si>
    <t>REYNOLDS</t>
  </si>
  <si>
    <t>3492 KIM RAPID</t>
  </si>
  <si>
    <t>LUTZ</t>
  </si>
  <si>
    <t>33559</t>
  </si>
  <si>
    <t>+18135550162</t>
  </si>
  <si>
    <t>************0693</t>
  </si>
  <si>
    <t>P0088</t>
  </si>
  <si>
    <t>M00129</t>
  </si>
  <si>
    <t>+17165550162</t>
  </si>
  <si>
    <t>************9980</t>
  </si>
  <si>
    <t>M00130</t>
  </si>
  <si>
    <t>DEBRA</t>
  </si>
  <si>
    <t>4995 WOLF FORD</t>
  </si>
  <si>
    <t>INGLEWOOD</t>
  </si>
  <si>
    <t>90311</t>
  </si>
  <si>
    <t>+16195550195</t>
  </si>
  <si>
    <t>************2369</t>
  </si>
  <si>
    <t>ADDR_GEOCODE_NOMATCH;DUPLICATE_CANDIDATE</t>
  </si>
  <si>
    <t>P0089</t>
  </si>
  <si>
    <t>M00131</t>
  </si>
  <si>
    <t>8820 KEITH HAVEN</t>
  </si>
  <si>
    <t>EAST GREENBUSH</t>
  </si>
  <si>
    <t>12061</t>
  </si>
  <si>
    <t>+19145550117</t>
  </si>
  <si>
    <t>************7091</t>
  </si>
  <si>
    <t>P0090</t>
  </si>
  <si>
    <t>M00132</t>
  </si>
  <si>
    <t>HENRY</t>
  </si>
  <si>
    <t>GREEN</t>
  </si>
  <si>
    <t>2637 WHITE FOREST</t>
  </si>
  <si>
    <t>WHITE</t>
  </si>
  <si>
    <t>15490</t>
  </si>
  <si>
    <t>+17175550173</t>
  </si>
  <si>
    <t>************5266</t>
  </si>
  <si>
    <t>P0091</t>
  </si>
  <si>
    <t>M00133</t>
  </si>
  <si>
    <t>+19045550165</t>
  </si>
  <si>
    <t>************4422</t>
  </si>
  <si>
    <t>M00134</t>
  </si>
  <si>
    <t>ALVAREZ</t>
  </si>
  <si>
    <t>5310 FREEMAN TRACE</t>
  </si>
  <si>
    <t>SULPHUR BLUFF</t>
  </si>
  <si>
    <t>75481</t>
  </si>
  <si>
    <t>+15125550151</t>
  </si>
  <si>
    <t>************4990</t>
  </si>
  <si>
    <t>P0092</t>
  </si>
  <si>
    <t>M00135</t>
  </si>
  <si>
    <t>DAVID</t>
  </si>
  <si>
    <t>+18045550193</t>
  </si>
  <si>
    <t>XXXX-XXXX-XXXX-6437</t>
  </si>
  <si>
    <t>P0093</t>
  </si>
  <si>
    <t>M00136</t>
  </si>
  <si>
    <t>ELIZABETH</t>
  </si>
  <si>
    <t>SULLIVAN</t>
  </si>
  <si>
    <t>6043 MCGUIRE COURSE</t>
  </si>
  <si>
    <t>ABILENE</t>
  </si>
  <si>
    <t>79605</t>
  </si>
  <si>
    <t>+12105550131</t>
  </si>
  <si>
    <t>************6459</t>
  </si>
  <si>
    <t>P0094</t>
  </si>
  <si>
    <t>M00137</t>
  </si>
  <si>
    <t>OLSEN</t>
  </si>
  <si>
    <t>+15125550196</t>
  </si>
  <si>
    <t>************4085</t>
  </si>
  <si>
    <t>P0095</t>
  </si>
  <si>
    <t>M00138</t>
  </si>
  <si>
    <t>D0034</t>
  </si>
  <si>
    <t>sheets/hr_roster.xlsx</t>
  </si>
  <si>
    <t>Roster</t>
  </si>
  <si>
    <t>3121 CARR VALLEY</t>
  </si>
  <si>
    <t>PITTSTON</t>
  </si>
  <si>
    <t>18641</t>
  </si>
  <si>
    <t>+17175550167</t>
  </si>
  <si>
    <t>matthew.smith39@example.org</t>
  </si>
  <si>
    <t>***-**-7795</t>
  </si>
  <si>
    <t>{"ADDRESS_LINE1": 0.9304, "CITY": 0.9698, "DOB": 0.7405, "EMAIL": 0.9851, "EMPLOYEE_ID": 0.968, "FIRST_NAME": 0.7902, "LAST_NAME": 0.9592, "MIDDLE_NAME": 0.6755, "OTHER": 0.9717, "PHONE": 0.99, "SSN": 0.8689, "STATE": 0.8523, "SUFFIX": 0.9566, "ZIP": 0.9866}</t>
  </si>
  <si>
    <t>P0096</t>
  </si>
  <si>
    <t>M00139</t>
  </si>
  <si>
    <t>shane.henderson70@example.org</t>
  </si>
  <si>
    <t>M00140</t>
  </si>
  <si>
    <t>+13055550128</t>
  </si>
  <si>
    <t>timothy.vandyke31@example.com</t>
  </si>
  <si>
    <t>M00141</t>
  </si>
  <si>
    <t>+17165550144</t>
  </si>
  <si>
    <t>philip.cannon15@example.net</t>
  </si>
  <si>
    <t>M00142</t>
  </si>
  <si>
    <t>+17135550134</t>
  </si>
  <si>
    <t>bryan.walker14@example.net</t>
  </si>
  <si>
    <t>M00143</t>
  </si>
  <si>
    <t>RODNEY</t>
  </si>
  <si>
    <t>+14135550135</t>
  </si>
  <si>
    <t>richard.gibson87@example.com</t>
  </si>
  <si>
    <t>XL_ZIP_LEADING_ZERO_RESTORED;COL_MAPPING_LOW_CONF;DUPLICATE_CANDIDATE;NOTIFY_STATE_UNKNOWN</t>
  </si>
  <si>
    <t>M00144</t>
  </si>
  <si>
    <t>+18045550161</t>
  </si>
  <si>
    <t>john.lewis91@example.org</t>
  </si>
  <si>
    <t>M00145</t>
  </si>
  <si>
    <t>NATASHA</t>
  </si>
  <si>
    <t>+15185550130</t>
  </si>
  <si>
    <t>alicia.hickman22@example.org</t>
  </si>
  <si>
    <t>COL_MAPPING_LOW_CONF;DUPLICATE_CANDIDATE</t>
  </si>
  <si>
    <t>M00146</t>
  </si>
  <si>
    <t>SHANNON</t>
  </si>
  <si>
    <t>JASON</t>
  </si>
  <si>
    <t>NOLAN</t>
  </si>
  <si>
    <t>+14155550183</t>
  </si>
  <si>
    <t>shannon.nolan42@example.com</t>
  </si>
  <si>
    <t>***-**-9668</t>
  </si>
  <si>
    <t>P0097</t>
  </si>
  <si>
    <t>M00147</t>
  </si>
  <si>
    <t>MADISON</t>
  </si>
  <si>
    <t>CALDERON</t>
  </si>
  <si>
    <t>340 N WASHINGTON AVE</t>
  </si>
  <si>
    <t>SCRANTON</t>
  </si>
  <si>
    <t>18503</t>
  </si>
  <si>
    <t>+14125550188</t>
  </si>
  <si>
    <t>madison.calderon75@example.com</t>
  </si>
  <si>
    <t>***-**-1766</t>
  </si>
  <si>
    <t>SSN_AREA_INVALID</t>
  </si>
  <si>
    <t>P0098</t>
  </si>
  <si>
    <t>M00148</t>
  </si>
  <si>
    <t>SUSAN</t>
  </si>
  <si>
    <t>WILLIAMS</t>
  </si>
  <si>
    <t>125 14TH ST</t>
  </si>
  <si>
    <t>OAKLAND</t>
  </si>
  <si>
    <t>94612</t>
  </si>
  <si>
    <t>+15105550143</t>
  </si>
  <si>
    <t>susan.williams47@example.com</t>
  </si>
  <si>
    <t>***-**-1945</t>
  </si>
  <si>
    <t>NAME_WHITESPACE;ADDR_GEOCODE_NOMATCH</t>
  </si>
  <si>
    <t>P0099</t>
  </si>
  <si>
    <t>M00149</t>
  </si>
  <si>
    <t>GABRIEL</t>
  </si>
  <si>
    <t>tammy.allison22@example.org</t>
  </si>
  <si>
    <t>M00150</t>
  </si>
  <si>
    <t>VINCENT</t>
  </si>
  <si>
    <t>V</t>
  </si>
  <si>
    <t>+15105550106</t>
  </si>
  <si>
    <t>shawn.baker63@example.com</t>
  </si>
  <si>
    <t>M00151</t>
  </si>
  <si>
    <t>+16195550159</t>
  </si>
  <si>
    <t>lee.hernandez38@example.com</t>
  </si>
  <si>
    <t>M00152</t>
  </si>
  <si>
    <t>S</t>
  </si>
  <si>
    <t>+15405550174</t>
  </si>
  <si>
    <t>danielle.leblanc73@example.org</t>
  </si>
  <si>
    <t>NAME_WHITESPACE;COL_MAPPING_LOW_CONF;ADDR_GEOCODE_NOMATCH</t>
  </si>
  <si>
    <t>M00153</t>
  </si>
  <si>
    <t>+17035550186</t>
  </si>
  <si>
    <t>joan.henderson27@example.com</t>
  </si>
  <si>
    <t>M00154</t>
  </si>
  <si>
    <t>LINDSEY</t>
  </si>
  <si>
    <t>+16105550177</t>
  </si>
  <si>
    <t>john.delavega95@example.net</t>
  </si>
  <si>
    <t>M00155</t>
  </si>
  <si>
    <t>MONICA</t>
  </si>
  <si>
    <t>NAME_WHITESPACE;COL_MAPPING_LOW_CONF</t>
  </si>
  <si>
    <t>M00156</t>
  </si>
  <si>
    <t>jessica.owens91@example.net</t>
  </si>
  <si>
    <t>M00157</t>
  </si>
  <si>
    <t>ronald.parker73@example.net</t>
  </si>
  <si>
    <t>M00158</t>
  </si>
  <si>
    <t>TANYA</t>
  </si>
  <si>
    <t>T</t>
  </si>
  <si>
    <t>+17035550171</t>
  </si>
  <si>
    <t>yvonne.huff77@example.net</t>
  </si>
  <si>
    <t>M00159</t>
  </si>
  <si>
    <t>JAMES</t>
  </si>
  <si>
    <t>scott.wright18@example.com</t>
  </si>
  <si>
    <t>***-**-5913</t>
  </si>
  <si>
    <t>M00160</t>
  </si>
  <si>
    <t>M00161</t>
  </si>
  <si>
    <t>STACEY</t>
  </si>
  <si>
    <t>+19145550122</t>
  </si>
  <si>
    <t>anthony.humphrey99@example.org</t>
  </si>
  <si>
    <t>M00162</t>
  </si>
  <si>
    <t>christy.ryan70@example.com</t>
  </si>
  <si>
    <t>M00163</t>
  </si>
  <si>
    <t>JOSEPH</t>
  </si>
  <si>
    <t>+15855550133</t>
  </si>
  <si>
    <t>karen.garcia-lopez15@example.org</t>
  </si>
  <si>
    <t>SHEET_HIDDEN_ROWS;COL_MAPPING_LOW_CONF</t>
  </si>
  <si>
    <t>M00164</t>
  </si>
  <si>
    <t>BRENT</t>
  </si>
  <si>
    <t>robert.pierce69@example.org</t>
  </si>
  <si>
    <t>M00165</t>
  </si>
  <si>
    <t>MARIO</t>
  </si>
  <si>
    <t>+14155550187</t>
  </si>
  <si>
    <t>kerry.smith69@example.org</t>
  </si>
  <si>
    <t>M00166</t>
  </si>
  <si>
    <t>JANICE</t>
  </si>
  <si>
    <t>+18135550146</t>
  </si>
  <si>
    <t>christopher.ramos38@example.com</t>
  </si>
  <si>
    <t>***-**-5286</t>
  </si>
  <si>
    <t>P0100</t>
  </si>
  <si>
    <t>M00167</t>
  </si>
  <si>
    <t>M00168</t>
  </si>
  <si>
    <t>CRYSTAL</t>
  </si>
  <si>
    <t>MICHELE</t>
  </si>
  <si>
    <t>WHITEHEAD</t>
  </si>
  <si>
    <t>+13055550160</t>
  </si>
  <si>
    <t>crystal.whitehead58@example.org</t>
  </si>
  <si>
    <t>***-**-4052</t>
  </si>
  <si>
    <t>P0101</t>
  </si>
  <si>
    <t>M00169</t>
  </si>
  <si>
    <t>1532 HARRIS ROADS</t>
  </si>
  <si>
    <t>NORTH GARDEN</t>
  </si>
  <si>
    <t>22959</t>
  </si>
  <si>
    <t>+18045550155</t>
  </si>
  <si>
    <t>samuel.wagner85@example.net</t>
  </si>
  <si>
    <t>***-**-6567</t>
  </si>
  <si>
    <t>SHEET_HIDDEN_ROWS;COL_MAPPING_LOW_CONF;ADDR_GEOCODE_NOMATCH</t>
  </si>
  <si>
    <t>P0102</t>
  </si>
  <si>
    <t>M00170</t>
  </si>
  <si>
    <t>anthony.gray38@example.net</t>
  </si>
  <si>
    <t>XL_ZIP_LEADING_ZERO_RESTORED;SHEET_HIDDEN_ROWS;NOTIFY_STATE_UNKNOWN</t>
  </si>
  <si>
    <t>M00171</t>
  </si>
  <si>
    <t>jose.munoz98@example.net</t>
  </si>
  <si>
    <t>M00172</t>
  </si>
  <si>
    <t>MARC</t>
  </si>
  <si>
    <t>280 GROVE ST</t>
  </si>
  <si>
    <t>JERSEY CITY</t>
  </si>
  <si>
    <t>07302</t>
  </si>
  <si>
    <t>+19735550166</t>
  </si>
  <si>
    <t>marc.moore2@example.net</t>
  </si>
  <si>
    <t>***-**-0619</t>
  </si>
  <si>
    <t>XL_ZIP_LEADING_ZERO_RESTORED;DUPLICATE_CANDIDATE;NOTIFY_STATE_UNKNOWN</t>
  </si>
  <si>
    <t>P0103</t>
  </si>
  <si>
    <t>M00173</t>
  </si>
  <si>
    <t>STEPHANIE</t>
  </si>
  <si>
    <t>GARDNER</t>
  </si>
  <si>
    <t>8429 DANIEL SPURS</t>
  </si>
  <si>
    <t>12211</t>
  </si>
  <si>
    <t>+19145550155</t>
  </si>
  <si>
    <t>stephanie.gardner41@example.com</t>
  </si>
  <si>
    <t>***-**-8815</t>
  </si>
  <si>
    <t>COL_MAPPING_LOW_CONF;ADDR_GEOCODE_NOMATCH</t>
  </si>
  <si>
    <t>P0104</t>
  </si>
  <si>
    <t>M00174</t>
  </si>
  <si>
    <t>edwin.fowler4@example.com</t>
  </si>
  <si>
    <t>M00175</t>
  </si>
  <si>
    <t>300 S ADAMS ST</t>
  </si>
  <si>
    <t>TALLAHASSEE</t>
  </si>
  <si>
    <t>32301</t>
  </si>
  <si>
    <t>+14075550176</t>
  </si>
  <si>
    <t>michael.lewis57@example.com</t>
  </si>
  <si>
    <t>***-**-3979</t>
  </si>
  <si>
    <t>P0105</t>
  </si>
  <si>
    <t>M00176</t>
  </si>
  <si>
    <t>COREY</t>
  </si>
  <si>
    <t>+17175550144</t>
  </si>
  <si>
    <t>zoe.bruckner81@example.org</t>
  </si>
  <si>
    <t>M00177</t>
  </si>
  <si>
    <t>4511 HARRY ISLE</t>
  </si>
  <si>
    <t>24011</t>
  </si>
  <si>
    <t>+15405550178</t>
  </si>
  <si>
    <t>richard.jenkins44@example.org</t>
  </si>
  <si>
    <t>***-**-3639</t>
  </si>
  <si>
    <t>P0106</t>
  </si>
  <si>
    <t>M00178</t>
  </si>
  <si>
    <t>ANGELA</t>
  </si>
  <si>
    <t>+14135550183</t>
  </si>
  <si>
    <t>tina.cowan18@example.org</t>
  </si>
  <si>
    <t>XL_ZIP_LEADING_ZERO_RESTORED;COL_MAPPING_LOW_CONF;NOTIFY_STATE_UNKNOWN</t>
  </si>
  <si>
    <t>M00179</t>
  </si>
  <si>
    <t>+17135550128</t>
  </si>
  <si>
    <t>eric.carney57@example.net</t>
  </si>
  <si>
    <t>M00180</t>
  </si>
  <si>
    <t>renee.lefevre28@example.org</t>
  </si>
  <si>
    <t>ADDR_LINE2_SPLIT;ROW_DUPLICATE_IN_FILE;ADDR_GEOCODE_NOMATCH</t>
  </si>
  <si>
    <t>M00181</t>
  </si>
  <si>
    <t>JUAN</t>
  </si>
  <si>
    <t>CASSANDRA</t>
  </si>
  <si>
    <t>NELSON</t>
  </si>
  <si>
    <t>2257 PAMELA SUMMIT</t>
  </si>
  <si>
    <t>CALVIN</t>
  </si>
  <si>
    <t>16622</t>
  </si>
  <si>
    <t>+12155550185</t>
  </si>
  <si>
    <t>juan.nelson12@example.com</t>
  </si>
  <si>
    <t>***-**-1929</t>
  </si>
  <si>
    <t>COL_MAPPING_LOW_CONF;ADDR_GEOCODE_NOMATCH;DUPLICATE_CANDIDATE</t>
  </si>
  <si>
    <t>P0107</t>
  </si>
  <si>
    <t>M00182</t>
  </si>
  <si>
    <t>CHAD</t>
  </si>
  <si>
    <t>+19145550175</t>
  </si>
  <si>
    <t>bradley.tucker71@example.net</t>
  </si>
  <si>
    <t>M00183</t>
  </si>
  <si>
    <t>WILLIAM</t>
  </si>
  <si>
    <t>319 E STATE ST</t>
  </si>
  <si>
    <t>TRENTON</t>
  </si>
  <si>
    <t>08608</t>
  </si>
  <si>
    <t>+12015550181</t>
  </si>
  <si>
    <t>william.baker35@example.net</t>
  </si>
  <si>
    <t>***-**-8057</t>
  </si>
  <si>
    <t>P0108</t>
  </si>
  <si>
    <t>M00184</t>
  </si>
  <si>
    <t>HENSON</t>
  </si>
  <si>
    <t>435 W HAMILTON ST</t>
  </si>
  <si>
    <t>ALLENTOWN</t>
  </si>
  <si>
    <t>18101</t>
  </si>
  <si>
    <t>+17175550122</t>
  </si>
  <si>
    <t>richard.henson48@example.net</t>
  </si>
  <si>
    <t>***-**-2194</t>
  </si>
  <si>
    <t>P0109</t>
  </si>
  <si>
    <t>M00185</t>
  </si>
  <si>
    <t>2370 RUSSELL CANYON</t>
  </si>
  <si>
    <t>COBBS CREEK</t>
  </si>
  <si>
    <t>23035</t>
  </si>
  <si>
    <t>+17035550140</t>
  </si>
  <si>
    <t>eric.nolan55@example.com</t>
  </si>
  <si>
    <t>***-**-9095</t>
  </si>
  <si>
    <t>P0110</t>
  </si>
  <si>
    <t>M00186</t>
  </si>
  <si>
    <t>GARCIA</t>
  </si>
  <si>
    <t>+15855550148</t>
  </si>
  <si>
    <t>danielle.garcia50@example.com</t>
  </si>
  <si>
    <t>***-**-9864</t>
  </si>
  <si>
    <t>P0111</t>
  </si>
  <si>
    <t>M00187</t>
  </si>
  <si>
    <t>benjamin.welch39@example.com</t>
  </si>
  <si>
    <t>M00188</t>
  </si>
  <si>
    <t>TODD</t>
  </si>
  <si>
    <t>TAYLOR</t>
  </si>
  <si>
    <t>7039 HUYNH COVE</t>
  </si>
  <si>
    <t>MOUNT WOLF</t>
  </si>
  <si>
    <t>17347</t>
  </si>
  <si>
    <t>+14125550127</t>
  </si>
  <si>
    <t>todd.taylor94@example.com</t>
  </si>
  <si>
    <t>***-**-3268</t>
  </si>
  <si>
    <t>P0112</t>
  </si>
  <si>
    <t>M00189</t>
  </si>
  <si>
    <t>+14075550182</t>
  </si>
  <si>
    <t>benjamin.young45@example.com</t>
  </si>
  <si>
    <t>M00190</t>
  </si>
  <si>
    <t>BONNIE</t>
  </si>
  <si>
    <t>WHITNEY</t>
  </si>
  <si>
    <t>5667 ADAM TRAIL</t>
  </si>
  <si>
    <t>14216</t>
  </si>
  <si>
    <t>+15185550101</t>
  </si>
  <si>
    <t>bonnie.whitney96@example.org</t>
  </si>
  <si>
    <t>***-**-5282</t>
  </si>
  <si>
    <t>P0113</t>
  </si>
  <si>
    <t>M00191</t>
  </si>
  <si>
    <t>KEITH</t>
  </si>
  <si>
    <t>9429 MICHELLE UNION</t>
  </si>
  <si>
    <t>EAST SANDWICH</t>
  </si>
  <si>
    <t>02537</t>
  </si>
  <si>
    <t>+14135550145</t>
  </si>
  <si>
    <t>robert.keith28@example.net</t>
  </si>
  <si>
    <t>***-**-7924</t>
  </si>
  <si>
    <t>XL_ZIP_LEADING_ZERO_RESTORED;ADDR_GEOCODE_NOMATCH;NOTIFY_STATE_UNKNOWN</t>
  </si>
  <si>
    <t>P0114</t>
  </si>
  <si>
    <t>M00192</t>
  </si>
  <si>
    <t>JEFFREY</t>
  </si>
  <si>
    <t>leah.anderson84@example.com</t>
  </si>
  <si>
    <t>M00193</t>
  </si>
  <si>
    <t>+17175550132</t>
  </si>
  <si>
    <t>jennifer.owens22@example.net</t>
  </si>
  <si>
    <t>M00194</t>
  </si>
  <si>
    <t>D0035</t>
  </si>
  <si>
    <t>sheets/legacy_export.xls</t>
  </si>
  <si>
    <t>Sheet1</t>
  </si>
  <si>
    <t>MEMBER</t>
  </si>
  <si>
    <t>{"ADDRESS_LINE1": 0.9482, "CITY": 0.9588, "DOB": 0.7148, "FULL_NAME": 0.7739, "PHONE": 0.8298, "SSN": 0.632, "STATE": 0.7911, "ZIP": 0.9554}</t>
  </si>
  <si>
    <t>COL_MAPPING_LOW_CONF;DUPLICATE_CANDIDATE;NOTIFY_STATE_UNKNOWN</t>
  </si>
  <si>
    <t>M00195</t>
  </si>
  <si>
    <t>CAMERON</t>
  </si>
  <si>
    <t>SANFORD</t>
  </si>
  <si>
    <t>1708 TYLER CAMP</t>
  </si>
  <si>
    <t>YORK</t>
  </si>
  <si>
    <t>17401</t>
  </si>
  <si>
    <t>+17175550100</t>
  </si>
  <si>
    <t>***-**-7277</t>
  </si>
  <si>
    <t>P0115</t>
  </si>
  <si>
    <t>M00196</t>
  </si>
  <si>
    <t>M00197</t>
  </si>
  <si>
    <t>MARIA</t>
  </si>
  <si>
    <t>1652 STEVEN CREST</t>
  </si>
  <si>
    <t>33125</t>
  </si>
  <si>
    <t>+14075550139</t>
  </si>
  <si>
    <t>***-**-6192</t>
  </si>
  <si>
    <t>P0116</t>
  </si>
  <si>
    <t>M00198</t>
  </si>
  <si>
    <t>M00199</t>
  </si>
  <si>
    <t>RAYMOND</t>
  </si>
  <si>
    <t>DICKERSON</t>
  </si>
  <si>
    <t>2354 MICHELLE HARBOR</t>
  </si>
  <si>
    <t>95828</t>
  </si>
  <si>
    <t>+15105550195</t>
  </si>
  <si>
    <t>***-**-6090</t>
  </si>
  <si>
    <t>P0117</t>
  </si>
  <si>
    <t>M00200</t>
  </si>
  <si>
    <t>ANDERSEN</t>
  </si>
  <si>
    <t>M00201</t>
  </si>
  <si>
    <t>COL_MAPPING_LOW_CONF;NOTIFY_STATE_UNKNOWN</t>
  </si>
  <si>
    <t>M00202</t>
  </si>
  <si>
    <t>4156 MORGAN SQUARE</t>
  </si>
  <si>
    <t>CUERO</t>
  </si>
  <si>
    <t>77954</t>
  </si>
  <si>
    <t>+15125550173</t>
  </si>
  <si>
    <t>***-**-0491</t>
  </si>
  <si>
    <t>P0118</t>
  </si>
  <si>
    <t>M00203</t>
  </si>
  <si>
    <t>M00204</t>
  </si>
  <si>
    <t>JANET</t>
  </si>
  <si>
    <t>CHASE</t>
  </si>
  <si>
    <t>220 STATE ST</t>
  </si>
  <si>
    <t>SPRINGFIELD</t>
  </si>
  <si>
    <t>01103</t>
  </si>
  <si>
    <t>+16175550151</t>
  </si>
  <si>
    <t>***-**-2593</t>
  </si>
  <si>
    <t>P0119</t>
  </si>
  <si>
    <t>M00205</t>
  </si>
  <si>
    <t>ARIANA</t>
  </si>
  <si>
    <t>LOZANO</t>
  </si>
  <si>
    <t>6454 MORGAN MILL</t>
  </si>
  <si>
    <t>MALVERNE</t>
  </si>
  <si>
    <t>11565</t>
  </si>
  <si>
    <t>+15855550180</t>
  </si>
  <si>
    <t>***-**-6397</t>
  </si>
  <si>
    <t>P0120</t>
  </si>
  <si>
    <t>M00206</t>
  </si>
  <si>
    <t>M00207</t>
  </si>
  <si>
    <t>JESUS</t>
  </si>
  <si>
    <t>THOMAS</t>
  </si>
  <si>
    <t>8107 BAIRD GARDENS</t>
  </si>
  <si>
    <t>12208</t>
  </si>
  <si>
    <t>+15855550189</t>
  </si>
  <si>
    <t>***-**-5464</t>
  </si>
  <si>
    <t>P0121</t>
  </si>
  <si>
    <t>M00208</t>
  </si>
  <si>
    <t>M00209</t>
  </si>
  <si>
    <t>M00210</t>
  </si>
  <si>
    <t>M00211</t>
  </si>
  <si>
    <t>M00212</t>
  </si>
  <si>
    <t>M00213</t>
  </si>
  <si>
    <t>KIMBERLY</t>
  </si>
  <si>
    <t>REED</t>
  </si>
  <si>
    <t>3315 GRIMES MISSION</t>
  </si>
  <si>
    <t>CLARKSVILLE</t>
  </si>
  <si>
    <t>23927</t>
  </si>
  <si>
    <t>+18045550142</t>
  </si>
  <si>
    <t>***-**-9254</t>
  </si>
  <si>
    <t>P0122</t>
  </si>
  <si>
    <t>M00214</t>
  </si>
  <si>
    <t>SETH</t>
  </si>
  <si>
    <t>BOOKER</t>
  </si>
  <si>
    <t>6889 JENNIFER LODGE</t>
  </si>
  <si>
    <t>NAVARRE</t>
  </si>
  <si>
    <t>32566</t>
  </si>
  <si>
    <t>+13055550174</t>
  </si>
  <si>
    <t>***-**-2640</t>
  </si>
  <si>
    <t>P0123</t>
  </si>
  <si>
    <t>M00215</t>
  </si>
  <si>
    <t>EVAN</t>
  </si>
  <si>
    <t>KENNEDY</t>
  </si>
  <si>
    <t>+16095550155</t>
  </si>
  <si>
    <t>***-**-6930</t>
  </si>
  <si>
    <t>P0124</t>
  </si>
  <si>
    <t>M00216</t>
  </si>
  <si>
    <t>M00217</t>
  </si>
  <si>
    <t>M00218</t>
  </si>
  <si>
    <t>ADDR_LINE2_SPLIT;ADDR_UNIT_FORMAT;COL_MAPPING_LOW_CONF</t>
  </si>
  <si>
    <t>M00219</t>
  </si>
  <si>
    <t>M00220</t>
  </si>
  <si>
    <t>M00221</t>
  </si>
  <si>
    <t>M00222</t>
  </si>
  <si>
    <t>NICHOLAS</t>
  </si>
  <si>
    <t>MONROE</t>
  </si>
  <si>
    <t>8232 HOOVER HAVEN</t>
  </si>
  <si>
    <t>+17175550148</t>
  </si>
  <si>
    <t>***-**-4454</t>
  </si>
  <si>
    <t>P0125</t>
  </si>
  <si>
    <t>M00223</t>
  </si>
  <si>
    <t>MALONE</t>
  </si>
  <si>
    <t>86 FINLEY ROAD</t>
  </si>
  <si>
    <t>JAMESTOWN</t>
  </si>
  <si>
    <t>95327</t>
  </si>
  <si>
    <t>+14155550117</t>
  </si>
  <si>
    <t>***-**-0607</t>
  </si>
  <si>
    <t>SSN_GROUP_INVALID</t>
  </si>
  <si>
    <t>COL_MAPPING_LOW_CONF;SSN_GROUP_INVALID;ADDR_GEOCODE_NOMATCH</t>
  </si>
  <si>
    <t>P0126</t>
  </si>
  <si>
    <t>M00224</t>
  </si>
  <si>
    <t>ADDR_LINE2_SPLIT;COL_MAPPING_LOW_CONF;ADDR_GEOCODE_NOMATCH</t>
  </si>
  <si>
    <t>M00225</t>
  </si>
  <si>
    <t>M00226</t>
  </si>
  <si>
    <t>M00227</t>
  </si>
  <si>
    <t>M00228</t>
  </si>
  <si>
    <t>DOROTHY</t>
  </si>
  <si>
    <t>THORNTON</t>
  </si>
  <si>
    <t>+15125550134</t>
  </si>
  <si>
    <t>***-**-1842</t>
  </si>
  <si>
    <t>P0127</t>
  </si>
  <si>
    <t>M00229</t>
  </si>
  <si>
    <t>RICKY</t>
  </si>
  <si>
    <t>PEARSON</t>
  </si>
  <si>
    <t>2069 HUGHES SHORE</t>
  </si>
  <si>
    <t>33182</t>
  </si>
  <si>
    <t>+18135550169</t>
  </si>
  <si>
    <t>***-**-3582</t>
  </si>
  <si>
    <t>P0128</t>
  </si>
  <si>
    <t>M00230</t>
  </si>
  <si>
    <t>SERGIO</t>
  </si>
  <si>
    <t>POLLARD</t>
  </si>
  <si>
    <t>8583 GIBSON ISLANDS</t>
  </si>
  <si>
    <t>LAKELAND</t>
  </si>
  <si>
    <t>33809</t>
  </si>
  <si>
    <t>+19045550183</t>
  </si>
  <si>
    <t>***-**-5904</t>
  </si>
  <si>
    <t>P0129</t>
  </si>
  <si>
    <t>M00231</t>
  </si>
  <si>
    <t>M00232</t>
  </si>
  <si>
    <t>M00233</t>
  </si>
  <si>
    <t>M00234</t>
  </si>
  <si>
    <t>D0036</t>
  </si>
  <si>
    <t>sheets/patient_list.xlsx</t>
  </si>
  <si>
    <t>Patients</t>
  </si>
  <si>
    <t>MARTINEZ</t>
  </si>
  <si>
    <t>7154 WILLIAMS GATEWAY</t>
  </si>
  <si>
    <t>NEW RINGGOLD</t>
  </si>
  <si>
    <t>17960</t>
  </si>
  <si>
    <t>+14125550122</t>
  </si>
  <si>
    <t>***-**-0055</t>
  </si>
  <si>
    <t>****1571</t>
  </si>
  <si>
    <t>********9376</t>
  </si>
  <si>
    <t>Bayview Mutual Health Plan</t>
  </si>
  <si>
    <t>{"ADDRESS_LINE1": 0.9512, "CITY": 0.9684, "DOB": 0.9905, "FREE_TEXT": 0.9482, "FULL_NAME": 0.824, "MEMBER_ID": 0.8041, "MRN": 0.9634, "ORG_NAME": 0.8289, "PHONE": 0.9904, "SSN": 0.8716, "STATE": 0.7314, "ZIP": 0.9557}</t>
  </si>
  <si>
    <t>P0130</t>
  </si>
  <si>
    <t>M00235</t>
  </si>
  <si>
    <t>LISA</t>
  </si>
  <si>
    <t>***-**-8883</t>
  </si>
  <si>
    <t>****5932</t>
  </si>
  <si>
    <t>********2185</t>
  </si>
  <si>
    <t>XL_DATE_SERIAL_CONVERTED;DOB_MINOR</t>
  </si>
  <si>
    <t>P0131</t>
  </si>
  <si>
    <t>M00236</t>
  </si>
  <si>
    <t>REYES</t>
  </si>
  <si>
    <t>8480 JOSEPH TURNPIKE</t>
  </si>
  <si>
    <t>TARPON SPRINGS</t>
  </si>
  <si>
    <t>34688</t>
  </si>
  <si>
    <t>+14075550199</t>
  </si>
  <si>
    <t>***-**-9211</t>
  </si>
  <si>
    <t>****1694</t>
  </si>
  <si>
    <t>********6112</t>
  </si>
  <si>
    <t>P0132</t>
  </si>
  <si>
    <t>M00237</t>
  </si>
  <si>
    <t>POWELL</t>
  </si>
  <si>
    <t>+14135550141</t>
  </si>
  <si>
    <t>***-**-4990</t>
  </si>
  <si>
    <t>****7518</t>
  </si>
  <si>
    <t>********6025</t>
  </si>
  <si>
    <t>P0133</t>
  </si>
  <si>
    <t>M00238</t>
  </si>
  <si>
    <t>BENTLEY</t>
  </si>
  <si>
    <t>2379 SPENCER FIELDS</t>
  </si>
  <si>
    <t>CLEAR BROOK</t>
  </si>
  <si>
    <t>22624</t>
  </si>
  <si>
    <t>+18045550106</t>
  </si>
  <si>
    <t>***-**-5072</t>
  </si>
  <si>
    <t>****9982</t>
  </si>
  <si>
    <t>********5616</t>
  </si>
  <si>
    <t>P0134</t>
  </si>
  <si>
    <t>M00239</t>
  </si>
  <si>
    <t>****8888</t>
  </si>
  <si>
    <t>M00240</t>
  </si>
  <si>
    <t>ASHLEY</t>
  </si>
  <si>
    <t>WALLER</t>
  </si>
  <si>
    <t>+17035550190</t>
  </si>
  <si>
    <t>***-**-6367</t>
  </si>
  <si>
    <t>****4138</t>
  </si>
  <si>
    <t>********8392</t>
  </si>
  <si>
    <t>P0135</t>
  </si>
  <si>
    <t>M00241</t>
  </si>
  <si>
    <t>ORR</t>
  </si>
  <si>
    <t>+15105550123</t>
  </si>
  <si>
    <t>***-**-3439</t>
  </si>
  <si>
    <t>****0713</t>
  </si>
  <si>
    <t>********3034</t>
  </si>
  <si>
    <t>P0136</t>
  </si>
  <si>
    <t>M00242</t>
  </si>
  <si>
    <t>***-**-6099</t>
  </si>
  <si>
    <t>****5107</t>
  </si>
  <si>
    <t>********6253</t>
  </si>
  <si>
    <t>M00243</t>
  </si>
  <si>
    <t>KEVIN</t>
  </si>
  <si>
    <t>***-**-5515</t>
  </si>
  <si>
    <t>****6442</t>
  </si>
  <si>
    <t>********9593</t>
  </si>
  <si>
    <t>P0137</t>
  </si>
  <si>
    <t>M00244</t>
  </si>
  <si>
    <t>+17165550187</t>
  </si>
  <si>
    <t>***-**-1275</t>
  </si>
  <si>
    <t>****0405</t>
  </si>
  <si>
    <t>********8159</t>
  </si>
  <si>
    <t>P0138</t>
  </si>
  <si>
    <t>M00245</t>
  </si>
  <si>
    <t>****6870</t>
  </si>
  <si>
    <t>M00246</t>
  </si>
  <si>
    <t>****3968</t>
  </si>
  <si>
    <t>M00247</t>
  </si>
  <si>
    <t>CHARLES</t>
  </si>
  <si>
    <t>P</t>
  </si>
  <si>
    <t>WATTS</t>
  </si>
  <si>
    <t>4741 SNYDER GARDENS</t>
  </si>
  <si>
    <t>90026</t>
  </si>
  <si>
    <t>***-**-0673</t>
  </si>
  <si>
    <t>****0091</t>
  </si>
  <si>
    <t>********9269</t>
  </si>
  <si>
    <t>XL_DATE_SERIAL_CONVERTED;ADDR_GEOCODE_NOMATCH</t>
  </si>
  <si>
    <t>P0139</t>
  </si>
  <si>
    <t>M00248</t>
  </si>
  <si>
    <t>****5297</t>
  </si>
  <si>
    <t>M00249</t>
  </si>
  <si>
    <t>****7058</t>
  </si>
  <si>
    <t>M00250</t>
  </si>
  <si>
    <t>***-**-1525</t>
  </si>
  <si>
    <t>****7191</t>
  </si>
  <si>
    <t>********6234</t>
  </si>
  <si>
    <t>DOB_TWO_DIGIT_YEAR;DOB_MINOR</t>
  </si>
  <si>
    <t>M00251</t>
  </si>
  <si>
    <t>***-**-3202</t>
  </si>
  <si>
    <t>****6038</t>
  </si>
  <si>
    <t>********1383</t>
  </si>
  <si>
    <t>M00252</t>
  </si>
  <si>
    <t>TIFFANY</t>
  </si>
  <si>
    <t>MCCALL</t>
  </si>
  <si>
    <t>2280 MICHAEL CLIFF</t>
  </si>
  <si>
    <t>MILLSAP</t>
  </si>
  <si>
    <t>76066</t>
  </si>
  <si>
    <t>+19155550138</t>
  </si>
  <si>
    <t>***-**-8583</t>
  </si>
  <si>
    <t>****2209</t>
  </si>
  <si>
    <t>********3051</t>
  </si>
  <si>
    <t>P0140</t>
  </si>
  <si>
    <t>M00253</t>
  </si>
  <si>
    <t>****0105</t>
  </si>
  <si>
    <t>M00254</t>
  </si>
  <si>
    <t>STEVE</t>
  </si>
  <si>
    <t>***-**-4027</t>
  </si>
  <si>
    <t>****8380</t>
  </si>
  <si>
    <t>********9856</t>
  </si>
  <si>
    <t>P0141</t>
  </si>
  <si>
    <t>M00255</t>
  </si>
  <si>
    <t>EVANS</t>
  </si>
  <si>
    <t>6136 ALVARADO CROSSING</t>
  </si>
  <si>
    <t>HAYWARD</t>
  </si>
  <si>
    <t>94544</t>
  </si>
  <si>
    <t>+19165550154</t>
  </si>
  <si>
    <t>***-**-2254</t>
  </si>
  <si>
    <t>****9988</t>
  </si>
  <si>
    <t>********0388</t>
  </si>
  <si>
    <t>DOB_TWO_DIGIT_YEAR;ADDR_GEOCODE_NOMATCH</t>
  </si>
  <si>
    <t>P0142</t>
  </si>
  <si>
    <t>M00256</t>
  </si>
  <si>
    <t>DRAKE</t>
  </si>
  <si>
    <t>879 JEANNE ALLEY</t>
  </si>
  <si>
    <t>DUANESBURG</t>
  </si>
  <si>
    <t>12056</t>
  </si>
  <si>
    <t>+15185550180</t>
  </si>
  <si>
    <t>***-**-4446</t>
  </si>
  <si>
    <t>****2562</t>
  </si>
  <si>
    <t>********9264</t>
  </si>
  <si>
    <t>P0143</t>
  </si>
  <si>
    <t>M00257</t>
  </si>
  <si>
    <t>PENA</t>
  </si>
  <si>
    <t>5162 CLARK TURNPIKE</t>
  </si>
  <si>
    <t>PORT HUENEME</t>
  </si>
  <si>
    <t>93041</t>
  </si>
  <si>
    <t>***-**-3894</t>
  </si>
  <si>
    <t>****0915</t>
  </si>
  <si>
    <t>********3533</t>
  </si>
  <si>
    <t>P0144</t>
  </si>
  <si>
    <t>M00258</t>
  </si>
  <si>
    <t>+17135550166</t>
  </si>
  <si>
    <t>***-**-8349</t>
  </si>
  <si>
    <t>****7109</t>
  </si>
  <si>
    <t>********4866</t>
  </si>
  <si>
    <t>M00259</t>
  </si>
  <si>
    <t>****6659</t>
  </si>
  <si>
    <t>FREE_TEXT_PII_FOUND</t>
  </si>
  <si>
    <t>M00260</t>
  </si>
  <si>
    <t>***-**-1530</t>
  </si>
  <si>
    <t>****3611</t>
  </si>
  <si>
    <t>********1890</t>
  </si>
  <si>
    <t>FREE_TEXT_PII_FOUND;DUPLICATE_CANDIDATE</t>
  </si>
  <si>
    <t>M00261</t>
  </si>
  <si>
    <t>HAMILTON</t>
  </si>
  <si>
    <t>+15185550128</t>
  </si>
  <si>
    <t>***-**-2558</t>
  </si>
  <si>
    <t>****1790</t>
  </si>
  <si>
    <t>********2783</t>
  </si>
  <si>
    <t>P0145</t>
  </si>
  <si>
    <t>M00262</t>
  </si>
  <si>
    <t>LAM</t>
  </si>
  <si>
    <t>8599 GRAHAM PASS</t>
  </si>
  <si>
    <t>78204</t>
  </si>
  <si>
    <t>+12105550157</t>
  </si>
  <si>
    <t>***-**-5299</t>
  </si>
  <si>
    <t>****3884</t>
  </si>
  <si>
    <t>********0420</t>
  </si>
  <si>
    <t>P0146</t>
  </si>
  <si>
    <t>M00263</t>
  </si>
  <si>
    <t>ANDREW</t>
  </si>
  <si>
    <t>RUIZ</t>
  </si>
  <si>
    <t>+15855550131</t>
  </si>
  <si>
    <t>***-**-5951</t>
  </si>
  <si>
    <t>****2005</t>
  </si>
  <si>
    <t>********8299</t>
  </si>
  <si>
    <t>P0147</t>
  </si>
  <si>
    <t>M00264</t>
  </si>
  <si>
    <t>GONZALEZ</t>
  </si>
  <si>
    <t>+15085550177</t>
  </si>
  <si>
    <t>***-**-0014</t>
  </si>
  <si>
    <t>****8765</t>
  </si>
  <si>
    <t>********8468</t>
  </si>
  <si>
    <t>P0148</t>
  </si>
  <si>
    <t>M00265</t>
  </si>
  <si>
    <t>****3556</t>
  </si>
  <si>
    <t>FREE_TEXT_PII_FOUND;DOB_TWO_DIGIT_YEAR;ADDR_GEOCODE_NOMATCH</t>
  </si>
  <si>
    <t>M00266</t>
  </si>
  <si>
    <t>RUBIO</t>
  </si>
  <si>
    <t>4836 KIMBERLY FORGES</t>
  </si>
  <si>
    <t>CROZET</t>
  </si>
  <si>
    <t>22932</t>
  </si>
  <si>
    <t>+18045550156</t>
  </si>
  <si>
    <t>***-**-4529</t>
  </si>
  <si>
    <t>****9470</t>
  </si>
  <si>
    <t>********5690</t>
  </si>
  <si>
    <t>P0149</t>
  </si>
  <si>
    <t>M00267</t>
  </si>
  <si>
    <t>****6560</t>
  </si>
  <si>
    <t>M00268</t>
  </si>
  <si>
    <t>GREGORY</t>
  </si>
  <si>
    <t>HOOVER</t>
  </si>
  <si>
    <t>7136 LISA MOUNT</t>
  </si>
  <si>
    <t>FALLS</t>
  </si>
  <si>
    <t>18615</t>
  </si>
  <si>
    <t>+16105550101</t>
  </si>
  <si>
    <t>***-**-3722</t>
  </si>
  <si>
    <t>****8536</t>
  </si>
  <si>
    <t>********4163</t>
  </si>
  <si>
    <t>P0150</t>
  </si>
  <si>
    <t>M00269</t>
  </si>
  <si>
    <t>POTTER</t>
  </si>
  <si>
    <t>***-**-8922</t>
  </si>
  <si>
    <t>****6997</t>
  </si>
  <si>
    <t>********5190</t>
  </si>
  <si>
    <t>P0151</t>
  </si>
  <si>
    <t>M00270</t>
  </si>
  <si>
    <t>LOGAN</t>
  </si>
  <si>
    <t>MACK</t>
  </si>
  <si>
    <t>7927 BRANDON MOUNTAINS</t>
  </si>
  <si>
    <t>78218</t>
  </si>
  <si>
    <t>+12105550137</t>
  </si>
  <si>
    <t>***-**-1312</t>
  </si>
  <si>
    <t>****7929</t>
  </si>
  <si>
    <t>********2814</t>
  </si>
  <si>
    <t>P0152</t>
  </si>
  <si>
    <t>M00271</t>
  </si>
  <si>
    <t>****8879</t>
  </si>
  <si>
    <t>********4097</t>
  </si>
  <si>
    <t>M00272</t>
  </si>
  <si>
    <t>****0100</t>
  </si>
  <si>
    <t>M00273</t>
  </si>
  <si>
    <t>+19155550184</t>
  </si>
  <si>
    <t>***-**-4456</t>
  </si>
  <si>
    <t>****3521</t>
  </si>
  <si>
    <t>********2067</t>
  </si>
  <si>
    <t>ADDR_LINE2_SPLIT;XL_DATE_SERIAL_CONVERTED;ADDR_GEOCODE_NOMATCH</t>
  </si>
  <si>
    <t>M00274</t>
  </si>
  <si>
    <t>***-**-8106</t>
  </si>
  <si>
    <t>****2975</t>
  </si>
  <si>
    <t>********2770</t>
  </si>
  <si>
    <t>M00275</t>
  </si>
  <si>
    <t>****2219</t>
  </si>
  <si>
    <t>********7474</t>
  </si>
  <si>
    <t>M00276</t>
  </si>
  <si>
    <t>****9096</t>
  </si>
  <si>
    <t>********3888</t>
  </si>
  <si>
    <t>M00277</t>
  </si>
  <si>
    <t>MIKE</t>
  </si>
  <si>
    <t>+19165550192</t>
  </si>
  <si>
    <t>***-**-9951</t>
  </si>
  <si>
    <t>****8625</t>
  </si>
  <si>
    <t>********4349</t>
  </si>
  <si>
    <t>P0153</t>
  </si>
  <si>
    <t>M00278</t>
  </si>
  <si>
    <t>+15185550116</t>
  </si>
  <si>
    <t>***-**-1876</t>
  </si>
  <si>
    <t>****1662</t>
  </si>
  <si>
    <t>********3817</t>
  </si>
  <si>
    <t>P0154</t>
  </si>
  <si>
    <t>M00279</t>
  </si>
  <si>
    <t>****0541</t>
  </si>
  <si>
    <t>M00280</t>
  </si>
  <si>
    <t>****8785</t>
  </si>
  <si>
    <t>M00281</t>
  </si>
  <si>
    <t>****5747</t>
  </si>
  <si>
    <t>M00282</t>
  </si>
  <si>
    <t>KAYLEE</t>
  </si>
  <si>
    <t>SCHULTZ</t>
  </si>
  <si>
    <t>7682 DONNA HAVEN</t>
  </si>
  <si>
    <t>+19165550136</t>
  </si>
  <si>
    <t>***-**-7626</t>
  </si>
  <si>
    <t>****1581</t>
  </si>
  <si>
    <t>********9382</t>
  </si>
  <si>
    <t>P0155</t>
  </si>
  <si>
    <t>M00283</t>
  </si>
  <si>
    <t>TRACY</t>
  </si>
  <si>
    <t>+13055550107</t>
  </si>
  <si>
    <t>***-**-7114</t>
  </si>
  <si>
    <t>****7358</t>
  </si>
  <si>
    <t>********5240</t>
  </si>
  <si>
    <t>P0156</t>
  </si>
  <si>
    <t>M00284</t>
  </si>
  <si>
    <t>****1286</t>
  </si>
  <si>
    <t>M00285</t>
  </si>
  <si>
    <t>***-**-2481</t>
  </si>
  <si>
    <t>****2196</t>
  </si>
  <si>
    <t>********8999</t>
  </si>
  <si>
    <t>M00286</t>
  </si>
  <si>
    <t>CROSBY</t>
  </si>
  <si>
    <t>8039 FRAZIER VILLE</t>
  </si>
  <si>
    <t>JESSUP</t>
  </si>
  <si>
    <t>18434</t>
  </si>
  <si>
    <t>+16105550199</t>
  </si>
  <si>
    <t>***-**-5304</t>
  </si>
  <si>
    <t>****3878</t>
  </si>
  <si>
    <t>********8102</t>
  </si>
  <si>
    <t>FREE_TEXT_PII_FOUND;ADDR_GEOCODE_NOMATCH</t>
  </si>
  <si>
    <t>P0157</t>
  </si>
  <si>
    <t>M00287</t>
  </si>
  <si>
    <t>***-**-8226</t>
  </si>
  <si>
    <t>****0617</t>
  </si>
  <si>
    <t>********5349</t>
  </si>
  <si>
    <t>M00288</t>
  </si>
  <si>
    <t>***-**-6435</t>
  </si>
  <si>
    <t>****1168</t>
  </si>
  <si>
    <t>********0175</t>
  </si>
  <si>
    <t>XL_DATE_SERIAL_CONVERTED;DOB_MINOR;DUPLICATE_CANDIDATE</t>
  </si>
  <si>
    <t>M00289</t>
  </si>
  <si>
    <t>+17135550107</t>
  </si>
  <si>
    <t>***-**-8378</t>
  </si>
  <si>
    <t>****0030</t>
  </si>
  <si>
    <t>********3536</t>
  </si>
  <si>
    <t>M00290</t>
  </si>
  <si>
    <t>KELLEY</t>
  </si>
  <si>
    <t>+18045550166</t>
  </si>
  <si>
    <t>***-**-5461</t>
  </si>
  <si>
    <t>****3955</t>
  </si>
  <si>
    <t>********9962</t>
  </si>
  <si>
    <t>P0158</t>
  </si>
  <si>
    <t>M00291</t>
  </si>
  <si>
    <t>VICTOR</t>
  </si>
  <si>
    <t>***-**-6998</t>
  </si>
  <si>
    <t>****4577</t>
  </si>
  <si>
    <t>********2404</t>
  </si>
  <si>
    <t>P0159</t>
  </si>
  <si>
    <t>M00292</t>
  </si>
  <si>
    <t>LINDA</t>
  </si>
  <si>
    <t>***-**-0481</t>
  </si>
  <si>
    <t>****4803</t>
  </si>
  <si>
    <t>********5590</t>
  </si>
  <si>
    <t>P0160</t>
  </si>
  <si>
    <t>M00293</t>
  </si>
  <si>
    <t>+15105550198</t>
  </si>
  <si>
    <t>***-**-9696</t>
  </si>
  <si>
    <t>****5041</t>
  </si>
  <si>
    <t>********3667</t>
  </si>
  <si>
    <t>P0161</t>
  </si>
  <si>
    <t>M00294</t>
  </si>
  <si>
    <t>****6118</t>
  </si>
  <si>
    <t>M00295</t>
  </si>
  <si>
    <t>****9901</t>
  </si>
  <si>
    <t>M00296</t>
  </si>
  <si>
    <t>****9640</t>
  </si>
  <si>
    <t>XL_DATE_SERIAL_CONVERTED;FREE_TEXT_PII_FOUND;DUPLICATE_CANDIDATE</t>
  </si>
  <si>
    <t>M00297</t>
  </si>
  <si>
    <t>MURPHY</t>
  </si>
  <si>
    <t>4464 JEFFREY SHOALS</t>
  </si>
  <si>
    <t>NORWOOD</t>
  </si>
  <si>
    <t>24581</t>
  </si>
  <si>
    <t>+17035550148</t>
  </si>
  <si>
    <t>***-**-6766</t>
  </si>
  <si>
    <t>****0371</t>
  </si>
  <si>
    <t>********0881</t>
  </si>
  <si>
    <t>P0162</t>
  </si>
  <si>
    <t>M00298</t>
  </si>
  <si>
    <t>***-**-8872</t>
  </si>
  <si>
    <t>****2061</t>
  </si>
  <si>
    <t>********1686</t>
  </si>
  <si>
    <t>P0163</t>
  </si>
  <si>
    <t>M00299</t>
  </si>
  <si>
    <t>D0037</t>
  </si>
  <si>
    <t>sheets/payroll_export.csv</t>
  </si>
  <si>
    <t>{"ADDRESS_LINE1": 0.9421, "BANK_ACCOUNT": 0.9307, "CITY": 0.9685, "EMPLOYEE_ID": 0.7046, "FULL_NAME": 0.8709, "OTHER": 0.9579, "ROUTING": 0.7009, "SSN": 0.9583, "STATE": 0.7333, "ZIP": 0.9499}</t>
  </si>
  <si>
    <t>M00300</t>
  </si>
  <si>
    <t>XL_SSN_ZERO_PADDED</t>
  </si>
  <si>
    <t>XL_SSN_ZERO_PADDED;NOTIFY_STATE_UNKNOWN</t>
  </si>
  <si>
    <t>M00301</t>
  </si>
  <si>
    <t>M00302</t>
  </si>
  <si>
    <t>M00303</t>
  </si>
  <si>
    <t>*******6773</t>
  </si>
  <si>
    <t>M00304</t>
  </si>
  <si>
    <t>M00305</t>
  </si>
  <si>
    <t>M00306</t>
  </si>
  <si>
    <t>XL_ERROR_VALUE;DUPLICATE_CANDIDATE</t>
  </si>
  <si>
    <t>M00307</t>
  </si>
  <si>
    <t>M00308</t>
  </si>
  <si>
    <t>M00309</t>
  </si>
  <si>
    <t>XL_ERROR_VALUE</t>
  </si>
  <si>
    <t>M00310</t>
  </si>
  <si>
    <t>M00311</t>
  </si>
  <si>
    <t>JJ</t>
  </si>
  <si>
    <t>NAME_SUFFIX_INVALID</t>
  </si>
  <si>
    <t>M00312</t>
  </si>
  <si>
    <t>******5925</t>
  </si>
  <si>
    <t>M00313</t>
  </si>
  <si>
    <t>M00314</t>
  </si>
  <si>
    <t>********8017</t>
  </si>
  <si>
    <t>M00315</t>
  </si>
  <si>
    <t>M00316</t>
  </si>
  <si>
    <t>M00317</t>
  </si>
  <si>
    <t>********3984</t>
  </si>
  <si>
    <t>M00318</t>
  </si>
  <si>
    <t>M00319</t>
  </si>
  <si>
    <t>********6675</t>
  </si>
  <si>
    <t>M00320</t>
  </si>
  <si>
    <t>********8668</t>
  </si>
  <si>
    <t>M00321</t>
  </si>
  <si>
    <t>M00322</t>
  </si>
  <si>
    <t>XL_ERROR_VALUE;DUPLICATE_CANDIDATE;NOTIFY_STATE_UNKNOWN</t>
  </si>
  <si>
    <t>M00323</t>
  </si>
  <si>
    <t>******7980</t>
  </si>
  <si>
    <t>M00324</t>
  </si>
  <si>
    <t>*******8842</t>
  </si>
  <si>
    <t>M00325</t>
  </si>
  <si>
    <t>M00326</t>
  </si>
  <si>
    <t>M00327</t>
  </si>
  <si>
    <t>XL_SSN_ZERO_PADDED;DUPLICATE_CANDIDATE;NOTIFY_STATE_UNKNOWN</t>
  </si>
  <si>
    <t>M00328</t>
  </si>
  <si>
    <t>*******7394</t>
  </si>
  <si>
    <t>M00329</t>
  </si>
  <si>
    <t>M00330</t>
  </si>
  <si>
    <t>********7541</t>
  </si>
  <si>
    <t>M00331</t>
  </si>
  <si>
    <t>M00332</t>
  </si>
  <si>
    <t>M00333</t>
  </si>
  <si>
    <t>*******5054</t>
  </si>
  <si>
    <t>M00334</t>
  </si>
  <si>
    <t>M00335</t>
  </si>
  <si>
    <t>******5290</t>
  </si>
  <si>
    <t>M00336</t>
  </si>
  <si>
    <t>M00337</t>
  </si>
  <si>
    <t>M00338</t>
  </si>
  <si>
    <t>*******2478</t>
  </si>
  <si>
    <t>M00339</t>
  </si>
  <si>
    <t>M00340</t>
  </si>
  <si>
    <t>M00341</t>
  </si>
  <si>
    <t>M00342</t>
  </si>
  <si>
    <t>M00343</t>
  </si>
  <si>
    <t>M00344</t>
  </si>
  <si>
    <t>M00345</t>
  </si>
  <si>
    <t>M00346</t>
  </si>
  <si>
    <t>M00347</t>
  </si>
  <si>
    <t>M00348</t>
  </si>
  <si>
    <t>M00349</t>
  </si>
  <si>
    <t>********8516</t>
  </si>
  <si>
    <t>M00350</t>
  </si>
  <si>
    <t>*******8089</t>
  </si>
  <si>
    <t>M00351</t>
  </si>
  <si>
    <t>M00352</t>
  </si>
  <si>
    <t>M00353</t>
  </si>
  <si>
    <t>M00354</t>
  </si>
  <si>
    <t>M00355</t>
  </si>
  <si>
    <t>M00356</t>
  </si>
  <si>
    <t>M00357</t>
  </si>
  <si>
    <t>M00358</t>
  </si>
  <si>
    <t>M00359</t>
  </si>
  <si>
    <t>M00360</t>
  </si>
  <si>
    <t>M00361</t>
  </si>
  <si>
    <t>M00362</t>
  </si>
  <si>
    <t>M00363</t>
  </si>
  <si>
    <t>M00364</t>
  </si>
  <si>
    <t>M00365</t>
  </si>
  <si>
    <t>M00366</t>
  </si>
  <si>
    <t>M00367</t>
  </si>
  <si>
    <t>M00368</t>
  </si>
  <si>
    <t>M00369</t>
  </si>
  <si>
    <t>M00370</t>
  </si>
  <si>
    <t>M00371</t>
  </si>
  <si>
    <t>M00372</t>
  </si>
  <si>
    <t>M00373</t>
  </si>
  <si>
    <t>M00374</t>
  </si>
  <si>
    <t>M00375</t>
  </si>
  <si>
    <t>M00376</t>
  </si>
  <si>
    <t>XL_ERROR_VALUE;ADDR_GEOCODE_NOMATCH</t>
  </si>
  <si>
    <t>M00377</t>
  </si>
  <si>
    <t>M00378</t>
  </si>
  <si>
    <t>M00379</t>
  </si>
  <si>
    <t>D0038</t>
  </si>
  <si>
    <t>sheets/student_roster.xlsx</t>
  </si>
  <si>
    <t>Students</t>
  </si>
  <si>
    <t>STUDENT</t>
  </si>
  <si>
    <t>ESPINOZA</t>
  </si>
  <si>
    <t>4975 JOHNSTON LANE</t>
  </si>
  <si>
    <t>BRADFORD</t>
  </si>
  <si>
    <t>14815</t>
  </si>
  <si>
    <t>****9778</t>
  </si>
  <si>
    <t>Maple Valley Unified School District</t>
  </si>
  <si>
    <t>{"ADDRESS_LINE1": 0.934, "CITY": 0.957, "DOB": 0.9687, "FULL_NAME": 0.789, "GUARDIAN_NAME": 0.6305, "OTHER": 0.9731, "SCHOOL": 0.9314, "STATE": 0.7635, "STUDENT_ID": 0.9638, "ZIP": 0.9467}</t>
  </si>
  <si>
    <t>DOB_MINOR;FERPA_RECORD;ADDR_GEOCODE_NOMATCH</t>
  </si>
  <si>
    <t>P0164</t>
  </si>
  <si>
    <t>M00380</t>
  </si>
  <si>
    <t>GUARDIAN</t>
  </si>
  <si>
    <t>MELISSA</t>
  </si>
  <si>
    <t>+17165550198</t>
  </si>
  <si>
    <t>COL_MAPPING_LOW_CONF;PERSON_NO_QUALIFYING_ELEMENT</t>
  </si>
  <si>
    <t>P0165</t>
  </si>
  <si>
    <t>M00381</t>
  </si>
  <si>
    <t>PRICE</t>
  </si>
  <si>
    <t>5925 SMITH KNOLL</t>
  </si>
  <si>
    <t>15233</t>
  </si>
  <si>
    <t>****1376</t>
  </si>
  <si>
    <t>P0166</t>
  </si>
  <si>
    <t>M00382</t>
  </si>
  <si>
    <t>RUSSELL</t>
  </si>
  <si>
    <t>+12155550118</t>
  </si>
  <si>
    <t>P0167</t>
  </si>
  <si>
    <t>M00383</t>
  </si>
  <si>
    <t>****7043</t>
  </si>
  <si>
    <t>Eastlake State University</t>
  </si>
  <si>
    <t>FERPA_RECORD;DUPLICATE_CANDIDATE</t>
  </si>
  <si>
    <t>M00384</t>
  </si>
  <si>
    <t>COL_MAPPING_LOW_CONF;PERSON_NO_QUALIFYING_ELEMENT;DUPLICATE_CANDIDATE</t>
  </si>
  <si>
    <t>P0168</t>
  </si>
  <si>
    <t>M00385</t>
  </si>
  <si>
    <t>THERESA</t>
  </si>
  <si>
    <t>2294 STEIN PRAIRIE</t>
  </si>
  <si>
    <t>VERONA</t>
  </si>
  <si>
    <t>15147</t>
  </si>
  <si>
    <t>****9834</t>
  </si>
  <si>
    <t>P0169</t>
  </si>
  <si>
    <t>M00386</t>
  </si>
  <si>
    <t>+17175550140</t>
  </si>
  <si>
    <t>P0170</t>
  </si>
  <si>
    <t>M00387</t>
  </si>
  <si>
    <t>PATTON</t>
  </si>
  <si>
    <t>****0569</t>
  </si>
  <si>
    <t>DOB_MINOR;FERPA_RECORD</t>
  </si>
  <si>
    <t>P0171</t>
  </si>
  <si>
    <t>M00388</t>
  </si>
  <si>
    <t>+16195550121</t>
  </si>
  <si>
    <t>P0172</t>
  </si>
  <si>
    <t>M00389</t>
  </si>
  <si>
    <t>****8444</t>
  </si>
  <si>
    <t>M00390</t>
  </si>
  <si>
    <t>P0173</t>
  </si>
  <si>
    <t>M00391</t>
  </si>
  <si>
    <t>****7528</t>
  </si>
  <si>
    <t>DOB_MINOR;FERPA_RECORD;DUPLICATE_CANDIDATE;NOTIFY_STATE_UNKNOWN</t>
  </si>
  <si>
    <t>M00392</t>
  </si>
  <si>
    <t>COL_MAPPING_LOW_CONF;PERSON_NO_QUALIFYING_ELEMENT;DUPLICATE_CANDIDATE;NOTIFY_STATE_UNKNOWN</t>
  </si>
  <si>
    <t>P0174</t>
  </si>
  <si>
    <t>M00393</t>
  </si>
  <si>
    <t>MARSHALL</t>
  </si>
  <si>
    <t>3345 GILBERT PLAIN</t>
  </si>
  <si>
    <t>DALLAS</t>
  </si>
  <si>
    <t>75225</t>
  </si>
  <si>
    <t>****3034</t>
  </si>
  <si>
    <t>P0175</t>
  </si>
  <si>
    <t>M00394</t>
  </si>
  <si>
    <t>+17135550182</t>
  </si>
  <si>
    <t>P0176</t>
  </si>
  <si>
    <t>M00395</t>
  </si>
  <si>
    <t>4262 RAMSEY VILLE</t>
  </si>
  <si>
    <t>OLDSMAR</t>
  </si>
  <si>
    <t>34677</t>
  </si>
  <si>
    <t>****5650</t>
  </si>
  <si>
    <t>P0177</t>
  </si>
  <si>
    <t>M00396</t>
  </si>
  <si>
    <t>MARCUS</t>
  </si>
  <si>
    <t>+14075550169</t>
  </si>
  <si>
    <t>P0178</t>
  </si>
  <si>
    <t>M00397</t>
  </si>
  <si>
    <t>TYLER</t>
  </si>
  <si>
    <t>REID</t>
  </si>
  <si>
    <t>****7374</t>
  </si>
  <si>
    <t>P0179</t>
  </si>
  <si>
    <t>M00398</t>
  </si>
  <si>
    <t>+16105550155</t>
  </si>
  <si>
    <t>P0180</t>
  </si>
  <si>
    <t>M00399</t>
  </si>
  <si>
    <t>COURTNEY</t>
  </si>
  <si>
    <t>JONES</t>
  </si>
  <si>
    <t>****7164</t>
  </si>
  <si>
    <t>P0181</t>
  </si>
  <si>
    <t>M00400</t>
  </si>
  <si>
    <t>+15855550108</t>
  </si>
  <si>
    <t>P0182</t>
  </si>
  <si>
    <t>M00401</t>
  </si>
  <si>
    <t>DONALD</t>
  </si>
  <si>
    <t>BEAN</t>
  </si>
  <si>
    <t>318 ROGERS LIGHT</t>
  </si>
  <si>
    <t>STRABANE</t>
  </si>
  <si>
    <t>15363</t>
  </si>
  <si>
    <t>****1401</t>
  </si>
  <si>
    <t>P0183</t>
  </si>
  <si>
    <t>M00402</t>
  </si>
  <si>
    <t>+16105550174</t>
  </si>
  <si>
    <t>P0184</t>
  </si>
  <si>
    <t>M00403</t>
  </si>
  <si>
    <t>BARTON</t>
  </si>
  <si>
    <t>****5565</t>
  </si>
  <si>
    <t>DOB_MINOR;FERPA_RECORD;NOTIFY_STATE_UNKNOWN</t>
  </si>
  <si>
    <t>P0185</t>
  </si>
  <si>
    <t>M00404</t>
  </si>
  <si>
    <t>LINDSAY</t>
  </si>
  <si>
    <t>+16175550139</t>
  </si>
  <si>
    <t>COL_MAPPING_LOW_CONF;PERSON_NO_QUALIFYING_ELEMENT;NOTIFY_STATE_UNKNOWN</t>
  </si>
  <si>
    <t>P0186</t>
  </si>
  <si>
    <t>M00405</t>
  </si>
  <si>
    <t>RANDALL</t>
  </si>
  <si>
    <t>JACKSON</t>
  </si>
  <si>
    <t>6567 STEVEN GLENS</t>
  </si>
  <si>
    <t>DYSART</t>
  </si>
  <si>
    <t>16636</t>
  </si>
  <si>
    <t>****7320</t>
  </si>
  <si>
    <t>P0187</t>
  </si>
  <si>
    <t>M00406</t>
  </si>
  <si>
    <t>+17175550177</t>
  </si>
  <si>
    <t>NAME_ORDER_AMBIGUOUS;COL_MAPPING_LOW_CONF;PERSON_NO_QUALIFYING_ELEMENT</t>
  </si>
  <si>
    <t>P0188</t>
  </si>
  <si>
    <t>M00407</t>
  </si>
  <si>
    <t>BRANDY</t>
  </si>
  <si>
    <t>MURRAY</t>
  </si>
  <si>
    <t>****4013</t>
  </si>
  <si>
    <t>P0189</t>
  </si>
  <si>
    <t>M00408</t>
  </si>
  <si>
    <t>JAMIE</t>
  </si>
  <si>
    <t>+13055550154</t>
  </si>
  <si>
    <t>P0190</t>
  </si>
  <si>
    <t>M00409</t>
  </si>
  <si>
    <t>DIANA</t>
  </si>
  <si>
    <t>HAYES</t>
  </si>
  <si>
    <t>336 MARIAH CORNERS</t>
  </si>
  <si>
    <t>PORTSMOUTH</t>
  </si>
  <si>
    <t>23701</t>
  </si>
  <si>
    <t>****3198</t>
  </si>
  <si>
    <t>P0191</t>
  </si>
  <si>
    <t>M00410</t>
  </si>
  <si>
    <t>+18045550198</t>
  </si>
  <si>
    <t>P0192</t>
  </si>
  <si>
    <t>M00411</t>
  </si>
  <si>
    <t>GABRIELLA</t>
  </si>
  <si>
    <t>OROZCO</t>
  </si>
  <si>
    <t>****8422</t>
  </si>
  <si>
    <t>P0193</t>
  </si>
  <si>
    <t>M00412</t>
  </si>
  <si>
    <t>BRITTANY</t>
  </si>
  <si>
    <t>+17035550123</t>
  </si>
  <si>
    <t>P0194</t>
  </si>
  <si>
    <t>M00413</t>
  </si>
  <si>
    <t>****7014</t>
  </si>
  <si>
    <t>DOB_MINOR;FERPA_RECORD;DUPLICATE_CANDIDATE</t>
  </si>
  <si>
    <t>M00414</t>
  </si>
  <si>
    <t>P0195</t>
  </si>
  <si>
    <t>M00415</t>
  </si>
  <si>
    <t>KATIE</t>
  </si>
  <si>
    <t>PETERSON</t>
  </si>
  <si>
    <t>****9191</t>
  </si>
  <si>
    <t>P0196</t>
  </si>
  <si>
    <t>M00416</t>
  </si>
  <si>
    <t>P0197</t>
  </si>
  <si>
    <t>M00417</t>
  </si>
  <si>
    <t>RIVERA</t>
  </si>
  <si>
    <t>5202 JASMINE CIRCLES</t>
  </si>
  <si>
    <t>LOCKPORT</t>
  </si>
  <si>
    <t>14094</t>
  </si>
  <si>
    <t>****7520</t>
  </si>
  <si>
    <t>P0198</t>
  </si>
  <si>
    <t>M00418</t>
  </si>
  <si>
    <t>ANTONIO</t>
  </si>
  <si>
    <t>+19145550143</t>
  </si>
  <si>
    <t>P0199</t>
  </si>
  <si>
    <t>M00419</t>
  </si>
  <si>
    <t>****0393</t>
  </si>
  <si>
    <t>M00420</t>
  </si>
  <si>
    <t>P0200</t>
  </si>
  <si>
    <t>M00421</t>
  </si>
  <si>
    <t>ELLIOTT</t>
  </si>
  <si>
    <t>****5765</t>
  </si>
  <si>
    <t>P0201</t>
  </si>
  <si>
    <t>M00422</t>
  </si>
  <si>
    <t>+15125550153</t>
  </si>
  <si>
    <t>P0202</t>
  </si>
  <si>
    <t>M00423</t>
  </si>
  <si>
    <t>****8593</t>
  </si>
  <si>
    <t>M00424</t>
  </si>
  <si>
    <t>P0203</t>
  </si>
  <si>
    <t>M00425</t>
  </si>
  <si>
    <t>NAVARRO</t>
  </si>
  <si>
    <t>****9232</t>
  </si>
  <si>
    <t>P0204</t>
  </si>
  <si>
    <t>M00426</t>
  </si>
  <si>
    <t>+19145550128</t>
  </si>
  <si>
    <t>P0205</t>
  </si>
  <si>
    <t>M00427</t>
  </si>
  <si>
    <t>CURRY</t>
  </si>
  <si>
    <t>****8013</t>
  </si>
  <si>
    <t>P0206</t>
  </si>
  <si>
    <t>M00428</t>
  </si>
  <si>
    <t>+17135550165</t>
  </si>
  <si>
    <t>P0207</t>
  </si>
  <si>
    <t>M00429</t>
  </si>
  <si>
    <t>SABRINA</t>
  </si>
  <si>
    <t>OCONNELL</t>
  </si>
  <si>
    <t>****5880</t>
  </si>
  <si>
    <t>P0208</t>
  </si>
  <si>
    <t>M00430</t>
  </si>
  <si>
    <t>+12155550104</t>
  </si>
  <si>
    <t>P0209</t>
  </si>
  <si>
    <t>M00431</t>
  </si>
  <si>
    <t>****4719</t>
  </si>
  <si>
    <t>P0210</t>
  </si>
  <si>
    <t>M00432</t>
  </si>
  <si>
    <t>+14155550147</t>
  </si>
  <si>
    <t>P0211</t>
  </si>
  <si>
    <t>M00433</t>
  </si>
  <si>
    <t>****6868</t>
  </si>
  <si>
    <t>M00434</t>
  </si>
  <si>
    <t>P0212</t>
  </si>
  <si>
    <t>M00435</t>
  </si>
  <si>
    <t>SARA</t>
  </si>
  <si>
    <t>HOWELL</t>
  </si>
  <si>
    <t>6030 STEFANIE FLATS</t>
  </si>
  <si>
    <t>MENDOTA</t>
  </si>
  <si>
    <t>24270</t>
  </si>
  <si>
    <t>****9121</t>
  </si>
  <si>
    <t>P0213</t>
  </si>
  <si>
    <t>M00436</t>
  </si>
  <si>
    <t>+17035550197</t>
  </si>
  <si>
    <t>P0214</t>
  </si>
  <si>
    <t>M00437</t>
  </si>
  <si>
    <t>****4101</t>
  </si>
  <si>
    <t>M00438</t>
  </si>
  <si>
    <t>P0215</t>
  </si>
  <si>
    <t>Review queue: one row per column-level item (ADR-062)</t>
  </si>
  <si>
    <t>Set review_status from the dropdown. RESOLVED = decided in config/review_overrides.yaml.</t>
  </si>
  <si>
    <t>item_type</t>
  </si>
  <si>
    <t>item_id</t>
  </si>
  <si>
    <t>severity</t>
  </si>
  <si>
    <t>codes</t>
  </si>
  <si>
    <t>affected_rows</t>
  </si>
  <si>
    <t>sheet</t>
  </si>
  <si>
    <t>header</t>
  </si>
  <si>
    <t>status</t>
  </si>
  <si>
    <t>reviewer_note</t>
  </si>
  <si>
    <t>reviewed_by</t>
  </si>
  <si>
    <t>reviewed_at</t>
  </si>
  <si>
    <t>go</t>
  </si>
  <si>
    <t>MENTION</t>
  </si>
  <si>
    <t>MEN:M00012</t>
  </si>
  <si>
    <t>ERROR</t>
  </si>
  <si>
    <t>OPEN</t>
  </si>
  <si>
    <t>MEN:M00021</t>
  </si>
  <si>
    <t>MEN:M00084</t>
  </si>
  <si>
    <t>MEN:M00092</t>
  </si>
  <si>
    <t>MEN:M00096</t>
  </si>
  <si>
    <t>MEN:M00100</t>
  </si>
  <si>
    <t>MEN:M00101</t>
  </si>
  <si>
    <t>MEN:M00106</t>
  </si>
  <si>
    <t>MEN:M00111</t>
  </si>
  <si>
    <t>MEN:M00117</t>
  </si>
  <si>
    <t>MEN:M00129</t>
  </si>
  <si>
    <t>MEN:M00134</t>
  </si>
  <si>
    <t>MEN:M00147</t>
  </si>
  <si>
    <t>MEN:M00223</t>
  </si>
  <si>
    <t>SSN_GROUP_INVALID;ADDR_GEOCODE_NOMATCH</t>
  </si>
  <si>
    <t>COLUMN</t>
  </si>
  <si>
    <t>COL:D0035:Sheet1:1</t>
  </si>
  <si>
    <t>WARN</t>
  </si>
  <si>
    <t>ID</t>
  </si>
  <si>
    <t>COL:D0034:Roster:3</t>
  </si>
  <si>
    <t>Employee Middle</t>
  </si>
  <si>
    <t>COL:D0038:Students:6</t>
  </si>
  <si>
    <t>Guardian Name</t>
  </si>
  <si>
    <t>PAIR</t>
  </si>
  <si>
    <t>PAIR:M00001~M00386</t>
  </si>
  <si>
    <t>P0001~P0170</t>
  </si>
  <si>
    <t>PAIR:M00008~M00424</t>
  </si>
  <si>
    <t>P0008~P0203</t>
  </si>
  <si>
    <t>PAIR:M00009~M00053</t>
  </si>
  <si>
    <t>P0009~P0010</t>
  </si>
  <si>
    <t>PAIR:M00009~M00254</t>
  </si>
  <si>
    <t>P0009~P0141</t>
  </si>
  <si>
    <t>PAIR:M00009~M00288</t>
  </si>
  <si>
    <t>PAIR:M00009~M00413</t>
  </si>
  <si>
    <t>PAIR:M00009~M00414</t>
  </si>
  <si>
    <t>P0009~P0195</t>
  </si>
  <si>
    <t>PAIR:M00010~M00310</t>
  </si>
  <si>
    <t>P0010~P0009</t>
  </si>
  <si>
    <t>PAIR:M00010~M00350</t>
  </si>
  <si>
    <t>PAIR:M00010~M00414</t>
  </si>
  <si>
    <t>P0010~P0195</t>
  </si>
  <si>
    <t>PAIR:M00011~M00390</t>
  </si>
  <si>
    <t>P0011~P0173</t>
  </si>
  <si>
    <t>PAIR:M00014~M00242</t>
  </si>
  <si>
    <t>P0013~P0014</t>
  </si>
  <si>
    <t>PAIR:M00014~M00437</t>
  </si>
  <si>
    <t>PAIR:M00014~M00438</t>
  </si>
  <si>
    <t>P0013~P0215</t>
  </si>
  <si>
    <t>PAIR:M00015~M00327</t>
  </si>
  <si>
    <t>P0014~P0013</t>
  </si>
  <si>
    <t>PAIR:M00015~M00367</t>
  </si>
  <si>
    <t>PAIR:M00015~M00438</t>
  </si>
  <si>
    <t>P0014~P0215</t>
  </si>
  <si>
    <t>PAIR:M00016~M00045</t>
  </si>
  <si>
    <t>P0015~P0016</t>
  </si>
  <si>
    <t>PAIR:M00016~M00260</t>
  </si>
  <si>
    <t>PAIR:M00016~M00396</t>
  </si>
  <si>
    <t>P0015~P0178</t>
  </si>
  <si>
    <t>PAIR:M00017~M00133</t>
  </si>
  <si>
    <t>P0016~P0015</t>
  </si>
  <si>
    <t>PAIR:M00017~M00328</t>
  </si>
  <si>
    <t>PAIR:M00017~M00368</t>
  </si>
  <si>
    <t>PAIR:M00017~M00396</t>
  </si>
  <si>
    <t>P0016~P0178</t>
  </si>
  <si>
    <t>PAIR:M00019~M00414</t>
  </si>
  <si>
    <t>PAIR:M00027~M00420</t>
  </si>
  <si>
    <t>P0023~P0200</t>
  </si>
  <si>
    <t>PAIR:M00035~M00384</t>
  </si>
  <si>
    <t>P0029~P0168</t>
  </si>
  <si>
    <t>PAIR:M00036~M00306</t>
  </si>
  <si>
    <t>P0030~P0029</t>
  </si>
  <si>
    <t>PAIR:M00036~M00346</t>
  </si>
  <si>
    <t>PAIR:M00036~M00384</t>
  </si>
  <si>
    <t>P0030~P0168</t>
  </si>
  <si>
    <t>PAIR:M00040~M00420</t>
  </si>
  <si>
    <t>PAIR:M00043~M00434</t>
  </si>
  <si>
    <t>P0034~P0212</t>
  </si>
  <si>
    <t>PAIR:M00044~M00396</t>
  </si>
  <si>
    <t>PAIR:M00045~M00130</t>
  </si>
  <si>
    <t>P0016~P0089</t>
  </si>
  <si>
    <t>PAIR:M00045~M00133</t>
  </si>
  <si>
    <t>PAIR:M00045~M00328</t>
  </si>
  <si>
    <t>PAIR:M00045~M00368</t>
  </si>
  <si>
    <t>PAIR:M00045~M00396</t>
  </si>
  <si>
    <t>PAIR:M00046~M00130</t>
  </si>
  <si>
    <t>P0035~P0089</t>
  </si>
  <si>
    <t>PAIR:M00049~M00438</t>
  </si>
  <si>
    <t>PAIR:M00052~M00414</t>
  </si>
  <si>
    <t>PAIR:M00053~M00310</t>
  </si>
  <si>
    <t>PAIR:M00053~M00350</t>
  </si>
  <si>
    <t>PAIR:M00053~M00414</t>
  </si>
  <si>
    <t>PAIR:M00056~M00386</t>
  </si>
  <si>
    <t>PAIR:M00067~M00390</t>
  </si>
  <si>
    <t>PAIR:M00068~M00100</t>
  </si>
  <si>
    <t>P0044~P0067</t>
  </si>
  <si>
    <t>PAIR:M00068~M00301</t>
  </si>
  <si>
    <t>P0044~P0011</t>
  </si>
  <si>
    <t>PAIR:M00068~M00341</t>
  </si>
  <si>
    <t>PAIR:M00068~M00390</t>
  </si>
  <si>
    <t>P0044~P0173</t>
  </si>
  <si>
    <t>PAIR:M00069~M00100</t>
  </si>
  <si>
    <t>P0045~P0067</t>
  </si>
  <si>
    <t>PAIR:M00069~M00301</t>
  </si>
  <si>
    <t>P0045~P0011</t>
  </si>
  <si>
    <t>PAIR:M00069~M00341</t>
  </si>
  <si>
    <t>PAIR:M00069~M00390</t>
  </si>
  <si>
    <t>P0045~P0173</t>
  </si>
  <si>
    <t>PAIR:M00074~M00122</t>
  </si>
  <si>
    <t>P0049~P0026</t>
  </si>
  <si>
    <t>PAIR:M00080~M00424</t>
  </si>
  <si>
    <t>PAIR:M00091~M00420</t>
  </si>
  <si>
    <t>PAIR:M00100~M00390</t>
  </si>
  <si>
    <t>P0067~P0173</t>
  </si>
  <si>
    <t>PAIR:M00109~M00386</t>
  </si>
  <si>
    <t>P0075~P0170</t>
  </si>
  <si>
    <t>PAIR:M00117~M00172</t>
  </si>
  <si>
    <t>P0081~P0103</t>
  </si>
  <si>
    <t>PAIR:M00117~M00197</t>
  </si>
  <si>
    <t>P0081~P0116</t>
  </si>
  <si>
    <t>PAIR:M00122~M00193</t>
  </si>
  <si>
    <t>P0026~P0049</t>
  </si>
  <si>
    <t>PAIR:M00122~M00217</t>
  </si>
  <si>
    <t>PAIR:M00122~M00284</t>
  </si>
  <si>
    <t>PAIR:M00122~M00314</t>
  </si>
  <si>
    <t>PAIR:M00122~M00354</t>
  </si>
  <si>
    <t>PAIR:M00130~M00396</t>
  </si>
  <si>
    <t>P0089~P0178</t>
  </si>
  <si>
    <t>PAIR:M00131~M00438</t>
  </si>
  <si>
    <t>P0090~P0215</t>
  </si>
  <si>
    <t>PAIR:M00133~M00260</t>
  </si>
  <si>
    <t>PAIR:M00133~M00396</t>
  </si>
  <si>
    <t>PAIR:M00138~M00386</t>
  </si>
  <si>
    <t>P0096~P0170</t>
  </si>
  <si>
    <t>PAIR:M00143~M00438</t>
  </si>
  <si>
    <t>PAIR:M00145~M00424</t>
  </si>
  <si>
    <t>PAIR:M00150~M00434</t>
  </si>
  <si>
    <t>PAIR:M00151~M00390</t>
  </si>
  <si>
    <t>PAIR:M00161~M00384</t>
  </si>
  <si>
    <t>PAIR:M00164~M00420</t>
  </si>
  <si>
    <t>PAIR:M00165~M00386</t>
  </si>
  <si>
    <t>PAIR:M00179~M00414</t>
  </si>
  <si>
    <t>PAIR:M00181~M00432</t>
  </si>
  <si>
    <t>P0107~P0211</t>
  </si>
  <si>
    <t>PAIR:M00183~M00392</t>
  </si>
  <si>
    <t>P0108~P0174</t>
  </si>
  <si>
    <t>PAIR:M00192~M00396</t>
  </si>
  <si>
    <t>PAIR:M00194~M00392</t>
  </si>
  <si>
    <t>PAIR:M00200~M00396</t>
  </si>
  <si>
    <t>PAIR:M00208~M00438</t>
  </si>
  <si>
    <t>PAIR:M00210~M00414</t>
  </si>
  <si>
    <t>PAIR:M00213~M00398</t>
  </si>
  <si>
    <t>P0122~P0180</t>
  </si>
  <si>
    <t>PAIR:M00225~M00424</t>
  </si>
  <si>
    <t>PAIR:M00232~M00390</t>
  </si>
  <si>
    <t>PAIR:M00239~M00414</t>
  </si>
  <si>
    <t>PAIR:M00242~M00438</t>
  </si>
  <si>
    <t>PAIR:M00243~M00392</t>
  </si>
  <si>
    <t>P0137~P0174</t>
  </si>
  <si>
    <t>PAIR:M00243~M00434</t>
  </si>
  <si>
    <t>P0137~P0212</t>
  </si>
  <si>
    <t>PAIR:M00244~M00384</t>
  </si>
  <si>
    <t>P0138~P0168</t>
  </si>
  <si>
    <t>PAIR:M00249~M00396</t>
  </si>
  <si>
    <t>PAIR:M00253~M00438</t>
  </si>
  <si>
    <t>PAIR:M00254~M00414</t>
  </si>
  <si>
    <t>P0141~P0195</t>
  </si>
  <si>
    <t>PAIR:M00260~M00396</t>
  </si>
  <si>
    <t>PAIR:M00267~M00384</t>
  </si>
  <si>
    <t>PAIR:M00272~M00420</t>
  </si>
  <si>
    <t>PAIR:M00274~M00390</t>
  </si>
  <si>
    <t>PAIR:M00276~M00392</t>
  </si>
  <si>
    <t>PAIR:M00285~M00384</t>
  </si>
  <si>
    <t>PAIR:M00287~M00390</t>
  </si>
  <si>
    <t>PAIR:M00288~M00414</t>
  </si>
  <si>
    <t>PAIR:M00291~M00392</t>
  </si>
  <si>
    <t>P0159~P0174</t>
  </si>
  <si>
    <t>PAIR:M00292~M00424</t>
  </si>
  <si>
    <t>P0160~P0203</t>
  </si>
  <si>
    <t>PAIR:M00296~M00386</t>
  </si>
  <si>
    <t>PAIR:M00298~M00392</t>
  </si>
  <si>
    <t>P0163~P0174</t>
  </si>
  <si>
    <t>PAIR:M00298~M00434</t>
  </si>
  <si>
    <t>P0163~P0212</t>
  </si>
  <si>
    <t>PAIR:M00301~M00390</t>
  </si>
  <si>
    <t>PAIR:M00303~M00433</t>
  </si>
  <si>
    <t>P0034~P0163</t>
  </si>
  <si>
    <t>PAIR:M00303~M00434</t>
  </si>
  <si>
    <t>PAIR:M00304~M00420</t>
  </si>
  <si>
    <t>PAIR:M00306~M00383</t>
  </si>
  <si>
    <t>P0029~P0138</t>
  </si>
  <si>
    <t>PAIR:M00306~M00384</t>
  </si>
  <si>
    <t>PAIR:M00310~M00413</t>
  </si>
  <si>
    <t>PAIR:M00310~M00414</t>
  </si>
  <si>
    <t>PAIR:M00313~M00386</t>
  </si>
  <si>
    <t>PAIR:M00322~M00391</t>
  </si>
  <si>
    <t>P0108~P0137</t>
  </si>
  <si>
    <t>PAIR:M00322~M00392</t>
  </si>
  <si>
    <t>PAIR:M00327~M00437</t>
  </si>
  <si>
    <t>PAIR:M00327~M00438</t>
  </si>
  <si>
    <t>PAIR:M00328~M00396</t>
  </si>
  <si>
    <t>PAIR:M00335~M00424</t>
  </si>
  <si>
    <t>PAIR:M00341~M00390</t>
  </si>
  <si>
    <t>PAIR:M00343~M00433</t>
  </si>
  <si>
    <t>PAIR:M00343~M00434</t>
  </si>
  <si>
    <t>PAIR:M00344~M00420</t>
  </si>
  <si>
    <t>PAIR:M00346~M00383</t>
  </si>
  <si>
    <t>PAIR:M00346~M00384</t>
  </si>
  <si>
    <t>PAIR:M00350~M00413</t>
  </si>
  <si>
    <t>PAIR:M00350~M00414</t>
  </si>
  <si>
    <t>PAIR:M00353~M00386</t>
  </si>
  <si>
    <t>PAIR:M00362~M00391</t>
  </si>
  <si>
    <t>PAIR:M00362~M00392</t>
  </si>
  <si>
    <t>PAIR:M00367~M00437</t>
  </si>
  <si>
    <t>PAIR:M00367~M00438</t>
  </si>
  <si>
    <t>PAIR:M00368~M00396</t>
  </si>
  <si>
    <t>PAIR:M00375~M00424</t>
  </si>
  <si>
    <t>PAIR:M00391~M00434</t>
  </si>
  <si>
    <t>PAIR:M00392~M00433</t>
  </si>
  <si>
    <t>P0174~P0163</t>
  </si>
  <si>
    <t>MEN:M00001</t>
  </si>
  <si>
    <t>MEN:M00005</t>
  </si>
  <si>
    <t>MEN:M00008</t>
  </si>
  <si>
    <t>MEN:M00009</t>
  </si>
  <si>
    <t>MEN:M00010</t>
  </si>
  <si>
    <t>MEN:M00011</t>
  </si>
  <si>
    <t>MEN:M00013</t>
  </si>
  <si>
    <t>MEN:M00014</t>
  </si>
  <si>
    <t>MEN:M00015</t>
  </si>
  <si>
    <t>MEN:M00016</t>
  </si>
  <si>
    <t>MEN:M00017</t>
  </si>
  <si>
    <t>MEN:M00019</t>
  </si>
  <si>
    <t>MEN:M00020</t>
  </si>
  <si>
    <t>MEN:M00027</t>
  </si>
  <si>
    <t>MEN:M00033</t>
  </si>
  <si>
    <t>MEN:M00034</t>
  </si>
  <si>
    <t>MEN:M00035</t>
  </si>
  <si>
    <t>MEN:M00036</t>
  </si>
  <si>
    <t>MEN:M00040</t>
  </si>
  <si>
    <t>MEN:M00041</t>
  </si>
  <si>
    <t>MEN:M00043</t>
  </si>
  <si>
    <t>MEN:M00044</t>
  </si>
  <si>
    <t>MEN:M00045</t>
  </si>
  <si>
    <t>MEN:M00046</t>
  </si>
  <si>
    <t>MEN:M00049</t>
  </si>
  <si>
    <t>MEN:M00052</t>
  </si>
  <si>
    <t>MEN:M00053</t>
  </si>
  <si>
    <t>MEN:M00056</t>
  </si>
  <si>
    <t>MEN:M00057</t>
  </si>
  <si>
    <t>MEN:M00060</t>
  </si>
  <si>
    <t>MEN:M00065</t>
  </si>
  <si>
    <t>MEN:M00067</t>
  </si>
  <si>
    <t>MEN:M00068</t>
  </si>
  <si>
    <t>MEN:M00069</t>
  </si>
  <si>
    <t>MEN:M00071</t>
  </si>
  <si>
    <t>MEN:M00074</t>
  </si>
  <si>
    <t>MEN:M00076</t>
  </si>
  <si>
    <t>MEN:M00078</t>
  </si>
  <si>
    <t>MEN:M00080</t>
  </si>
  <si>
    <t>MEN:M00082</t>
  </si>
  <si>
    <t>MEN:M00083</t>
  </si>
  <si>
    <t>MEN:M00085</t>
  </si>
  <si>
    <t>MEN:M00086</t>
  </si>
  <si>
    <t>MEN:M00087</t>
  </si>
  <si>
    <t>MEN:M00089</t>
  </si>
  <si>
    <t>MEN:M00090</t>
  </si>
  <si>
    <t>MEN:M00091</t>
  </si>
  <si>
    <t>MEN:M00093</t>
  </si>
  <si>
    <t>MEN:M00094</t>
  </si>
  <si>
    <t>MEN:M00095</t>
  </si>
  <si>
    <t>MEN:M00099</t>
  </si>
  <si>
    <t>MEN:M00103</t>
  </si>
  <si>
    <t>MEN:M00104</t>
  </si>
  <si>
    <t>MEN:M00105</t>
  </si>
  <si>
    <t>MEN:M00107</t>
  </si>
  <si>
    <t>MEN:M00108</t>
  </si>
  <si>
    <t>MEN:M00109</t>
  </si>
  <si>
    <t>MEN:M00110</t>
  </si>
  <si>
    <t>MEN:M00113</t>
  </si>
  <si>
    <t>MEN:M00115</t>
  </si>
  <si>
    <t>MEN:M00116</t>
  </si>
  <si>
    <t>MEN:M00118</t>
  </si>
  <si>
    <t>MEN:M00119</t>
  </si>
  <si>
    <t>MEN:M00120</t>
  </si>
  <si>
    <t>MEN:M00121</t>
  </si>
  <si>
    <t>MEN:M00122</t>
  </si>
  <si>
    <t>MEN:M00123</t>
  </si>
  <si>
    <t>MEN:M00124</t>
  </si>
  <si>
    <t>MEN:M00125</t>
  </si>
  <si>
    <t>MEN:M00126</t>
  </si>
  <si>
    <t>MEN:M00127</t>
  </si>
  <si>
    <t>MEN:M00128</t>
  </si>
  <si>
    <t>MEN:M00130</t>
  </si>
  <si>
    <t>MEN:M00131</t>
  </si>
  <si>
    <t>MEN:M00132</t>
  </si>
  <si>
    <t>MEN:M00133</t>
  </si>
  <si>
    <t>MEN:M00136</t>
  </si>
  <si>
    <t>MEN:M00138</t>
  </si>
  <si>
    <t>MEN:M00140</t>
  </si>
  <si>
    <t>MEN:M00143</t>
  </si>
  <si>
    <t>MEN:M00145</t>
  </si>
  <si>
    <t>MEN:M00148</t>
  </si>
  <si>
    <t>MEN:M00150</t>
  </si>
  <si>
    <t>MEN:M00151</t>
  </si>
  <si>
    <t>MEN:M00152</t>
  </si>
  <si>
    <t>MEN:M00157</t>
  </si>
  <si>
    <t>MEN:M00161</t>
  </si>
  <si>
    <t>MEN:M00164</t>
  </si>
  <si>
    <t>MEN:M00165</t>
  </si>
  <si>
    <t>MEN:M00169</t>
  </si>
  <si>
    <t>MEN:M00170</t>
  </si>
  <si>
    <t>MEN:M00172</t>
  </si>
  <si>
    <t>MEN:M00173</t>
  </si>
  <si>
    <t>MEN:M00174</t>
  </si>
  <si>
    <t>MEN:M00176</t>
  </si>
  <si>
    <t>MEN:M00177</t>
  </si>
  <si>
    <t>MEN:M00178</t>
  </si>
  <si>
    <t>MEN:M00179</t>
  </si>
  <si>
    <t>MEN:M00180</t>
  </si>
  <si>
    <t>MEN:M00181</t>
  </si>
  <si>
    <t>MEN:M00183</t>
  </si>
  <si>
    <t>MEN:M00185</t>
  </si>
  <si>
    <t>MEN:M00188</t>
  </si>
  <si>
    <t>MEN:M00190</t>
  </si>
  <si>
    <t>MEN:M00191</t>
  </si>
  <si>
    <t>MEN:M00192</t>
  </si>
  <si>
    <t>MEN:M00193</t>
  </si>
  <si>
    <t>MEN:M00194</t>
  </si>
  <si>
    <t>MEN:M00195</t>
  </si>
  <si>
    <t>MEN:M00197</t>
  </si>
  <si>
    <t>MEN:M00199</t>
  </si>
  <si>
    <t>MEN:M00200</t>
  </si>
  <si>
    <t>MEN:M00201</t>
  </si>
  <si>
    <t>MEN:M00202</t>
  </si>
  <si>
    <t>MEN:M00204</t>
  </si>
  <si>
    <t>MEN:M00205</t>
  </si>
  <si>
    <t>MEN:M00207</t>
  </si>
  <si>
    <t>MEN:M00208</t>
  </si>
  <si>
    <t>MEN:M00210</t>
  </si>
  <si>
    <t>MEN:M00213</t>
  </si>
  <si>
    <t>MEN:M00214</t>
  </si>
  <si>
    <t>MEN:M00215</t>
  </si>
  <si>
    <t>MEN:M00216</t>
  </si>
  <si>
    <t>MEN:M00217</t>
  </si>
  <si>
    <t>MEN:M00221</t>
  </si>
  <si>
    <t>MEN:M00222</t>
  </si>
  <si>
    <t>MEN:M00224</t>
  </si>
  <si>
    <t>MEN:M00225</t>
  </si>
  <si>
    <t>MEN:M00226</t>
  </si>
  <si>
    <t>MEN:M00227</t>
  </si>
  <si>
    <t>MEN:M00229</t>
  </si>
  <si>
    <t>MEN:M00230</t>
  </si>
  <si>
    <t>MEN:M00232</t>
  </si>
  <si>
    <t>MEN:M00233</t>
  </si>
  <si>
    <t>MEN:M00234</t>
  </si>
  <si>
    <t>MEN:M00236</t>
  </si>
  <si>
    <t>MEN:M00237</t>
  </si>
  <si>
    <t>MEN:M00238</t>
  </si>
  <si>
    <t>MEN:M00239</t>
  </si>
  <si>
    <t>MEN:M00242</t>
  </si>
  <si>
    <t>MEN:M00243</t>
  </si>
  <si>
    <t>MEN:M00244</t>
  </si>
  <si>
    <t>MEN:M00247</t>
  </si>
  <si>
    <t>MEN:M00249</t>
  </si>
  <si>
    <t>MEN:M00250</t>
  </si>
  <si>
    <t>MEN:M00252</t>
  </si>
  <si>
    <t>MEN:M00253</t>
  </si>
  <si>
    <t>MEN:M00254</t>
  </si>
  <si>
    <t>MEN:M00255</t>
  </si>
  <si>
    <t>MEN:M00256</t>
  </si>
  <si>
    <t>MEN:M00257</t>
  </si>
  <si>
    <t>MEN:M00258</t>
  </si>
  <si>
    <t>MEN:M00259</t>
  </si>
  <si>
    <t>MEN:M00260</t>
  </si>
  <si>
    <t>MEN:M00262</t>
  </si>
  <si>
    <t>MEN:M00264</t>
  </si>
  <si>
    <t>MEN:M00265</t>
  </si>
  <si>
    <t>MEN:M00266</t>
  </si>
  <si>
    <t>MEN:M00267</t>
  </si>
  <si>
    <t>MEN:M00268</t>
  </si>
  <si>
    <t>MEN:M00270</t>
  </si>
  <si>
    <t>MEN:M00272</t>
  </si>
  <si>
    <t>MEN:M00273</t>
  </si>
  <si>
    <t>MEN:M00274</t>
  </si>
  <si>
    <t>MEN:M00275</t>
  </si>
  <si>
    <t>MEN:M00276</t>
  </si>
  <si>
    <t>MEN:M00279</t>
  </si>
  <si>
    <t>MEN:M00280</t>
  </si>
  <si>
    <t>MEN:M00282</t>
  </si>
  <si>
    <t>MEN:M00284</t>
  </si>
  <si>
    <t>MEN:M00285</t>
  </si>
  <si>
    <t>MEN:M00286</t>
  </si>
  <si>
    <t>MEN:M00287</t>
  </si>
  <si>
    <t>MEN:M00288</t>
  </si>
  <si>
    <t>MEN:M00289</t>
  </si>
  <si>
    <t>MEN:M00291</t>
  </si>
  <si>
    <t>MEN:M00292</t>
  </si>
  <si>
    <t>MEN:M00293</t>
  </si>
  <si>
    <t>MEN:M00294</t>
  </si>
  <si>
    <t>MEN:M00296</t>
  </si>
  <si>
    <t>MEN:M00297</t>
  </si>
  <si>
    <t>MEN:M00298</t>
  </si>
  <si>
    <t>MEN:M00299</t>
  </si>
  <si>
    <t>MEN:M00300</t>
  </si>
  <si>
    <t>MEN:M00301</t>
  </si>
  <si>
    <t>MEN:M00303</t>
  </si>
  <si>
    <t>MEN:M00304</t>
  </si>
  <si>
    <t>MEN:M00306</t>
  </si>
  <si>
    <t>MEN:M00308</t>
  </si>
  <si>
    <t>MEN:M00310</t>
  </si>
  <si>
    <t>MEN:M00311</t>
  </si>
  <si>
    <t>MEN:M00313</t>
  </si>
  <si>
    <t>MEN:M00314</t>
  </si>
  <si>
    <t>MEN:M00315</t>
  </si>
  <si>
    <t>MEN:M00322</t>
  </si>
  <si>
    <t>MEN:M00326</t>
  </si>
  <si>
    <t>MEN:M00327</t>
  </si>
  <si>
    <t>MEN:M00328</t>
  </si>
  <si>
    <t>MEN:M00329</t>
  </si>
  <si>
    <t>MEN:M00330</t>
  </si>
  <si>
    <t>MEN:M00334</t>
  </si>
  <si>
    <t>MEN:M00335</t>
  </si>
  <si>
    <t>MEN:M00336</t>
  </si>
  <si>
    <t>MEN:M00337</t>
  </si>
  <si>
    <t>MEN:M00339</t>
  </si>
  <si>
    <t>MEN:M00340</t>
  </si>
  <si>
    <t>MEN:M00341</t>
  </si>
  <si>
    <t>MEN:M00343</t>
  </si>
  <si>
    <t>MEN:M00344</t>
  </si>
  <si>
    <t>MEN:M00346</t>
  </si>
  <si>
    <t>MEN:M00348</t>
  </si>
  <si>
    <t>MEN:M00350</t>
  </si>
  <si>
    <t>MEN:M00353</t>
  </si>
  <si>
    <t>MEN:M00354</t>
  </si>
  <si>
    <t>MEN:M00355</t>
  </si>
  <si>
    <t>MEN:M00362</t>
  </si>
  <si>
    <t>MEN:M00366</t>
  </si>
  <si>
    <t>MEN:M00367</t>
  </si>
  <si>
    <t>MEN:M00368</t>
  </si>
  <si>
    <t>MEN:M00369</t>
  </si>
  <si>
    <t>MEN:M00370</t>
  </si>
  <si>
    <t>MEN:M00374</t>
  </si>
  <si>
    <t>MEN:M00375</t>
  </si>
  <si>
    <t>MEN:M00376</t>
  </si>
  <si>
    <t>MEN:M00377</t>
  </si>
  <si>
    <t>MEN:M00379</t>
  </si>
  <si>
    <t>MEN:M00380</t>
  </si>
  <si>
    <t>MEN:M00381</t>
  </si>
  <si>
    <t>MEN:M00382</t>
  </si>
  <si>
    <t>MEN:M00383</t>
  </si>
  <si>
    <t>MEN:M00384</t>
  </si>
  <si>
    <t>MEN:M00385</t>
  </si>
  <si>
    <t>MEN:M00386</t>
  </si>
  <si>
    <t>MEN:M00388</t>
  </si>
  <si>
    <t>MEN:M00390</t>
  </si>
  <si>
    <t>MEN:M00391</t>
  </si>
  <si>
    <t>MEN:M00392</t>
  </si>
  <si>
    <t>PERSON_NO_QUALIFYING_ELEMENT;DUPLICATE_CANDIDATE;NOTIFY_STATE_UNKNOWN</t>
  </si>
  <si>
    <t>MEN:M00393</t>
  </si>
  <si>
    <t>MEN:M00394</t>
  </si>
  <si>
    <t>MEN:M00395</t>
  </si>
  <si>
    <t>MEN:M00396</t>
  </si>
  <si>
    <t>MEN:M00398</t>
  </si>
  <si>
    <t>MEN:M00400</t>
  </si>
  <si>
    <t>MEN:M00401</t>
  </si>
  <si>
    <t>MEN:M00402</t>
  </si>
  <si>
    <t>MEN:M00403</t>
  </si>
  <si>
    <t>MEN:M00404</t>
  </si>
  <si>
    <t>PERSON_NO_QUALIFYING_ELEMENT;NOTIFY_STATE_UNKNOWN</t>
  </si>
  <si>
    <t>MEN:M00405</t>
  </si>
  <si>
    <t>MEN:M00406</t>
  </si>
  <si>
    <t>NAME_ORDER_AMBIGUOUS;PERSON_NO_QUALIFYING_ELEMENT</t>
  </si>
  <si>
    <t>MEN:M00408</t>
  </si>
  <si>
    <t>MEN:M00409</t>
  </si>
  <si>
    <t>MEN:M00410</t>
  </si>
  <si>
    <t>MEN:M00412</t>
  </si>
  <si>
    <t>MEN:M00413</t>
  </si>
  <si>
    <t>MEN:M00414</t>
  </si>
  <si>
    <t>MEN:M00416</t>
  </si>
  <si>
    <t>MEN:M00417</t>
  </si>
  <si>
    <t>MEN:M00418</t>
  </si>
  <si>
    <t>MEN:M00420</t>
  </si>
  <si>
    <t>MEN:M00422</t>
  </si>
  <si>
    <t>MEN:M00424</t>
  </si>
  <si>
    <t>MEN:M00426</t>
  </si>
  <si>
    <t>MEN:M00428</t>
  </si>
  <si>
    <t>MEN:M00430</t>
  </si>
  <si>
    <t>MEN:M00432</t>
  </si>
  <si>
    <t>MEN:M00433</t>
  </si>
  <si>
    <t>MEN:M00434</t>
  </si>
  <si>
    <t>MEN:M00435</t>
  </si>
  <si>
    <t>MEN:M00436</t>
  </si>
  <si>
    <t>MEN:M00437</t>
  </si>
  <si>
    <t>MEN:M00438</t>
  </si>
  <si>
    <t>COL:D0036:Patients:6</t>
  </si>
  <si>
    <t>COL_MAPPING_ML_OVERRIDE</t>
  </si>
  <si>
    <t>Insurer</t>
  </si>
  <si>
    <t>RESOLVED</t>
  </si>
  <si>
    <t>ssn_exposed</t>
  </si>
  <si>
    <t>dl_exposed</t>
  </si>
  <si>
    <t>state_id_exposed</t>
  </si>
  <si>
    <t>passport_exposed</t>
  </si>
  <si>
    <t>bank_account_exposed</t>
  </si>
  <si>
    <t>card_exposed</t>
  </si>
  <si>
    <t>mrn_exposed</t>
  </si>
  <si>
    <t>diagnosis_exposed</t>
  </si>
  <si>
    <t>procedure_exposed</t>
  </si>
  <si>
    <t>date_of_service_exposed</t>
  </si>
  <si>
    <t>health_member_id_exposed</t>
  </si>
  <si>
    <t>health_group_number_exposed</t>
  </si>
  <si>
    <t>dob_exposed</t>
  </si>
  <si>
    <t>student_id_exposed</t>
  </si>
  <si>
    <t>elements_exposed</t>
  </si>
  <si>
    <t>gov_id_exposed</t>
  </si>
  <si>
    <t>financial_exposed</t>
  </si>
  <si>
    <t>medical_exposed</t>
  </si>
  <si>
    <t>health_insurance_exposed</t>
  </si>
  <si>
    <t>education_exposed</t>
  </si>
  <si>
    <t>mention_count</t>
  </si>
  <si>
    <t>source_docs</t>
  </si>
  <si>
    <t>source_types</t>
  </si>
  <si>
    <t>needs_review</t>
  </si>
  <si>
    <t>notify_required</t>
  </si>
  <si>
    <t>age_at_rundate</t>
  </si>
  <si>
    <t>open_review_items</t>
  </si>
  <si>
    <t>SSN; MEDICAL INFO; HEALTH INSURANCE INFO; DATE OF BIRTH</t>
  </si>
  <si>
    <t>pdf/eob_letter_01.pdf;sheets/benefits_enrollment.xlsx;sheets/hr_roster.xlsx;sheets/patient_list.xlsx;sheets/payroll_export.csv</t>
  </si>
  <si>
    <t>PDF;SPREADSHEET</t>
  </si>
  <si>
    <t>SSN; PAYMENT CARD; MEDICAL INFO; HEALTH INSURANCE INFO; DATE OF BIRTH</t>
  </si>
  <si>
    <t>pdf/eob_letter_02.pdf;sheets/customer_cards.xlsx;sheets/hr_roster.xlsx;sheets/payroll_export.csv</t>
  </si>
  <si>
    <t>SSN; DRIVER LICENSE; MEDICAL INFO; HEALTH INSURANCE INFO; DATE OF BIRTH</t>
  </si>
  <si>
    <t>pdf/eob_letter_03.pdf;pdf/health_claim_04.pdf;pdf/new_hire_id_04.pdf;pdf/wage_statement_04.pdf;sheets/benefits_enrollment.xlsx;sheets/hr_roster.xlsx;sheets/legacy_export.xls;sheets/patient_list.xlsx;sheets/payroll_export.csv</t>
  </si>
  <si>
    <t>pdf/eob_letter_04.pdf;sheets/benefits_enrollment.xlsx;sheets/hr_roster.xlsx;sheets/patient_list.xlsx;sheets/payroll_export.csv</t>
  </si>
  <si>
    <t>pdf/eob_letter_05.pdf;sheets/benefits_enrollment.xlsx;sheets/hr_roster.xlsx;sheets/legacy_export.xls;sheets/payroll_export.csv</t>
  </si>
  <si>
    <t>SSN; FINANCIAL ACCOUNT; MEDICAL INFO; HEALTH INSURANCE INFO; DATE OF BIRTH</t>
  </si>
  <si>
    <t>pdf/eob_letter_06.pdf;sheets/benefits_enrollment.xlsx;sheets/hr_roster.xlsx;sheets/legacy_export.xls;sheets/payroll_export.csv</t>
  </si>
  <si>
    <t>pdf/eob_letter_07.pdf;sheets/benefits_enrollment.xlsx;sheets/hr_roster.xlsx;sheets/legacy_export.xls;sheets/patient_list.xlsx;sheets/payroll_export.csv</t>
  </si>
  <si>
    <t>pdf/eob_letter_08.pdf;sheets/benefits_enrollment.xlsx;sheets/hr_roster.xlsx;sheets/legacy_export.xls;sheets/payroll_export.csv</t>
  </si>
  <si>
    <t>pdf/health_claim_01.pdf;pdf/health_claim_08.pdf;sheets/benefits_enrollment.xlsx;sheets/hr_roster.xlsx;sheets/legacy_export.xls;sheets/patient_list.xlsx;sheets/payroll_export.csv</t>
  </si>
  <si>
    <t>pdf/health_claim_01.pdf;sheets/benefits_enrollment.xlsx;sheets/patient_list.xlsx</t>
  </si>
  <si>
    <t>pdf/health_claim_02.pdf;sheets/benefits_enrollment.xlsx;sheets/hr_roster.xlsx;sheets/legacy_export.xls;sheets/payroll_export.csv</t>
  </si>
  <si>
    <t>pdf/health_claim_03.pdf;sheets/benefits_enrollment.xlsx;sheets/hr_roster.xlsx;sheets/payroll_export.csv</t>
  </si>
  <si>
    <t>pdf/health_claim_05.pdf;sheets/benefits_enrollment.xlsx;sheets/hr_roster.xlsx;sheets/legacy_export.xls;sheets/patient_list.xlsx;sheets/payroll_export.csv</t>
  </si>
  <si>
    <t>SSN; MEDICAL INFO; HEALTH INSURANCE INFO; DATE OF BIRTH; STUDENT RECORD</t>
  </si>
  <si>
    <t>pdf/health_claim_05.pdf;sheets/patient_list.xlsx;sheets/student_roster.xlsx</t>
  </si>
  <si>
    <t>SSN; FINANCIAL ACCOUNT; PAYMENT CARD; MEDICAL INFO; HEALTH INSURANCE INFO; DATE OF BIRTH</t>
  </si>
  <si>
    <t>pdf/health_claim_06.pdf;sheets/benefits_enrollment.xlsx;sheets/customer_cards.xlsx;sheets/hr_roster.xlsx;sheets/legacy_export.xls;sheets/patient_list.xlsx;sheets/payroll_export.csv</t>
  </si>
  <si>
    <t>pdf/health_claim_06.pdf;sheets/benefits_enrollment.xlsx;sheets/patient_list.xlsx</t>
  </si>
  <si>
    <t>pdf/health_claim_07.pdf;pdf/new_hire_id_01.pdf;sheets/benefits_enrollment.xlsx;sheets/hr_roster.xlsx;sheets/legacy_export.xls;sheets/payroll_export.csv</t>
  </si>
  <si>
    <t>SSN; DRIVER LICENSE; PAYMENT CARD; MEDICAL INFO; HEALTH INSURANCE INFO; DATE OF BIRTH</t>
  </si>
  <si>
    <t>pdf/new_hire_id_02.pdf;pdf/wage_statement_08.pdf;sheets/customer_cards.xlsx;sheets/hr_roster.xlsx;sheets/patient_list.xlsx;sheets/payroll_export.csv</t>
  </si>
  <si>
    <t>SSN; DRIVER LICENSE; FINANCIAL ACCOUNT; PAYMENT CARD; HEALTH INSURANCE INFO; DATE OF BIRTH</t>
  </si>
  <si>
    <t>pdf/new_hire_id_03.pdf;sheets/benefits_enrollment.xlsx;sheets/customer_cards.xlsx;sheets/hr_roster.xlsx;sheets/payroll_export.csv</t>
  </si>
  <si>
    <t>SSN; PASSPORT; PAYMENT CARD; DATE OF BIRTH</t>
  </si>
  <si>
    <t>pdf/new_hire_id_05.pdf;sheets/customer_cards.xlsx;sheets/hr_roster.xlsx;sheets/payroll_export.csv</t>
  </si>
  <si>
    <t>SSN; DRIVER LICENSE; FINANCIAL ACCOUNT; HEALTH INSURANCE INFO; DATE OF BIRTH</t>
  </si>
  <si>
    <t>pdf/new_hire_id_06.pdf;sheets/benefits_enrollment.xlsx;sheets/hr_roster.xlsx;sheets/legacy_export.xls;sheets/payroll_export.csv</t>
  </si>
  <si>
    <t>pdf/wage_statement_01.pdf;sheets/benefits_enrollment.xlsx;sheets/hr_roster.xlsx;sheets/patient_list.xlsx;sheets/payroll_export.csv</t>
  </si>
  <si>
    <t>pdf/wage_statement_02.pdf;sheets/benefits_enrollment.xlsx;sheets/customer_cards.xlsx;sheets/hr_roster.xlsx;sheets/patient_list.xlsx;sheets/payroll_export.csv</t>
  </si>
  <si>
    <t>SSN; HEALTH INSURANCE INFO; DATE OF BIRTH</t>
  </si>
  <si>
    <t>pdf/wage_statement_03.pdf;sheets/benefits_enrollment.xlsx;sheets/hr_roster.xlsx;sheets/payroll_export.csv</t>
  </si>
  <si>
    <t>pdf/wage_statement_05.pdf;sheets/benefits_enrollment.xlsx;sheets/hr_roster.xlsx;sheets/payroll_export.csv</t>
  </si>
  <si>
    <t>SSN; PAYMENT CARD; HEALTH INSURANCE INFO; DATE OF BIRTH</t>
  </si>
  <si>
    <t>pdf/wage_statement_06.pdf;sheets/benefits_enrollment.xlsx;sheets/customer_cards.xlsx;sheets/hr_roster.xlsx;sheets/legacy_export.xls;sheets/payroll_export.csv</t>
  </si>
  <si>
    <t>pdf/wage_statement_07.pdf;sheets/benefits_enrollment.xlsx;sheets/customer_cards.xlsx;sheets/hr_roster.xlsx;sheets/legacy_export.xls;sheets/patient_list.xlsx;sheets/payroll_export.csv</t>
  </si>
  <si>
    <t>sheets/benefits_enrollment.xlsx;sheets/hr_roster.xlsx;sheets/legacy_export.xls;sheets/payroll_export.csv</t>
  </si>
  <si>
    <t>sheets/benefits_enrollment.xlsx;sheets/hr_roster.xlsx;sheets/patient_list.xlsx;sheets/payroll_export.csv</t>
  </si>
  <si>
    <t>sheets/benefits_enrollment.xlsx;sheets/patient_list.xlsx</t>
  </si>
  <si>
    <t>sheets/benefits_enrollment.xlsx;sheets/customer_cards.xlsx;sheets/hr_roster.xlsx;sheets/legacy_export.xls;sheets/payroll_export.csv</t>
  </si>
  <si>
    <t>sheets/benefits_enrollment.xlsx;sheets/hr_roster.xlsx;sheets/legacy_export.xls;sheets/patient_list.xlsx;sheets/payroll_export.csv</t>
  </si>
  <si>
    <t>SSN; FINANCIAL ACCOUNT; HEALTH INSURANCE INFO; DATE OF BIRTH</t>
  </si>
  <si>
    <t>sheets/benefits_enrollment.xlsx;sheets/hr_roster.xlsx;sheets/payroll_export.csv</t>
  </si>
  <si>
    <t>sheets/benefits_enrollment.xlsx;sheets/customer_cards.xlsx;sheets/hr_roster.xlsx;sheets/legacy_export.xls;sheets/patient_list.xlsx;sheets/payroll_export.csv</t>
  </si>
  <si>
    <t>SSN; FINANCIAL ACCOUNT; PAYMENT CARD; HEALTH INSURANCE INFO; DATE OF BIRTH</t>
  </si>
  <si>
    <t>PAYMENT CARD</t>
  </si>
  <si>
    <t>SSN; DATE OF BIRTH</t>
  </si>
  <si>
    <t>SSN; FINANCIAL ACCOUNT; DATE OF BIRTH</t>
  </si>
  <si>
    <t>sheets/hr_roster.xlsx;sheets/legacy_export.xls;sheets/payroll_export.csv</t>
  </si>
  <si>
    <t>sheets/hr_roster.xlsx;sheets/patient_list.xlsx;sheets/payroll_export.csv</t>
  </si>
  <si>
    <t>sheets/hr_roster.xlsx;sheets/legacy_export.xls;sheets/patient_list.xlsx;sheets/payroll_export.csv</t>
  </si>
  <si>
    <t>sheets/patient_list.xlsx;sheets/student_roster.xlsx</t>
  </si>
  <si>
    <t>DATE OF BIRTH; STUDENT RECORD</t>
  </si>
  <si>
    <t>jurisdiction</t>
  </si>
  <si>
    <t>notify_reason</t>
  </si>
  <si>
    <t>notify_note</t>
  </si>
  <si>
    <t>notify_status</t>
  </si>
  <si>
    <t>elements_xlookup</t>
  </si>
  <si>
    <t>elements_index_match</t>
  </si>
  <si>
    <t>mailing_name</t>
  </si>
  <si>
    <t>status_xl</t>
  </si>
  <si>
    <t>status_agrees</t>
  </si>
  <si>
    <t>health_member_id;mrn;ssn</t>
  </si>
  <si>
    <t>NEEDS_REVIEW</t>
  </si>
  <si>
    <t>card;health_member_id;ssn</t>
  </si>
  <si>
    <t>dl;ssn</t>
  </si>
  <si>
    <t>READY</t>
  </si>
  <si>
    <t>health_member_id;ssn</t>
  </si>
  <si>
    <t>bank_account;health_member_id;ssn</t>
  </si>
  <si>
    <t>bank_account;health_member_id;mrn;ssn</t>
  </si>
  <si>
    <t>bank_account;diagnosis;health_member_id;mrn;ssn</t>
  </si>
  <si>
    <t>diagnosis;health_member_id;mrn;ssn</t>
  </si>
  <si>
    <t>Notify parent/guardian (P0009)</t>
  </si>
  <si>
    <t>diagnosis;health_member_id;ssn</t>
  </si>
  <si>
    <t>ssn</t>
  </si>
  <si>
    <t>Notify parent/guardian (P0013); Education record exposed - FERPA considerations for the institution</t>
  </si>
  <si>
    <t>bank_account;card;health_member_id;mrn;ssn</t>
  </si>
  <si>
    <t>diagnosis;dl;health_member_id;ssn</t>
  </si>
  <si>
    <t>card;dl;health_member_id;mrn;ssn</t>
  </si>
  <si>
    <t>bank_account;card;dl;health_member_id;ssn</t>
  </si>
  <si>
    <t>bank_account;dl;health_member_id;ssn</t>
  </si>
  <si>
    <t>bank_account;ssn</t>
  </si>
  <si>
    <t>card;ssn</t>
  </si>
  <si>
    <t>Notify parent/guardian (P0029)</t>
  </si>
  <si>
    <t>Notify parent/guardian (P0015)</t>
  </si>
  <si>
    <t>card;health_member_id;mrn;ssn</t>
  </si>
  <si>
    <t>Notify parent/guardian (P0011)</t>
  </si>
  <si>
    <t>card</t>
  </si>
  <si>
    <t>NOT_REQUIRED</t>
  </si>
  <si>
    <t>Notify parent/guardian; Education record exposed - FERPA considerations for the institution</t>
  </si>
  <si>
    <t>Education record exposed - FERPA considerations for the institution</t>
  </si>
  <si>
    <t>Address from household P0164</t>
  </si>
  <si>
    <t>Address from household P0166</t>
  </si>
  <si>
    <t>Address from household P0138</t>
  </si>
  <si>
    <t>Address from household P0169</t>
  </si>
  <si>
    <t>Address from household P0171</t>
  </si>
  <si>
    <t>Address from household P0153</t>
  </si>
  <si>
    <t>Address from household P0137</t>
  </si>
  <si>
    <t>Address from household P0175</t>
  </si>
  <si>
    <t>Address from household P0177</t>
  </si>
  <si>
    <t>Address from household P0179</t>
  </si>
  <si>
    <t>Address from household P0181</t>
  </si>
  <si>
    <t>Address from household P0183</t>
  </si>
  <si>
    <t>Address from household P0185</t>
  </si>
  <si>
    <t>Address from household P0187</t>
  </si>
  <si>
    <t>Address from household P0189</t>
  </si>
  <si>
    <t>Address from household P0191</t>
  </si>
  <si>
    <t>Address from household P0193</t>
  </si>
  <si>
    <t>Address from household P0141</t>
  </si>
  <si>
    <t>Address from household P0196</t>
  </si>
  <si>
    <t>Address from household P0198</t>
  </si>
  <si>
    <t>Address from household P0131</t>
  </si>
  <si>
    <t>Address from household P0201</t>
  </si>
  <si>
    <t>Address from household P0160</t>
  </si>
  <si>
    <t>Address from household P0204</t>
  </si>
  <si>
    <t>Address from household P0206</t>
  </si>
  <si>
    <t>Address from household P0208</t>
  </si>
  <si>
    <t>Address from household P0210</t>
  </si>
  <si>
    <t>Address from household P0163</t>
  </si>
  <si>
    <t>Address from household P0213</t>
  </si>
  <si>
    <t>Address from household P0014</t>
  </si>
  <si>
    <t>table</t>
  </si>
  <si>
    <t>kind</t>
  </si>
  <si>
    <t>value_masked</t>
  </si>
  <si>
    <t>reason</t>
  </si>
  <si>
    <t>row</t>
  </si>
  <si>
    <t>entities</t>
  </si>
  <si>
    <t>ORG</t>
  </si>
  <si>
    <t>NAME_ORG_LIKE (INSURED:ORG_WORD:LOGISTICS)</t>
  </si>
  <si>
    <t>1</t>
  </si>
  <si>
    <t>BRIGHTLINE OFFICE SUPPLY LLC</t>
  </si>
  <si>
    <t>NAME_ORG_LIKE (ORG_WORD:SUPPLY)</t>
  </si>
  <si>
    <t>32</t>
  </si>
  <si>
    <t>NAME_ORG_LIKE (column:Vendor)</t>
  </si>
  <si>
    <t>D0039</t>
  </si>
  <si>
    <t>Vendors</t>
  </si>
  <si>
    <t>2</t>
  </si>
  <si>
    <t>SUMMIT PAYROLL SERVICES LLC</t>
  </si>
  <si>
    <t>3</t>
  </si>
  <si>
    <t>RIVERBEND FAMILY CLINIC</t>
  </si>
  <si>
    <t>4</t>
  </si>
  <si>
    <t>5</t>
  </si>
  <si>
    <t>MAPLE VALLEY UNIFIED SCHOOL DISTRICT</t>
  </si>
  <si>
    <t>6</t>
  </si>
  <si>
    <t>EASTLAKE STATE UNIVERSITY</t>
  </si>
  <si>
    <t>7</t>
  </si>
  <si>
    <t>FIRST MERIDIAN SAVINGS BANK</t>
  </si>
  <si>
    <t>8</t>
  </si>
  <si>
    <t>9</t>
  </si>
  <si>
    <t>WOLFE INC</t>
  </si>
  <si>
    <t>10</t>
  </si>
  <si>
    <t>GARCIA-JAMES INC</t>
  </si>
  <si>
    <t>11</t>
  </si>
  <si>
    <t>ROMAN-BLAIR LLP</t>
  </si>
  <si>
    <t>12</t>
  </si>
  <si>
    <t>ARNOLD GROUP INC</t>
  </si>
  <si>
    <t>13</t>
  </si>
  <si>
    <t>WILLIAMS &amp; SONS LLP</t>
  </si>
  <si>
    <t>14</t>
  </si>
  <si>
    <t>DELACRUZ LLP</t>
  </si>
  <si>
    <t>15</t>
  </si>
  <si>
    <t>MARTIN-KELLY INC</t>
  </si>
  <si>
    <t>16</t>
  </si>
  <si>
    <t>JONES REID &amp; FERGUSON LLC</t>
  </si>
  <si>
    <t>17</t>
  </si>
  <si>
    <t>MAYO-BOWMAN LLP</t>
  </si>
  <si>
    <t>18</t>
  </si>
  <si>
    <t>PEREZ LLC</t>
  </si>
  <si>
    <t>19</t>
  </si>
  <si>
    <t>GENTRY INC</t>
  </si>
  <si>
    <t>20</t>
  </si>
  <si>
    <t>WILKERSON-DAY LLC</t>
  </si>
  <si>
    <t>21</t>
  </si>
  <si>
    <t>HOFFMAN BAKER &amp; RICHARDS CO</t>
  </si>
  <si>
    <t>22</t>
  </si>
  <si>
    <t>SNYDER CAMPOS &amp; CALLAHAN LLP</t>
  </si>
  <si>
    <t>23</t>
  </si>
  <si>
    <t>HENDERSON BROWN &amp; JAMES INC</t>
  </si>
  <si>
    <t>24</t>
  </si>
  <si>
    <t>FRAZIER CO</t>
  </si>
  <si>
    <t>25</t>
  </si>
  <si>
    <t>CARTER &amp; SONS CO</t>
  </si>
  <si>
    <t>26</t>
  </si>
  <si>
    <t>identifiers</t>
  </si>
  <si>
    <t>NPI</t>
  </si>
  <si>
    <t>******6151</t>
  </si>
  <si>
    <t>NPI_EXCLUDED (template)</t>
  </si>
  <si>
    <t>PROVIDER_TIN</t>
  </si>
  <si>
    <t>*****7940</t>
  </si>
  <si>
    <t>EIN_EXCLUDED (template)</t>
  </si>
  <si>
    <t>EIN</t>
  </si>
  <si>
    <t>*****3321</t>
  </si>
  <si>
    <t>*****3389</t>
  </si>
  <si>
    <t>EIN_EXCLUDED (column:EIN)</t>
  </si>
  <si>
    <t>*****7816</t>
  </si>
  <si>
    <t>*****1034</t>
  </si>
  <si>
    <t>*****5534</t>
  </si>
  <si>
    <t>*****4835</t>
  </si>
  <si>
    <t>*****3953</t>
  </si>
  <si>
    <t>*****8496</t>
  </si>
  <si>
    <t>*****1226</t>
  </si>
  <si>
    <t>*****8451</t>
  </si>
  <si>
    <t>*****1489</t>
  </si>
  <si>
    <t>*****7015</t>
  </si>
  <si>
    <t>*****8227</t>
  </si>
  <si>
    <t>*****5787</t>
  </si>
  <si>
    <t>*****3010</t>
  </si>
  <si>
    <t>*****8299</t>
  </si>
  <si>
    <t>*****6701</t>
  </si>
  <si>
    <t>*****6247</t>
  </si>
  <si>
    <t>*****3267</t>
  </si>
  <si>
    <t>*****4687</t>
  </si>
  <si>
    <t>*****0978</t>
  </si>
  <si>
    <t>*****6193</t>
  </si>
  <si>
    <t>*****5435</t>
  </si>
  <si>
    <t>*****9911</t>
  </si>
  <si>
    <t>About this workbook</t>
  </si>
  <si>
    <t>Run id</t>
  </si>
  <si>
    <t>Database schema version</t>
  </si>
  <si>
    <t>1.1</t>
  </si>
  <si>
    <t>as_of_date (RunDate)</t>
  </si>
  <si>
    <t>2026-10-01</t>
  </si>
  <si>
    <t>Source run folder</t>
  </si>
  <si>
    <t>data/output/R20261020-011706-51da</t>
  </si>
  <si>
    <t>SYNTHETIC DATA - NOT REAL. Every name, identifier and address was generated by breachlens.synth; any match to a real person or number is coincidental.</t>
  </si>
  <si>
    <t>NOT LEGAL ADVICE. Notification rules are an illustrative subset (config/jurisdictions.yaml).</t>
  </si>
  <si>
    <t>Masked values only: identifiers appear as *_present / *_masked / *_valid. Join keys (*_key) stay in the DuckDB database.</t>
  </si>
  <si>
    <t/>
  </si>
  <si>
    <t>Sheets: Summary (live formulas vs Python), Mentions, Review_Queue, People, Notification_List, Excluded, About.</t>
  </si>
  <si>
    <t>Review_Queue: column-level warnings are one item per column with affected_rows (ADR-062); columns decided in config/review_overrides.yaml show as RESOLVED (ADR-061).</t>
  </si>
  <si>
    <t>Macros (.xlsm only): 'Show pending' filters review_status = PENDING (click again to clear); 'Export decisions' writes the non-PENDING rows to review_decisions_&lt;RunId&gt;.csv next to this workbook.</t>
  </si>
  <si>
    <t>Enabling macros: a file downloaded from the internet opens with macros blocked (Mark of the Web). Close it, right-click the file &gt; Properties &gt; tick Unblock &gt; OK, reopen it and click Enable Content.</t>
  </si>
  <si>
    <t>Formulas are live: Excel recalculates them on open. RunDate is the fixed as_of_date (ADR-053), never TODAY().</t>
  </si>
  <si>
    <t>Decisions: ADR-051 (Lite scope), ADR-062, ADR-067 (database), ADR-068 (this workbook).</t>
  </si>
</sst>
</file>

<file path=xl/styles.xml><?xml version="1.0" encoding="utf-8"?>
<styleSheet xmlns="http://schemas.openxmlformats.org/spreadsheetml/2006/main">
  <numFmts count="4">
    <numFmt numFmtId="164" formatCode="yyyy-mm-dd"/>
    <numFmt numFmtId="165" formatCode="0.00"/>
    <numFmt numFmtId="166" formatCode="@"/>
    <numFmt numFmtId="167" formatCode="yyyy-mm-dd hh:mm:ss"/>
  </numFmts>
  <fonts count="3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0" fontId="2" fillId="2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numFmt numFmtId="166" formatCode="@"/>
    </dxf>
    <dxf>
      <numFmt numFmtId="164" formatCode="yyyy-mm-dd"/>
    </dxf>
    <dxf>
      <numFmt numFmtId="167" formatCode="yyyy-mm-dd hh:mm:ss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D9D9D9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Relationship Id="rId12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id="1" name="tblMentions" displayName="tblMentions" ref="A1:CB439" totalsRowShown="0">
  <autoFilter ref="A1:CB439"/>
  <tableColumns count="80">
    <tableColumn id="1" name="mention_id" dataDxfId="1"/>
    <tableColumn id="2" name="source_type"/>
    <tableColumn id="3" name="doc_id" dataDxfId="1"/>
    <tableColumn id="4" name="page" dataDxfId="1"/>
    <tableColumn id="5" name="source_file"/>
    <tableColumn id="6" name="source_sheet"/>
    <tableColumn id="7" name="source_row" dataDxfId="1"/>
    <tableColumn id="8" name="related_mention_id" dataDxfId="1"/>
    <tableColumn id="9" name="doc_type"/>
    <tableColumn id="10" name="doc_date" dataDxfId="2"/>
    <tableColumn id="11" name="person_role"/>
    <tableColumn id="12" name="entity_type"/>
    <tableColumn id="13" name="name_title"/>
    <tableColumn id="14" name="first_name"/>
    <tableColumn id="15" name="middle_name"/>
    <tableColumn id="16" name="middle_initial"/>
    <tableColumn id="17" name="last_name"/>
    <tableColumn id="18" name="name_suffix"/>
    <tableColumn id="19" name="name_order_detected"/>
    <tableColumn id="20" name="address_line1"/>
    <tableColumn id="21" name="address_line2"/>
    <tableColumn id="22" name="city"/>
    <tableColumn id="23" name="state"/>
    <tableColumn id="24" name="zip5" dataDxfId="1"/>
    <tableColumn id="25" name="zip4" dataDxfId="1"/>
    <tableColumn id="26" name="country"/>
    <tableColumn id="27" name="address_status"/>
    <tableColumn id="28" name="address_suggestion"/>
    <tableColumn id="29" name="address_source"/>
    <tableColumn id="30" name="phone" dataDxfId="1"/>
    <tableColumn id="31" name="email"/>
    <tableColumn id="32" name="dob" dataDxfId="2"/>
    <tableColumn id="33" name="age_at_run"/>
    <tableColumn id="34" name="is_minor"/>
    <tableColumn id="35" name="ssn_present"/>
    <tableColumn id="36" name="ssn_masked" dataDxfId="1"/>
    <tableColumn id="37" name="ssn_valid" dataDxfId="1"/>
    <tableColumn id="38" name="dl_present"/>
    <tableColumn id="39" name="dl_masked" dataDxfId="1"/>
    <tableColumn id="40" name="dl_valid" dataDxfId="1"/>
    <tableColumn id="41" name="dl_state"/>
    <tableColumn id="42" name="state_id_present"/>
    <tableColumn id="43" name="state_id_masked" dataDxfId="1"/>
    <tableColumn id="44" name="state_id_valid" dataDxfId="1"/>
    <tableColumn id="45" name="state_id_state"/>
    <tableColumn id="46" name="passport_present"/>
    <tableColumn id="47" name="passport_masked" dataDxfId="1"/>
    <tableColumn id="48" name="passport_valid" dataDxfId="1"/>
    <tableColumn id="49" name="passport_country"/>
    <tableColumn id="50" name="bank_account_present"/>
    <tableColumn id="51" name="bank_account_masked" dataDxfId="1"/>
    <tableColumn id="52" name="bank_account_valid" dataDxfId="1"/>
    <tableColumn id="53" name="routing_number_present"/>
    <tableColumn id="54" name="routing_number_valid" dataDxfId="1"/>
    <tableColumn id="55" name="card_present"/>
    <tableColumn id="56" name="card_masked" dataDxfId="1"/>
    <tableColumn id="57" name="card_valid" dataDxfId="1"/>
    <tableColumn id="58" name="mrn_present"/>
    <tableColumn id="59" name="mrn_masked" dataDxfId="1"/>
    <tableColumn id="60" name="health_member_id_present"/>
    <tableColumn id="61" name="health_member_id_masked" dataDxfId="1"/>
    <tableColumn id="62" name="health_group_number_present"/>
    <tableColumn id="63" name="insurer_name"/>
    <tableColumn id="64" name="diagnosis_present"/>
    <tableColumn id="65" name="procedure_present"/>
    <tableColumn id="66" name="date_of_service_present"/>
    <tableColumn id="67" name="employee_id_present"/>
    <tableColumn id="68" name="employer_name"/>
    <tableColumn id="69" name="student_id_present"/>
    <tableColumn id="70" name="student_id_masked" dataDxfId="1"/>
    <tableColumn id="71" name="school_name"/>
    <tableColumn id="72" name="ferpa_flag"/>
    <tableColumn id="73" name="field_confidence"/>
    <tableColumn id="74" name="extraction_method"/>
    <tableColumn id="75" name="qc_status"/>
    <tableColumn id="76" name="qc_reasons"/>
    <tableColumn id="77" name="person_id" dataDxfId="1"/>
    <tableColumn id="78" name="cluster_confidence"/>
    <tableColumn id="79" name="review_status"/>
    <tableColumn id="80" name="processed_at" dataDxfId="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Review" displayName="tblReview" ref="A4:P435" totalsRowShown="0">
  <autoFilter ref="A4:P435"/>
  <tableColumns count="16">
    <tableColumn id="1" name="item_type"/>
    <tableColumn id="2" name="item_id" dataDxfId="1"/>
    <tableColumn id="3" name="severity"/>
    <tableColumn id="4" name="codes"/>
    <tableColumn id="5" name="affected_rows"/>
    <tableColumn id="6" name="doc_id" dataDxfId="1"/>
    <tableColumn id="7" name="sheet"/>
    <tableColumn id="8" name="header"/>
    <tableColumn id="9" name="mention_id" dataDxfId="1"/>
    <tableColumn id="10" name="person_id" dataDxfId="1"/>
    <tableColumn id="11" name="status"/>
    <tableColumn id="12" name="review_status"/>
    <tableColumn id="13" name="reviewer_note"/>
    <tableColumn id="14" name="reviewed_by"/>
    <tableColumn id="15" name="reviewed_at"/>
    <tableColumn id="16" name="go">
      <calculatedColumnFormula>IFERROR(IF(tblReview[[#This Row],[mention_id]]&lt;&gt;"",HYPERLINK("#Mentions!A"&amp;(MATCH(tblReview[[#This Row],[mention_id]],tblMentions[mention_id],0)+1),"go"),HYPERLINK("#Mentions!A"&amp;(MATCH(tblReview[[#This Row],[doc_id]],tblMentions[doc_id],0)+1),"go")),"")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blPeople" displayName="tblPeople" ref="A1:AQ216" totalsRowShown="0">
  <autoFilter ref="A1:AQ216"/>
  <tableColumns count="43">
    <tableColumn id="1" name="person_id" dataDxfId="1"/>
    <tableColumn id="2" name="first_name"/>
    <tableColumn id="3" name="middle_initial"/>
    <tableColumn id="4" name="last_name"/>
    <tableColumn id="5" name="name_suffix"/>
    <tableColumn id="6" name="address_line1"/>
    <tableColumn id="7" name="address_line2"/>
    <tableColumn id="8" name="city"/>
    <tableColumn id="9" name="state"/>
    <tableColumn id="10" name="zip5" dataDxfId="1"/>
    <tableColumn id="11" name="country"/>
    <tableColumn id="12" name="address_status"/>
    <tableColumn id="13" name="dob" dataDxfId="2"/>
    <tableColumn id="14" name="is_minor"/>
    <tableColumn id="15" name="ssn_exposed"/>
    <tableColumn id="16" name="dl_exposed"/>
    <tableColumn id="17" name="state_id_exposed"/>
    <tableColumn id="18" name="passport_exposed"/>
    <tableColumn id="19" name="bank_account_exposed"/>
    <tableColumn id="20" name="card_exposed"/>
    <tableColumn id="21" name="mrn_exposed"/>
    <tableColumn id="22" name="diagnosis_exposed"/>
    <tableColumn id="23" name="procedure_exposed"/>
    <tableColumn id="24" name="date_of_service_exposed"/>
    <tableColumn id="25" name="health_member_id_exposed"/>
    <tableColumn id="26" name="health_group_number_exposed"/>
    <tableColumn id="27" name="dob_exposed"/>
    <tableColumn id="28" name="student_id_exposed"/>
    <tableColumn id="29" name="elements_exposed"/>
    <tableColumn id="30" name="gov_id_exposed"/>
    <tableColumn id="31" name="financial_exposed"/>
    <tableColumn id="32" name="medical_exposed"/>
    <tableColumn id="33" name="health_insurance_exposed"/>
    <tableColumn id="34" name="education_exposed"/>
    <tableColumn id="35" name="mention_count"/>
    <tableColumn id="36" name="source_docs"/>
    <tableColumn id="37" name="source_types"/>
    <tableColumn id="38" name="cluster_confidence"/>
    <tableColumn id="39" name="ferpa_flag"/>
    <tableColumn id="40" name="needs_review"/>
    <tableColumn id="41" name="notify_required"/>
    <tableColumn id="42" name="age_at_rundate">
      <calculatedColumnFormula>IF(ISNUMBER(tblPeople[[#This Row],[dob]]),DATEDIF(tblPeople[[#This Row],[dob]],RunDate,"y"),"")</calculatedColumnFormula>
    </tableColumn>
    <tableColumn id="43" name="open_review_items">
      <calculatedColumnFormula>COUNTIFS(tblReview[person_id],tblPeople[[#This Row],[person_id]],tblReview[status],"OPEN")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blNotify" displayName="tblNotify" ref="A1:X216" totalsRowShown="0">
  <autoFilter ref="A1:X216"/>
  <tableColumns count="24">
    <tableColumn id="1" name="person_id" dataDxfId="1"/>
    <tableColumn id="2" name="jurisdiction"/>
    <tableColumn id="3" name="last_name"/>
    <tableColumn id="4" name="first_name"/>
    <tableColumn id="5" name="middle_initial"/>
    <tableColumn id="6" name="name_suffix"/>
    <tableColumn id="7" name="address_line1"/>
    <tableColumn id="8" name="address_line2"/>
    <tableColumn id="9" name="city"/>
    <tableColumn id="10" name="state"/>
    <tableColumn id="11" name="zip5" dataDxfId="1"/>
    <tableColumn id="12" name="country"/>
    <tableColumn id="13" name="elements_exposed"/>
    <tableColumn id="14" name="notify_required"/>
    <tableColumn id="15" name="notify_reason"/>
    <tableColumn id="16" name="notify_note"/>
    <tableColumn id="17" name="ferpa_flag"/>
    <tableColumn id="18" name="address_status"/>
    <tableColumn id="19" name="notify_status"/>
    <tableColumn id="20" name="elements_xlookup">
      <calculatedColumnFormula>_xlfn.XLOOKUP(tblNotify[[#This Row],[person_id]],tblPeople[person_id],tblPeople[elements_exposed],"NOT FOUND")&amp;""</calculatedColumnFormula>
    </tableColumn>
    <tableColumn id="21" name="elements_index_match">
      <calculatedColumnFormula>INDEX(tblPeople[elements_exposed],MATCH(tblNotify[[#This Row],[person_id]],tblPeople[person_id],0))&amp;""</calculatedColumnFormula>
    </tableColumn>
    <tableColumn id="22" name="mailing_name">
      <calculatedColumnFormula>_xlfn.TEXTJOIN(" ",TRUE,tblNotify[[#This Row],[first_name]],tblNotify[[#This Row],[middle_initial]],tblNotify[[#This Row],[last_name]],tblNotify[[#This Row],[name_suffix]])</calculatedColumnFormula>
    </tableColumn>
    <tableColumn id="23" name="status_xl">
      <calculatedColumnFormula>IF(AND(tblNotify[[#This Row],[notify_required]],NOT(_xlfn.XLOOKUP(tblNotify[[#This Row],[person_id]],tblPeople[person_id],tblPeople[needs_review],FALSE))),"READY",IF(tblNotify[[#This Row],[notify_required]],"NEEDS_REVIEW","NOT_REQUIRED"))</calculatedColumnFormula>
    </tableColumn>
    <tableColumn id="24" name="status_agrees">
      <calculatedColumnFormula>tblNotify[[#This Row],[status_xl]]=tblNotify[[#This Row],[notify_status]]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blExcluded" displayName="tblExcluded" ref="A1:H81" totalsRowShown="0">
  <autoFilter ref="A1:H81"/>
  <tableColumns count="8">
    <tableColumn id="1" name="table"/>
    <tableColumn id="2" name="kind"/>
    <tableColumn id="3" name="value_masked" dataDxfId="1"/>
    <tableColumn id="4" name="reason"/>
    <tableColumn id="5" name="doc_id" dataDxfId="1"/>
    <tableColumn id="6" name="page" dataDxfId="1"/>
    <tableColumn id="7" name="sheet"/>
    <tableColumn id="8" name="row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3"/>
  <sheetViews>
    <sheetView tabSelected="1" workbookViewId="0"/>
  </sheetViews>
  <sheetFormatPr defaultRowHeight="15"/>
  <cols>
    <col min="1" max="1" width="28.7109375" customWidth="1"/>
    <col min="2" max="2" width="44.7109375" customWidth="1"/>
    <col min="3" max="5" width="12.7109375" customWidth="1"/>
  </cols>
  <sheetData>
    <row r="1" spans="1:5">
      <c r="A1" s="1" t="s">
        <v>0</v>
      </c>
    </row>
    <row r="2" spans="1:5">
      <c r="A2" s="2" t="s">
        <v>1</v>
      </c>
      <c r="B2" t="s">
        <v>2</v>
      </c>
    </row>
    <row r="3" spans="1:5">
      <c r="A3" s="2" t="s">
        <v>3</v>
      </c>
      <c r="B3" s="3">
        <v>46296</v>
      </c>
    </row>
    <row r="4" spans="1:5">
      <c r="A4" t="s">
        <v>4</v>
      </c>
    </row>
    <row r="6" spans="1:5">
      <c r="A6" s="4" t="s">
        <v>5</v>
      </c>
      <c r="B6" s="4" t="s">
        <v>6</v>
      </c>
      <c r="C6" s="4" t="s">
        <v>7</v>
      </c>
      <c r="D6" s="4" t="s">
        <v>8</v>
      </c>
      <c r="E6" s="4" t="s">
        <v>9</v>
      </c>
    </row>
    <row r="7" spans="1:5">
      <c r="A7" t="s">
        <v>10</v>
      </c>
      <c r="B7" t="s">
        <v>11</v>
      </c>
      <c r="C7">
        <f>ROWS(tblPeople[person_id])</f>
        <v>0</v>
      </c>
      <c r="D7">
        <v>215</v>
      </c>
      <c r="E7">
        <f>C7=D7</f>
        <v>0</v>
      </c>
    </row>
    <row r="8" spans="1:5">
      <c r="A8" t="s">
        <v>10</v>
      </c>
      <c r="B8" t="s">
        <v>12</v>
      </c>
      <c r="C8">
        <f>ROWS(tblMentions[mention_id])</f>
        <v>0</v>
      </c>
      <c r="D8">
        <v>438</v>
      </c>
      <c r="E8">
        <f>C8=D8</f>
        <v>0</v>
      </c>
    </row>
    <row r="9" spans="1:5">
      <c r="A9" t="s">
        <v>10</v>
      </c>
      <c r="B9" t="s">
        <v>13</v>
      </c>
      <c r="C9" s="5">
        <f>ROUND(C8/C7,2)</f>
        <v>0</v>
      </c>
      <c r="D9" s="5">
        <v>2.04</v>
      </c>
      <c r="E9">
        <f>C9=D9</f>
        <v>0</v>
      </c>
    </row>
    <row r="10" spans="1:5">
      <c r="A10" t="s">
        <v>10</v>
      </c>
      <c r="B10" t="s">
        <v>14</v>
      </c>
      <c r="C10">
        <f>COUNTIFS(tblPeople[notify_required],TRUE)</f>
        <v>0</v>
      </c>
      <c r="D10">
        <v>155</v>
      </c>
      <c r="E10">
        <f>C10=D10</f>
        <v>0</v>
      </c>
    </row>
    <row r="11" spans="1:5">
      <c r="A11" t="s">
        <v>10</v>
      </c>
      <c r="B11" t="s">
        <v>15</v>
      </c>
      <c r="C11">
        <f>COUNTIFS(tblNotify[notify_status],"READY")</f>
        <v>0</v>
      </c>
      <c r="D11">
        <v>112</v>
      </c>
      <c r="E11">
        <f>C11=D11</f>
        <v>0</v>
      </c>
    </row>
    <row r="12" spans="1:5">
      <c r="A12" t="s">
        <v>10</v>
      </c>
      <c r="B12" t="s">
        <v>16</v>
      </c>
      <c r="C12">
        <f>COUNTIFS(tblNotify[notify_status],"NEEDS_REVIEW")</f>
        <v>0</v>
      </c>
      <c r="D12">
        <v>43</v>
      </c>
      <c r="E12">
        <f>C12=D12</f>
        <v>0</v>
      </c>
    </row>
    <row r="13" spans="1:5">
      <c r="A13" t="s">
        <v>10</v>
      </c>
      <c r="B13" t="s">
        <v>17</v>
      </c>
      <c r="C13">
        <f>COUNTIFS(tblNotify[notify_status],"NOT_REQUIRED")</f>
        <v>0</v>
      </c>
      <c r="D13">
        <v>60</v>
      </c>
      <c r="E13">
        <f>C13=D13</f>
        <v>0</v>
      </c>
    </row>
    <row r="14" spans="1:5">
      <c r="A14" t="s">
        <v>10</v>
      </c>
      <c r="B14" t="s">
        <v>18</v>
      </c>
      <c r="C14">
        <f>COUNTIFS(tblNotify[status_agrees],TRUE)</f>
        <v>0</v>
      </c>
      <c r="D14">
        <v>215</v>
      </c>
      <c r="E14">
        <f>C14=D14</f>
        <v>0</v>
      </c>
    </row>
    <row r="15" spans="1:5">
      <c r="A15" t="s">
        <v>10</v>
      </c>
      <c r="B15" t="s">
        <v>19</v>
      </c>
      <c r="C15">
        <f>COUNTIFS(tblPeople[needs_review],TRUE)</f>
        <v>0</v>
      </c>
      <c r="D15">
        <v>55</v>
      </c>
      <c r="E15">
        <f>C15=D15</f>
        <v>0</v>
      </c>
    </row>
    <row r="16" spans="1:5">
      <c r="A16" t="s">
        <v>10</v>
      </c>
      <c r="B16" t="s">
        <v>20</v>
      </c>
      <c r="C16">
        <f>COUNTIFS(tblPeople[is_minor],TRUE)</f>
        <v>0</v>
      </c>
      <c r="D16">
        <v>33</v>
      </c>
      <c r="E16">
        <f>C16=D16</f>
        <v>0</v>
      </c>
    </row>
    <row r="17" spans="1:5">
      <c r="A17" t="s">
        <v>10</v>
      </c>
      <c r="B17" t="s">
        <v>21</v>
      </c>
      <c r="C17">
        <f>COUNTIFS(tblPeople[age_at_rundate],"&lt;18")</f>
        <v>0</v>
      </c>
      <c r="D17">
        <v>33</v>
      </c>
      <c r="E17">
        <f>C17=D17</f>
        <v>0</v>
      </c>
    </row>
    <row r="18" spans="1:5">
      <c r="A18" t="s">
        <v>10</v>
      </c>
      <c r="B18" t="s">
        <v>22</v>
      </c>
      <c r="C18">
        <f>COUNTIFS(tblPeople[ferpa_flag],TRUE)</f>
        <v>0</v>
      </c>
      <c r="D18">
        <v>30</v>
      </c>
      <c r="E18">
        <f>C18=D18</f>
        <v>0</v>
      </c>
    </row>
    <row r="19" spans="1:5">
      <c r="A19" t="s">
        <v>10</v>
      </c>
      <c r="B19" t="s">
        <v>23</v>
      </c>
      <c r="C19">
        <f>SUMPRODUCT((tblPeople[ssn_exposed]=TRUE)*(tblPeople[medical_exposed]=TRUE))</f>
        <v>0</v>
      </c>
      <c r="D19">
        <v>72</v>
      </c>
      <c r="E19">
        <f>C19=D19</f>
        <v>0</v>
      </c>
    </row>
    <row r="20" spans="1:5">
      <c r="A20" t="s">
        <v>10</v>
      </c>
      <c r="B20" t="s">
        <v>24</v>
      </c>
      <c r="C20">
        <f>COUNTIFS(tblReview[status],"OPEN")</f>
        <v>0</v>
      </c>
      <c r="D20">
        <v>430</v>
      </c>
      <c r="E20">
        <f>C20=D20</f>
        <v>0</v>
      </c>
    </row>
    <row r="21" spans="1:5">
      <c r="A21" t="s">
        <v>10</v>
      </c>
      <c r="B21" t="s">
        <v>25</v>
      </c>
      <c r="C21">
        <f>COUNTIFS(tblReview[item_type],"COLUMN",tblReview[status],"OPEN")</f>
        <v>0</v>
      </c>
      <c r="D21">
        <v>3</v>
      </c>
      <c r="E21">
        <f>C21=D21</f>
        <v>0</v>
      </c>
    </row>
    <row r="22" spans="1:5">
      <c r="A22" t="s">
        <v>10</v>
      </c>
      <c r="B22" t="s">
        <v>26</v>
      </c>
      <c r="C22">
        <f>COUNTIFS(tblReview[item_type],"MENTION",tblReview[status],"OPEN")</f>
        <v>0</v>
      </c>
      <c r="D22">
        <v>285</v>
      </c>
      <c r="E22">
        <f>C22=D22</f>
        <v>0</v>
      </c>
    </row>
    <row r="23" spans="1:5">
      <c r="A23" t="s">
        <v>10</v>
      </c>
      <c r="B23" t="s">
        <v>27</v>
      </c>
      <c r="C23">
        <f>COUNTIFS(tblReview[item_type],"PAIR",tblReview[status],"OPEN")</f>
        <v>0</v>
      </c>
      <c r="D23">
        <v>142</v>
      </c>
      <c r="E23">
        <f>C23=D23</f>
        <v>0</v>
      </c>
    </row>
    <row r="24" spans="1:5">
      <c r="A24" t="s">
        <v>10</v>
      </c>
      <c r="B24" t="s">
        <v>28</v>
      </c>
      <c r="C24">
        <f>SUMIFS(tblReview[affected_rows],tblReview[item_type],"COLUMN",tblReview[status],"OPEN")</f>
        <v>0</v>
      </c>
      <c r="D24">
        <v>104</v>
      </c>
      <c r="E24">
        <f>C24=D24</f>
        <v>0</v>
      </c>
    </row>
    <row r="25" spans="1:5">
      <c r="A25" t="s">
        <v>10</v>
      </c>
      <c r="B25" t="s">
        <v>29</v>
      </c>
      <c r="C25">
        <f>COUNTIFS(tblReview[item_type],"COLUMN",tblReview[status],"RESOLVED")</f>
        <v>0</v>
      </c>
      <c r="D25">
        <v>1</v>
      </c>
      <c r="E25">
        <f>C25=D25</f>
        <v>0</v>
      </c>
    </row>
    <row r="26" spans="1:5">
      <c r="A26" t="s">
        <v>10</v>
      </c>
      <c r="B26" t="s">
        <v>30</v>
      </c>
      <c r="C26">
        <f>COUNTIFS(tblReview[review_status],"PENDING")</f>
        <v>0</v>
      </c>
      <c r="D26">
        <v>430</v>
      </c>
      <c r="E26">
        <f>C26=D26</f>
        <v>0</v>
      </c>
    </row>
    <row r="27" spans="1:5">
      <c r="A27" t="s">
        <v>10</v>
      </c>
      <c r="B27" t="s">
        <v>31</v>
      </c>
      <c r="C27">
        <f>COUNTA(tblExcluded[kind])</f>
        <v>0</v>
      </c>
      <c r="D27">
        <v>80</v>
      </c>
      <c r="E27">
        <f>C27=D27</f>
        <v>0</v>
      </c>
    </row>
    <row r="28" spans="1:5">
      <c r="A28" t="s">
        <v>32</v>
      </c>
      <c r="B28" t="s">
        <v>33</v>
      </c>
      <c r="C28">
        <f>COUNTIFS(tblNotify[jurisdiction],$B28,tblNotify[notify_required],TRUE)</f>
        <v>0</v>
      </c>
      <c r="D28">
        <v>30</v>
      </c>
      <c r="E28">
        <f>C28=D28</f>
        <v>0</v>
      </c>
    </row>
    <row r="29" spans="1:5">
      <c r="A29" t="s">
        <v>32</v>
      </c>
      <c r="B29" t="s">
        <v>34</v>
      </c>
      <c r="C29">
        <f>COUNTIFS(tblNotify[jurisdiction],$B29,tblNotify[notify_required],TRUE)</f>
        <v>0</v>
      </c>
      <c r="D29">
        <v>18</v>
      </c>
      <c r="E29">
        <f>C29=D29</f>
        <v>0</v>
      </c>
    </row>
    <row r="30" spans="1:5">
      <c r="A30" t="s">
        <v>32</v>
      </c>
      <c r="B30" t="s">
        <v>35</v>
      </c>
      <c r="C30">
        <f>COUNTIFS(tblNotify[jurisdiction],$B30,tblNotify[notify_required],TRUE)</f>
        <v>0</v>
      </c>
      <c r="D30">
        <v>7</v>
      </c>
      <c r="E30">
        <f>C30=D30</f>
        <v>0</v>
      </c>
    </row>
    <row r="31" spans="1:5">
      <c r="A31" t="s">
        <v>32</v>
      </c>
      <c r="B31" t="s">
        <v>36</v>
      </c>
      <c r="C31">
        <f>COUNTIFS(tblNotify[jurisdiction],$B31,tblNotify[notify_required],TRUE)</f>
        <v>0</v>
      </c>
      <c r="D31">
        <v>8</v>
      </c>
      <c r="E31">
        <f>C31=D31</f>
        <v>0</v>
      </c>
    </row>
    <row r="32" spans="1:5">
      <c r="A32" t="s">
        <v>32</v>
      </c>
      <c r="B32" t="s">
        <v>37</v>
      </c>
      <c r="C32">
        <f>COUNTIFS(tblNotify[jurisdiction],$B32,tblNotify[notify_required],TRUE)</f>
        <v>0</v>
      </c>
      <c r="D32">
        <v>23</v>
      </c>
      <c r="E32">
        <f>C32=D32</f>
        <v>0</v>
      </c>
    </row>
    <row r="33" spans="1:5">
      <c r="A33" t="s">
        <v>32</v>
      </c>
      <c r="B33" t="s">
        <v>38</v>
      </c>
      <c r="C33">
        <f>COUNTIFS(tblNotify[jurisdiction],$B33,tblNotify[notify_required],TRUE)</f>
        <v>0</v>
      </c>
      <c r="D33">
        <v>22</v>
      </c>
      <c r="E33">
        <f>C33=D33</f>
        <v>0</v>
      </c>
    </row>
    <row r="34" spans="1:5">
      <c r="A34" t="s">
        <v>32</v>
      </c>
      <c r="B34" t="s">
        <v>39</v>
      </c>
      <c r="C34">
        <f>COUNTIFS(tblNotify[jurisdiction],$B34,tblNotify[notify_required],TRUE)</f>
        <v>0</v>
      </c>
      <c r="D34">
        <v>23</v>
      </c>
      <c r="E34">
        <f>C34=D34</f>
        <v>0</v>
      </c>
    </row>
    <row r="35" spans="1:5">
      <c r="A35" t="s">
        <v>32</v>
      </c>
      <c r="B35" t="s">
        <v>40</v>
      </c>
      <c r="C35">
        <f>COUNTIFS(tblNotify[jurisdiction],$B35,tblNotify[notify_required],TRUE)</f>
        <v>0</v>
      </c>
      <c r="D35">
        <v>24</v>
      </c>
      <c r="E35">
        <f>C35=D35</f>
        <v>0</v>
      </c>
    </row>
    <row r="36" spans="1:5">
      <c r="A36" t="s">
        <v>41</v>
      </c>
      <c r="B36" t="s">
        <v>33</v>
      </c>
      <c r="C36">
        <f>SUMPRODUCT((tblPeople[state]=$B36)*(tblPeople[ssn_exposed]=TRUE)*(tblPeople[medical_exposed]=TRUE))</f>
        <v>0</v>
      </c>
      <c r="D36">
        <v>14</v>
      </c>
      <c r="E36">
        <f>C36=D36</f>
        <v>0</v>
      </c>
    </row>
    <row r="37" spans="1:5">
      <c r="A37" t="s">
        <v>41</v>
      </c>
      <c r="B37" t="s">
        <v>34</v>
      </c>
      <c r="C37">
        <f>SUMPRODUCT((tblPeople[state]=$B37)*(tblPeople[ssn_exposed]=TRUE)*(tblPeople[medical_exposed]=TRUE))</f>
        <v>0</v>
      </c>
      <c r="D37">
        <v>7</v>
      </c>
      <c r="E37">
        <f>C37=D37</f>
        <v>0</v>
      </c>
    </row>
    <row r="38" spans="1:5">
      <c r="A38" t="s">
        <v>41</v>
      </c>
      <c r="B38" t="s">
        <v>35</v>
      </c>
      <c r="C38">
        <f>SUMPRODUCT((tblPeople[state]=$B38)*(tblPeople[ssn_exposed]=TRUE)*(tblPeople[medical_exposed]=TRUE))</f>
        <v>0</v>
      </c>
      <c r="D38">
        <v>4</v>
      </c>
      <c r="E38">
        <f>C38=D38</f>
        <v>0</v>
      </c>
    </row>
    <row r="39" spans="1:5">
      <c r="A39" t="s">
        <v>41</v>
      </c>
      <c r="B39" t="s">
        <v>36</v>
      </c>
      <c r="C39">
        <f>SUMPRODUCT((tblPeople[state]=$B39)*(tblPeople[ssn_exposed]=TRUE)*(tblPeople[medical_exposed]=TRUE))</f>
        <v>0</v>
      </c>
      <c r="D39">
        <v>2</v>
      </c>
      <c r="E39">
        <f>C39=D39</f>
        <v>0</v>
      </c>
    </row>
    <row r="40" spans="1:5">
      <c r="A40" t="s">
        <v>41</v>
      </c>
      <c r="B40" t="s">
        <v>37</v>
      </c>
      <c r="C40">
        <f>SUMPRODUCT((tblPeople[state]=$B40)*(tblPeople[ssn_exposed]=TRUE)*(tblPeople[medical_exposed]=TRUE))</f>
        <v>0</v>
      </c>
      <c r="D40">
        <v>13</v>
      </c>
      <c r="E40">
        <f>C40=D40</f>
        <v>0</v>
      </c>
    </row>
    <row r="41" spans="1:5">
      <c r="A41" t="s">
        <v>41</v>
      </c>
      <c r="B41" t="s">
        <v>38</v>
      </c>
      <c r="C41">
        <f>SUMPRODUCT((tblPeople[state]=$B41)*(tblPeople[ssn_exposed]=TRUE)*(tblPeople[medical_exposed]=TRUE))</f>
        <v>0</v>
      </c>
      <c r="D41">
        <v>8</v>
      </c>
      <c r="E41">
        <f>C41=D41</f>
        <v>0</v>
      </c>
    </row>
    <row r="42" spans="1:5">
      <c r="A42" t="s">
        <v>41</v>
      </c>
      <c r="B42" t="s">
        <v>39</v>
      </c>
      <c r="C42">
        <f>SUMPRODUCT((tblPeople[state]=$B42)*(tblPeople[ssn_exposed]=TRUE)*(tblPeople[medical_exposed]=TRUE))</f>
        <v>0</v>
      </c>
      <c r="D42">
        <v>13</v>
      </c>
      <c r="E42">
        <f>C42=D42</f>
        <v>0</v>
      </c>
    </row>
    <row r="43" spans="1:5">
      <c r="A43" t="s">
        <v>41</v>
      </c>
      <c r="B43" t="s">
        <v>40</v>
      </c>
      <c r="C43">
        <f>SUMPRODUCT((tblPeople[state]=$B43)*(tblPeople[ssn_exposed]=TRUE)*(tblPeople[medical_exposed]=TRUE))</f>
        <v>0</v>
      </c>
      <c r="D43">
        <v>11</v>
      </c>
      <c r="E43">
        <f>C43=D43</f>
        <v>0</v>
      </c>
    </row>
    <row r="44" spans="1:5">
      <c r="A44" t="s">
        <v>42</v>
      </c>
      <c r="B44" t="s">
        <v>43</v>
      </c>
      <c r="C44">
        <f>IFERROR(SUMPRODUCT(--ISNUMBER(SEARCH(";"&amp;$B44&amp;";",";"&amp;tblMentions[qc_reasons]&amp;";"))),0)</f>
        <v>0</v>
      </c>
      <c r="D44">
        <v>123</v>
      </c>
      <c r="E44">
        <f>C44=D44</f>
        <v>0</v>
      </c>
    </row>
    <row r="45" spans="1:5">
      <c r="A45" t="s">
        <v>42</v>
      </c>
      <c r="B45" t="s">
        <v>44</v>
      </c>
      <c r="C45">
        <f>IFERROR(SUMPRODUCT(--ISNUMBER(SEARCH(";"&amp;$B45&amp;";",";"&amp;tblMentions[qc_reasons]&amp;";"))),0)</f>
        <v>0</v>
      </c>
      <c r="D45">
        <v>117</v>
      </c>
      <c r="E45">
        <f>C45=D45</f>
        <v>0</v>
      </c>
    </row>
    <row r="46" spans="1:5">
      <c r="A46" t="s">
        <v>42</v>
      </c>
      <c r="B46" t="s">
        <v>45</v>
      </c>
      <c r="C46">
        <f>IFERROR(SUMPRODUCT(--ISNUMBER(SEARCH(";"&amp;$B46&amp;";",";"&amp;tblMentions[qc_reasons]&amp;";"))),0)</f>
        <v>0</v>
      </c>
      <c r="D46">
        <v>104</v>
      </c>
      <c r="E46">
        <f>C46=D46</f>
        <v>0</v>
      </c>
    </row>
    <row r="47" spans="1:5">
      <c r="A47" t="s">
        <v>42</v>
      </c>
      <c r="B47" t="s">
        <v>46</v>
      </c>
      <c r="C47">
        <f>IFERROR(SUMPRODUCT(--ISNUMBER(SEARCH(";"&amp;$B47&amp;";",";"&amp;tblMentions[qc_reasons]&amp;";"))),0)</f>
        <v>0</v>
      </c>
      <c r="D47">
        <v>46</v>
      </c>
      <c r="E47">
        <f>C47=D47</f>
        <v>0</v>
      </c>
    </row>
    <row r="48" spans="1:5">
      <c r="A48" t="s">
        <v>42</v>
      </c>
      <c r="B48" t="s">
        <v>47</v>
      </c>
      <c r="C48">
        <f>IFERROR(SUMPRODUCT(--ISNUMBER(SEARCH(";"&amp;$B48&amp;";",";"&amp;tblMentions[qc_reasons]&amp;";"))),0)</f>
        <v>0</v>
      </c>
      <c r="D48">
        <v>41</v>
      </c>
      <c r="E48">
        <f>C48=D48</f>
        <v>0</v>
      </c>
    </row>
    <row r="49" spans="1:5">
      <c r="A49" t="s">
        <v>42</v>
      </c>
      <c r="B49" t="s">
        <v>48</v>
      </c>
      <c r="C49">
        <f>IFERROR(SUMPRODUCT(--ISNUMBER(SEARCH(";"&amp;$B49&amp;";",";"&amp;tblMentions[qc_reasons]&amp;";"))),0)</f>
        <v>0</v>
      </c>
      <c r="D49">
        <v>31</v>
      </c>
      <c r="E49">
        <f>C49=D49</f>
        <v>0</v>
      </c>
    </row>
    <row r="50" spans="1:5">
      <c r="A50" t="s">
        <v>42</v>
      </c>
      <c r="B50" t="s">
        <v>49</v>
      </c>
      <c r="C50">
        <f>IFERROR(SUMPRODUCT(--ISNUMBER(SEARCH(";"&amp;$B50&amp;";",";"&amp;tblMentions[qc_reasons]&amp;";"))),0)</f>
        <v>0</v>
      </c>
      <c r="D50">
        <v>30</v>
      </c>
      <c r="E50">
        <f>C50=D50</f>
        <v>0</v>
      </c>
    </row>
    <row r="51" spans="1:5">
      <c r="A51" t="s">
        <v>42</v>
      </c>
      <c r="B51" t="s">
        <v>50</v>
      </c>
      <c r="C51">
        <f>IFERROR(SUMPRODUCT(--ISNUMBER(SEARCH(";"&amp;$B51&amp;";",";"&amp;tblMentions[qc_reasons]&amp;";"))),0)</f>
        <v>0</v>
      </c>
      <c r="D51">
        <v>21</v>
      </c>
      <c r="E51">
        <f>C51=D51</f>
        <v>0</v>
      </c>
    </row>
    <row r="52" spans="1:5">
      <c r="A52" t="s">
        <v>42</v>
      </c>
      <c r="B52" t="s">
        <v>51</v>
      </c>
      <c r="C52">
        <f>IFERROR(SUMPRODUCT(--ISNUMBER(SEARCH(";"&amp;$B52&amp;";",";"&amp;tblMentions[qc_reasons]&amp;";"))),0)</f>
        <v>0</v>
      </c>
      <c r="D52">
        <v>18</v>
      </c>
      <c r="E52">
        <f>C52=D52</f>
        <v>0</v>
      </c>
    </row>
    <row r="53" spans="1:5">
      <c r="A53" t="s">
        <v>42</v>
      </c>
      <c r="B53" t="s">
        <v>52</v>
      </c>
      <c r="C53">
        <f>IFERROR(SUMPRODUCT(--ISNUMBER(SEARCH(";"&amp;$B53&amp;";",";"&amp;tblMentions[qc_reasons]&amp;";"))),0)</f>
        <v>0</v>
      </c>
      <c r="D53">
        <v>11</v>
      </c>
      <c r="E53">
        <f>C53=D53</f>
        <v>0</v>
      </c>
    </row>
  </sheetData>
  <conditionalFormatting sqref="E7:E53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B4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/>
  <cols>
    <col min="1" max="1" width="12.7109375" customWidth="1"/>
    <col min="2" max="2" width="13.7109375" customWidth="1"/>
    <col min="3" max="4" width="10.7109375" customWidth="1"/>
    <col min="5" max="5" width="13.7109375" customWidth="1"/>
    <col min="6" max="6" width="14.7109375" customWidth="1"/>
    <col min="7" max="7" width="12.7109375" customWidth="1"/>
    <col min="8" max="8" width="20.7109375" customWidth="1"/>
    <col min="9" max="10" width="10.7109375" customWidth="1"/>
    <col min="11" max="12" width="13.7109375" customWidth="1"/>
    <col min="13" max="14" width="12.7109375" customWidth="1"/>
    <col min="15" max="15" width="13.7109375" customWidth="1"/>
    <col min="16" max="16" width="16.7109375" customWidth="1"/>
    <col min="17" max="17" width="11.7109375" customWidth="1"/>
    <col min="18" max="18" width="13.7109375" customWidth="1"/>
    <col min="19" max="19" width="21.7109375" customWidth="1"/>
    <col min="20" max="21" width="15.7109375" customWidth="1"/>
    <col min="22" max="26" width="10.7109375" customWidth="1"/>
    <col min="27" max="27" width="16.7109375" customWidth="1"/>
    <col min="28" max="28" width="20.7109375" customWidth="1"/>
    <col min="29" max="29" width="16.7109375" customWidth="1"/>
    <col min="30" max="32" width="10.7109375" customWidth="1"/>
    <col min="33" max="33" width="12.7109375" customWidth="1"/>
    <col min="34" max="34" width="10.7109375" customWidth="1"/>
    <col min="35" max="35" width="13.7109375" customWidth="1"/>
    <col min="36" max="36" width="12.7109375" customWidth="1"/>
    <col min="37" max="37" width="11.7109375" customWidth="1"/>
    <col min="38" max="38" width="12.7109375" customWidth="1"/>
    <col min="39" max="39" width="11.7109375" customWidth="1"/>
    <col min="40" max="41" width="10.7109375" customWidth="1"/>
    <col min="42" max="42" width="18.7109375" customWidth="1"/>
    <col min="43" max="43" width="17.7109375" customWidth="1"/>
    <col min="44" max="45" width="16.7109375" customWidth="1"/>
    <col min="46" max="46" width="18.7109375" customWidth="1"/>
    <col min="47" max="47" width="17.7109375" customWidth="1"/>
    <col min="48" max="48" width="16.7109375" customWidth="1"/>
    <col min="49" max="49" width="18.7109375" customWidth="1"/>
    <col min="50" max="50" width="22.7109375" customWidth="1"/>
    <col min="51" max="51" width="21.7109375" customWidth="1"/>
    <col min="52" max="52" width="20.7109375" customWidth="1"/>
    <col min="53" max="53" width="24.7109375" customWidth="1"/>
    <col min="54" max="54" width="22.7109375" customWidth="1"/>
    <col min="55" max="55" width="14.7109375" customWidth="1"/>
    <col min="56" max="56" width="13.7109375" customWidth="1"/>
    <col min="57" max="57" width="12.7109375" customWidth="1"/>
    <col min="58" max="58" width="13.7109375" customWidth="1"/>
    <col min="59" max="59" width="12.7109375" customWidth="1"/>
    <col min="60" max="60" width="26.7109375" customWidth="1"/>
    <col min="61" max="61" width="25.7109375" customWidth="1"/>
    <col min="62" max="62" width="28.7109375" customWidth="1"/>
    <col min="63" max="63" width="14.7109375" customWidth="1"/>
    <col min="64" max="65" width="19.7109375" customWidth="1"/>
    <col min="66" max="66" width="25.7109375" customWidth="1"/>
    <col min="67" max="67" width="21.7109375" customWidth="1"/>
    <col min="68" max="68" width="15.7109375" customWidth="1"/>
    <col min="69" max="69" width="20.7109375" customWidth="1"/>
    <col min="70" max="70" width="19.7109375" customWidth="1"/>
    <col min="71" max="71" width="13.7109375" customWidth="1"/>
    <col min="72" max="72" width="12.7109375" customWidth="1"/>
    <col min="73" max="73" width="18.7109375" customWidth="1"/>
    <col min="74" max="74" width="19.7109375" customWidth="1"/>
    <col min="75" max="75" width="11.7109375" customWidth="1"/>
    <col min="76" max="76" width="12.7109375" customWidth="1"/>
    <col min="77" max="77" width="11.7109375" customWidth="1"/>
    <col min="78" max="78" width="20.7109375" customWidth="1"/>
    <col min="79" max="79" width="15.7109375" customWidth="1"/>
    <col min="80" max="80" width="14.7109375" customWidth="1"/>
  </cols>
  <sheetData>
    <row r="1" spans="1:80">
      <c r="A1" t="s">
        <v>53</v>
      </c>
      <c r="B1" t="s">
        <v>54</v>
      </c>
      <c r="C1" t="s">
        <v>55</v>
      </c>
      <c r="D1" t="s">
        <v>56</v>
      </c>
      <c r="E1" t="s">
        <v>57</v>
      </c>
      <c r="F1" t="s">
        <v>58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73</v>
      </c>
      <c r="V1" t="s">
        <v>74</v>
      </c>
      <c r="W1" t="s">
        <v>75</v>
      </c>
      <c r="X1" t="s">
        <v>76</v>
      </c>
      <c r="Y1" t="s">
        <v>77</v>
      </c>
      <c r="Z1" t="s">
        <v>78</v>
      </c>
      <c r="AA1" t="s">
        <v>79</v>
      </c>
      <c r="AB1" t="s">
        <v>80</v>
      </c>
      <c r="AC1" t="s">
        <v>81</v>
      </c>
      <c r="AD1" t="s">
        <v>82</v>
      </c>
      <c r="AE1" t="s">
        <v>83</v>
      </c>
      <c r="AF1" t="s">
        <v>84</v>
      </c>
      <c r="AG1" t="s">
        <v>85</v>
      </c>
      <c r="AH1" t="s">
        <v>86</v>
      </c>
      <c r="AI1" t="s">
        <v>87</v>
      </c>
      <c r="AJ1" t="s">
        <v>88</v>
      </c>
      <c r="AK1" t="s">
        <v>89</v>
      </c>
      <c r="AL1" t="s">
        <v>90</v>
      </c>
      <c r="AM1" t="s">
        <v>91</v>
      </c>
      <c r="AN1" t="s">
        <v>92</v>
      </c>
      <c r="AO1" t="s">
        <v>93</v>
      </c>
      <c r="AP1" t="s">
        <v>94</v>
      </c>
      <c r="AQ1" t="s">
        <v>95</v>
      </c>
      <c r="AR1" t="s">
        <v>96</v>
      </c>
      <c r="AS1" t="s">
        <v>97</v>
      </c>
      <c r="AT1" t="s">
        <v>98</v>
      </c>
      <c r="AU1" t="s">
        <v>99</v>
      </c>
      <c r="AV1" t="s">
        <v>100</v>
      </c>
      <c r="AW1" t="s">
        <v>101</v>
      </c>
      <c r="AX1" t="s">
        <v>102</v>
      </c>
      <c r="AY1" t="s">
        <v>103</v>
      </c>
      <c r="AZ1" t="s">
        <v>104</v>
      </c>
      <c r="BA1" t="s">
        <v>105</v>
      </c>
      <c r="BB1" t="s">
        <v>106</v>
      </c>
      <c r="BC1" t="s">
        <v>107</v>
      </c>
      <c r="BD1" t="s">
        <v>108</v>
      </c>
      <c r="BE1" t="s">
        <v>109</v>
      </c>
      <c r="BF1" t="s">
        <v>110</v>
      </c>
      <c r="BG1" t="s">
        <v>111</v>
      </c>
      <c r="BH1" t="s">
        <v>112</v>
      </c>
      <c r="BI1" t="s">
        <v>113</v>
      </c>
      <c r="BJ1" t="s">
        <v>114</v>
      </c>
      <c r="BK1" t="s">
        <v>115</v>
      </c>
      <c r="BL1" t="s">
        <v>116</v>
      </c>
      <c r="BM1" t="s">
        <v>117</v>
      </c>
      <c r="BN1" t="s">
        <v>118</v>
      </c>
      <c r="BO1" t="s">
        <v>119</v>
      </c>
      <c r="BP1" t="s">
        <v>120</v>
      </c>
      <c r="BQ1" t="s">
        <v>121</v>
      </c>
      <c r="BR1" t="s">
        <v>122</v>
      </c>
      <c r="BS1" t="s">
        <v>123</v>
      </c>
      <c r="BT1" t="s">
        <v>124</v>
      </c>
      <c r="BU1" t="s">
        <v>125</v>
      </c>
      <c r="BV1" t="s">
        <v>126</v>
      </c>
      <c r="BW1" t="s">
        <v>127</v>
      </c>
      <c r="BX1" t="s">
        <v>128</v>
      </c>
      <c r="BY1" t="s">
        <v>129</v>
      </c>
      <c r="BZ1" t="s">
        <v>130</v>
      </c>
      <c r="CA1" t="s">
        <v>131</v>
      </c>
      <c r="CB1" t="s">
        <v>132</v>
      </c>
    </row>
    <row r="2" spans="1:80">
      <c r="A2" s="6" t="s">
        <v>133</v>
      </c>
      <c r="B2" t="s">
        <v>134</v>
      </c>
      <c r="C2" s="6" t="s">
        <v>135</v>
      </c>
      <c r="D2" s="6">
        <v>1</v>
      </c>
      <c r="E2" t="s">
        <v>136</v>
      </c>
      <c r="G2" s="6"/>
      <c r="H2" s="6"/>
      <c r="I2" t="s">
        <v>137</v>
      </c>
      <c r="J2" s="3">
        <v>46204</v>
      </c>
      <c r="K2" t="s">
        <v>138</v>
      </c>
      <c r="L2" t="s">
        <v>139</v>
      </c>
      <c r="M2" t="s">
        <v>140</v>
      </c>
      <c r="N2" t="s">
        <v>141</v>
      </c>
      <c r="O2" t="s">
        <v>142</v>
      </c>
      <c r="P2" t="s">
        <v>142</v>
      </c>
      <c r="Q2" t="s">
        <v>143</v>
      </c>
      <c r="S2" t="s">
        <v>144</v>
      </c>
      <c r="T2" t="s">
        <v>145</v>
      </c>
      <c r="V2" t="s">
        <v>146</v>
      </c>
      <c r="W2" t="s">
        <v>33</v>
      </c>
      <c r="X2" s="6" t="s">
        <v>147</v>
      </c>
      <c r="Y2" s="6"/>
      <c r="Z2" t="s">
        <v>148</v>
      </c>
      <c r="AA2" t="s">
        <v>149</v>
      </c>
      <c r="AC2" t="s">
        <v>150</v>
      </c>
      <c r="AD2" s="6"/>
      <c r="AF2" s="3"/>
      <c r="AH2" t="b">
        <v>0</v>
      </c>
      <c r="AI2" t="b">
        <v>0</v>
      </c>
      <c r="AJ2" s="6"/>
      <c r="AK2" s="6"/>
      <c r="AL2" t="b">
        <v>0</v>
      </c>
      <c r="AM2" s="6"/>
      <c r="AN2" s="6"/>
      <c r="AP2" t="b">
        <v>0</v>
      </c>
      <c r="AQ2" s="6"/>
      <c r="AR2" s="6"/>
      <c r="AT2" t="b">
        <v>0</v>
      </c>
      <c r="AU2" s="6"/>
      <c r="AV2" s="6"/>
      <c r="AX2" t="b">
        <v>0</v>
      </c>
      <c r="AY2" s="6"/>
      <c r="AZ2" s="6"/>
      <c r="BA2" t="b">
        <v>0</v>
      </c>
      <c r="BB2" s="6"/>
      <c r="BC2" t="b">
        <v>0</v>
      </c>
      <c r="BD2" s="6"/>
      <c r="BE2" s="6"/>
      <c r="BF2" t="b">
        <v>0</v>
      </c>
      <c r="BG2" s="6"/>
      <c r="BH2" t="b">
        <v>1</v>
      </c>
      <c r="BI2" s="6" t="s">
        <v>151</v>
      </c>
      <c r="BJ2" t="b">
        <v>0</v>
      </c>
      <c r="BL2" t="b">
        <v>0</v>
      </c>
      <c r="BM2" t="b">
        <v>1</v>
      </c>
      <c r="BN2" t="b">
        <v>1</v>
      </c>
      <c r="BO2" t="b">
        <v>0</v>
      </c>
      <c r="BQ2" t="b">
        <v>0</v>
      </c>
      <c r="BR2" s="6"/>
      <c r="BT2" t="b">
        <v>0</v>
      </c>
      <c r="BU2" t="s">
        <v>152</v>
      </c>
      <c r="BV2" t="s">
        <v>153</v>
      </c>
      <c r="BW2" t="s">
        <v>154</v>
      </c>
      <c r="BX2" t="s">
        <v>155</v>
      </c>
      <c r="BY2" s="6" t="s">
        <v>156</v>
      </c>
      <c r="BZ2">
        <v>1</v>
      </c>
      <c r="CA2" t="s">
        <v>157</v>
      </c>
      <c r="CB2" s="7">
        <v>46315.05356481481</v>
      </c>
    </row>
    <row r="3" spans="1:80">
      <c r="A3" s="6" t="s">
        <v>158</v>
      </c>
      <c r="B3" t="s">
        <v>134</v>
      </c>
      <c r="C3" s="6" t="s">
        <v>159</v>
      </c>
      <c r="D3" s="6">
        <v>1</v>
      </c>
      <c r="E3" t="s">
        <v>160</v>
      </c>
      <c r="G3" s="6"/>
      <c r="H3" s="6"/>
      <c r="I3" t="s">
        <v>137</v>
      </c>
      <c r="J3" s="3">
        <v>46269</v>
      </c>
      <c r="K3" t="s">
        <v>138</v>
      </c>
      <c r="L3" t="s">
        <v>139</v>
      </c>
      <c r="M3" t="s">
        <v>161</v>
      </c>
      <c r="N3" t="s">
        <v>162</v>
      </c>
      <c r="O3" t="s">
        <v>163</v>
      </c>
      <c r="P3" t="s">
        <v>163</v>
      </c>
      <c r="Q3" t="s">
        <v>164</v>
      </c>
      <c r="S3" t="s">
        <v>144</v>
      </c>
      <c r="T3" t="s">
        <v>165</v>
      </c>
      <c r="V3" t="s">
        <v>166</v>
      </c>
      <c r="W3" t="s">
        <v>38</v>
      </c>
      <c r="X3" s="6" t="s">
        <v>167</v>
      </c>
      <c r="Y3" s="6"/>
      <c r="Z3" t="s">
        <v>148</v>
      </c>
      <c r="AA3" t="s">
        <v>149</v>
      </c>
      <c r="AC3" t="s">
        <v>150</v>
      </c>
      <c r="AD3" s="6"/>
      <c r="AF3" s="3"/>
      <c r="AH3" t="b">
        <v>0</v>
      </c>
      <c r="AI3" t="b">
        <v>0</v>
      </c>
      <c r="AJ3" s="6"/>
      <c r="AK3" s="6"/>
      <c r="AL3" t="b">
        <v>0</v>
      </c>
      <c r="AM3" s="6"/>
      <c r="AN3" s="6"/>
      <c r="AP3" t="b">
        <v>0</v>
      </c>
      <c r="AQ3" s="6"/>
      <c r="AR3" s="6"/>
      <c r="AT3" t="b">
        <v>0</v>
      </c>
      <c r="AU3" s="6"/>
      <c r="AV3" s="6"/>
      <c r="AX3" t="b">
        <v>0</v>
      </c>
      <c r="AY3" s="6"/>
      <c r="AZ3" s="6"/>
      <c r="BA3" t="b">
        <v>0</v>
      </c>
      <c r="BB3" s="6"/>
      <c r="BC3" t="b">
        <v>0</v>
      </c>
      <c r="BD3" s="6"/>
      <c r="BE3" s="6"/>
      <c r="BF3" t="b">
        <v>0</v>
      </c>
      <c r="BG3" s="6"/>
      <c r="BH3" t="b">
        <v>1</v>
      </c>
      <c r="BI3" s="6" t="s">
        <v>168</v>
      </c>
      <c r="BJ3" t="b">
        <v>0</v>
      </c>
      <c r="BL3" t="b">
        <v>0</v>
      </c>
      <c r="BM3" t="b">
        <v>1</v>
      </c>
      <c r="BN3" t="b">
        <v>1</v>
      </c>
      <c r="BO3" t="b">
        <v>0</v>
      </c>
      <c r="BQ3" t="b">
        <v>0</v>
      </c>
      <c r="BR3" s="6"/>
      <c r="BT3" t="b">
        <v>0</v>
      </c>
      <c r="BU3" t="s">
        <v>169</v>
      </c>
      <c r="BV3" t="s">
        <v>170</v>
      </c>
      <c r="BW3" t="s">
        <v>171</v>
      </c>
      <c r="BX3" t="s">
        <v>172</v>
      </c>
      <c r="BY3" s="6" t="s">
        <v>173</v>
      </c>
      <c r="BZ3">
        <v>1</v>
      </c>
      <c r="CB3" s="7">
        <v>46315.05356481481</v>
      </c>
    </row>
    <row r="4" spans="1:80">
      <c r="A4" s="6" t="s">
        <v>174</v>
      </c>
      <c r="B4" t="s">
        <v>134</v>
      </c>
      <c r="C4" s="6" t="s">
        <v>175</v>
      </c>
      <c r="D4" s="6">
        <v>1</v>
      </c>
      <c r="E4" t="s">
        <v>176</v>
      </c>
      <c r="G4" s="6"/>
      <c r="H4" s="6"/>
      <c r="I4" t="s">
        <v>137</v>
      </c>
      <c r="J4" s="3">
        <v>46079</v>
      </c>
      <c r="K4" t="s">
        <v>138</v>
      </c>
      <c r="L4" t="s">
        <v>139</v>
      </c>
      <c r="N4" t="s">
        <v>177</v>
      </c>
      <c r="O4" t="s">
        <v>178</v>
      </c>
      <c r="P4" t="s">
        <v>178</v>
      </c>
      <c r="Q4" t="s">
        <v>179</v>
      </c>
      <c r="S4" t="s">
        <v>144</v>
      </c>
      <c r="T4" t="s">
        <v>180</v>
      </c>
      <c r="V4" t="s">
        <v>181</v>
      </c>
      <c r="W4" t="s">
        <v>40</v>
      </c>
      <c r="X4" s="6" t="s">
        <v>182</v>
      </c>
      <c r="Y4" s="6"/>
      <c r="Z4" t="s">
        <v>148</v>
      </c>
      <c r="AA4" t="s">
        <v>149</v>
      </c>
      <c r="AC4" t="s">
        <v>150</v>
      </c>
      <c r="AD4" s="6"/>
      <c r="AF4" s="3"/>
      <c r="AH4" t="b">
        <v>0</v>
      </c>
      <c r="AI4" t="b">
        <v>0</v>
      </c>
      <c r="AJ4" s="6"/>
      <c r="AK4" s="6"/>
      <c r="AL4" t="b">
        <v>0</v>
      </c>
      <c r="AM4" s="6"/>
      <c r="AN4" s="6"/>
      <c r="AP4" t="b">
        <v>0</v>
      </c>
      <c r="AQ4" s="6"/>
      <c r="AR4" s="6"/>
      <c r="AT4" t="b">
        <v>0</v>
      </c>
      <c r="AU4" s="6"/>
      <c r="AV4" s="6"/>
      <c r="AX4" t="b">
        <v>0</v>
      </c>
      <c r="AY4" s="6"/>
      <c r="AZ4" s="6"/>
      <c r="BA4" t="b">
        <v>0</v>
      </c>
      <c r="BB4" s="6"/>
      <c r="BC4" t="b">
        <v>0</v>
      </c>
      <c r="BD4" s="6"/>
      <c r="BE4" s="6"/>
      <c r="BF4" t="b">
        <v>0</v>
      </c>
      <c r="BG4" s="6"/>
      <c r="BH4" t="b">
        <v>1</v>
      </c>
      <c r="BI4" s="6" t="s">
        <v>183</v>
      </c>
      <c r="BJ4" t="b">
        <v>0</v>
      </c>
      <c r="BL4" t="b">
        <v>0</v>
      </c>
      <c r="BM4" t="b">
        <v>1</v>
      </c>
      <c r="BN4" t="b">
        <v>1</v>
      </c>
      <c r="BO4" t="b">
        <v>0</v>
      </c>
      <c r="BQ4" t="b">
        <v>0</v>
      </c>
      <c r="BR4" s="6"/>
      <c r="BT4" t="b">
        <v>0</v>
      </c>
      <c r="BU4" t="s">
        <v>169</v>
      </c>
      <c r="BV4" t="s">
        <v>170</v>
      </c>
      <c r="BW4" t="s">
        <v>171</v>
      </c>
      <c r="BY4" s="6" t="s">
        <v>184</v>
      </c>
      <c r="BZ4">
        <v>1</v>
      </c>
      <c r="CB4" s="7">
        <v>46315.05356481481</v>
      </c>
    </row>
    <row r="5" spans="1:80">
      <c r="A5" s="6" t="s">
        <v>185</v>
      </c>
      <c r="B5" t="s">
        <v>134</v>
      </c>
      <c r="C5" s="6" t="s">
        <v>186</v>
      </c>
      <c r="D5" s="6">
        <v>1</v>
      </c>
      <c r="E5" t="s">
        <v>187</v>
      </c>
      <c r="G5" s="6"/>
      <c r="H5" s="6"/>
      <c r="I5" t="s">
        <v>137</v>
      </c>
      <c r="J5" s="3">
        <v>46209</v>
      </c>
      <c r="K5" t="s">
        <v>138</v>
      </c>
      <c r="L5" t="s">
        <v>139</v>
      </c>
      <c r="N5" t="s">
        <v>188</v>
      </c>
      <c r="O5" t="s">
        <v>189</v>
      </c>
      <c r="P5" t="s">
        <v>189</v>
      </c>
      <c r="Q5" t="s">
        <v>190</v>
      </c>
      <c r="S5" t="s">
        <v>144</v>
      </c>
      <c r="T5" t="s">
        <v>191</v>
      </c>
      <c r="V5" t="s">
        <v>192</v>
      </c>
      <c r="W5" t="s">
        <v>38</v>
      </c>
      <c r="X5" s="6" t="s">
        <v>193</v>
      </c>
      <c r="Y5" s="6"/>
      <c r="Z5" t="s">
        <v>148</v>
      </c>
      <c r="AA5" t="s">
        <v>149</v>
      </c>
      <c r="AC5" t="s">
        <v>150</v>
      </c>
      <c r="AD5" s="6"/>
      <c r="AF5" s="3"/>
      <c r="AH5" t="b">
        <v>0</v>
      </c>
      <c r="AI5" t="b">
        <v>0</v>
      </c>
      <c r="AJ5" s="6"/>
      <c r="AK5" s="6"/>
      <c r="AL5" t="b">
        <v>0</v>
      </c>
      <c r="AM5" s="6"/>
      <c r="AN5" s="6"/>
      <c r="AP5" t="b">
        <v>0</v>
      </c>
      <c r="AQ5" s="6"/>
      <c r="AR5" s="6"/>
      <c r="AT5" t="b">
        <v>0</v>
      </c>
      <c r="AU5" s="6"/>
      <c r="AV5" s="6"/>
      <c r="AX5" t="b">
        <v>0</v>
      </c>
      <c r="AY5" s="6"/>
      <c r="AZ5" s="6"/>
      <c r="BA5" t="b">
        <v>0</v>
      </c>
      <c r="BB5" s="6"/>
      <c r="BC5" t="b">
        <v>0</v>
      </c>
      <c r="BD5" s="6"/>
      <c r="BE5" s="6"/>
      <c r="BF5" t="b">
        <v>0</v>
      </c>
      <c r="BG5" s="6"/>
      <c r="BH5" t="b">
        <v>1</v>
      </c>
      <c r="BI5" s="6" t="s">
        <v>194</v>
      </c>
      <c r="BJ5" t="b">
        <v>0</v>
      </c>
      <c r="BL5" t="b">
        <v>0</v>
      </c>
      <c r="BM5" t="b">
        <v>1</v>
      </c>
      <c r="BN5" t="b">
        <v>1</v>
      </c>
      <c r="BO5" t="b">
        <v>0</v>
      </c>
      <c r="BQ5" t="b">
        <v>0</v>
      </c>
      <c r="BR5" s="6"/>
      <c r="BT5" t="b">
        <v>0</v>
      </c>
      <c r="BU5" t="s">
        <v>169</v>
      </c>
      <c r="BV5" t="s">
        <v>170</v>
      </c>
      <c r="BW5" t="s">
        <v>171</v>
      </c>
      <c r="BY5" s="6" t="s">
        <v>195</v>
      </c>
      <c r="BZ5">
        <v>1</v>
      </c>
      <c r="CB5" s="7">
        <v>46315.05356481481</v>
      </c>
    </row>
    <row r="6" spans="1:80">
      <c r="A6" s="6" t="s">
        <v>196</v>
      </c>
      <c r="B6" t="s">
        <v>134</v>
      </c>
      <c r="C6" s="6" t="s">
        <v>197</v>
      </c>
      <c r="D6" s="6">
        <v>1</v>
      </c>
      <c r="E6" t="s">
        <v>198</v>
      </c>
      <c r="G6" s="6"/>
      <c r="H6" s="6"/>
      <c r="I6" t="s">
        <v>137</v>
      </c>
      <c r="J6" s="3">
        <v>46152</v>
      </c>
      <c r="K6" t="s">
        <v>138</v>
      </c>
      <c r="L6" t="s">
        <v>139</v>
      </c>
      <c r="N6" t="s">
        <v>199</v>
      </c>
      <c r="Q6" t="s">
        <v>200</v>
      </c>
      <c r="R6" t="s">
        <v>201</v>
      </c>
      <c r="S6" t="s">
        <v>144</v>
      </c>
      <c r="T6" t="s">
        <v>202</v>
      </c>
      <c r="V6" t="s">
        <v>203</v>
      </c>
      <c r="W6" t="s">
        <v>34</v>
      </c>
      <c r="X6" s="6" t="s">
        <v>204</v>
      </c>
      <c r="Y6" s="6"/>
      <c r="Z6" t="s">
        <v>148</v>
      </c>
      <c r="AA6" t="s">
        <v>205</v>
      </c>
      <c r="AC6" t="s">
        <v>150</v>
      </c>
      <c r="AD6" s="6"/>
      <c r="AF6" s="3"/>
      <c r="AH6" t="b">
        <v>0</v>
      </c>
      <c r="AI6" t="b">
        <v>0</v>
      </c>
      <c r="AJ6" s="6"/>
      <c r="AK6" s="6"/>
      <c r="AL6" t="b">
        <v>0</v>
      </c>
      <c r="AM6" s="6"/>
      <c r="AN6" s="6"/>
      <c r="AP6" t="b">
        <v>0</v>
      </c>
      <c r="AQ6" s="6"/>
      <c r="AR6" s="6"/>
      <c r="AT6" t="b">
        <v>0</v>
      </c>
      <c r="AU6" s="6"/>
      <c r="AV6" s="6"/>
      <c r="AX6" t="b">
        <v>0</v>
      </c>
      <c r="AY6" s="6"/>
      <c r="AZ6" s="6"/>
      <c r="BA6" t="b">
        <v>0</v>
      </c>
      <c r="BB6" s="6"/>
      <c r="BC6" t="b">
        <v>0</v>
      </c>
      <c r="BD6" s="6"/>
      <c r="BE6" s="6"/>
      <c r="BF6" t="b">
        <v>0</v>
      </c>
      <c r="BG6" s="6"/>
      <c r="BH6" t="b">
        <v>1</v>
      </c>
      <c r="BI6" s="6" t="s">
        <v>206</v>
      </c>
      <c r="BJ6" t="b">
        <v>0</v>
      </c>
      <c r="BL6" t="b">
        <v>0</v>
      </c>
      <c r="BM6" t="b">
        <v>1</v>
      </c>
      <c r="BN6" t="b">
        <v>1</v>
      </c>
      <c r="BO6" t="b">
        <v>0</v>
      </c>
      <c r="BQ6" t="b">
        <v>0</v>
      </c>
      <c r="BR6" s="6"/>
      <c r="BT6" t="b">
        <v>0</v>
      </c>
      <c r="BU6" t="s">
        <v>169</v>
      </c>
      <c r="BV6" t="s">
        <v>170</v>
      </c>
      <c r="BW6" t="s">
        <v>154</v>
      </c>
      <c r="BX6" t="s">
        <v>43</v>
      </c>
      <c r="BY6" s="6" t="s">
        <v>207</v>
      </c>
      <c r="BZ6">
        <v>1</v>
      </c>
      <c r="CA6" t="s">
        <v>157</v>
      </c>
      <c r="CB6" s="7">
        <v>46315.05356481481</v>
      </c>
    </row>
    <row r="7" spans="1:80">
      <c r="A7" s="6" t="s">
        <v>208</v>
      </c>
      <c r="B7" t="s">
        <v>134</v>
      </c>
      <c r="C7" s="6" t="s">
        <v>209</v>
      </c>
      <c r="D7" s="6">
        <v>1</v>
      </c>
      <c r="E7" t="s">
        <v>210</v>
      </c>
      <c r="G7" s="6"/>
      <c r="H7" s="6"/>
      <c r="I7" t="s">
        <v>137</v>
      </c>
      <c r="J7" s="3">
        <v>46214</v>
      </c>
      <c r="K7" t="s">
        <v>138</v>
      </c>
      <c r="L7" t="s">
        <v>139</v>
      </c>
      <c r="N7" t="s">
        <v>211</v>
      </c>
      <c r="O7" t="s">
        <v>212</v>
      </c>
      <c r="P7" t="s">
        <v>212</v>
      </c>
      <c r="Q7" t="s">
        <v>213</v>
      </c>
      <c r="R7" t="s">
        <v>214</v>
      </c>
      <c r="S7" t="s">
        <v>144</v>
      </c>
      <c r="T7" t="s">
        <v>215</v>
      </c>
      <c r="V7" t="s">
        <v>216</v>
      </c>
      <c r="W7" t="s">
        <v>37</v>
      </c>
      <c r="X7" s="6" t="s">
        <v>217</v>
      </c>
      <c r="Y7" s="6"/>
      <c r="Z7" t="s">
        <v>148</v>
      </c>
      <c r="AA7" t="s">
        <v>149</v>
      </c>
      <c r="AC7" t="s">
        <v>150</v>
      </c>
      <c r="AD7" s="6"/>
      <c r="AF7" s="3"/>
      <c r="AH7" t="b">
        <v>0</v>
      </c>
      <c r="AI7" t="b">
        <v>0</v>
      </c>
      <c r="AJ7" s="6"/>
      <c r="AK7" s="6"/>
      <c r="AL7" t="b">
        <v>0</v>
      </c>
      <c r="AM7" s="6"/>
      <c r="AN7" s="6"/>
      <c r="AP7" t="b">
        <v>0</v>
      </c>
      <c r="AQ7" s="6"/>
      <c r="AR7" s="6"/>
      <c r="AT7" t="b">
        <v>0</v>
      </c>
      <c r="AU7" s="6"/>
      <c r="AV7" s="6"/>
      <c r="AX7" t="b">
        <v>0</v>
      </c>
      <c r="AY7" s="6"/>
      <c r="AZ7" s="6"/>
      <c r="BA7" t="b">
        <v>0</v>
      </c>
      <c r="BB7" s="6"/>
      <c r="BC7" t="b">
        <v>0</v>
      </c>
      <c r="BD7" s="6"/>
      <c r="BE7" s="6"/>
      <c r="BF7" t="b">
        <v>0</v>
      </c>
      <c r="BG7" s="6"/>
      <c r="BH7" t="b">
        <v>1</v>
      </c>
      <c r="BI7" s="6" t="s">
        <v>218</v>
      </c>
      <c r="BJ7" t="b">
        <v>0</v>
      </c>
      <c r="BL7" t="b">
        <v>0</v>
      </c>
      <c r="BM7" t="b">
        <v>1</v>
      </c>
      <c r="BN7" t="b">
        <v>1</v>
      </c>
      <c r="BO7" t="b">
        <v>0</v>
      </c>
      <c r="BQ7" t="b">
        <v>0</v>
      </c>
      <c r="BR7" s="6"/>
      <c r="BT7" t="b">
        <v>0</v>
      </c>
      <c r="BU7" t="s">
        <v>169</v>
      </c>
      <c r="BV7" t="s">
        <v>170</v>
      </c>
      <c r="BW7" t="s">
        <v>171</v>
      </c>
      <c r="BY7" s="6" t="s">
        <v>219</v>
      </c>
      <c r="BZ7">
        <v>1</v>
      </c>
      <c r="CB7" s="7">
        <v>46315.05356481481</v>
      </c>
    </row>
    <row r="8" spans="1:80">
      <c r="A8" s="6" t="s">
        <v>220</v>
      </c>
      <c r="B8" t="s">
        <v>134</v>
      </c>
      <c r="C8" s="6" t="s">
        <v>221</v>
      </c>
      <c r="D8" s="6">
        <v>1</v>
      </c>
      <c r="E8" t="s">
        <v>222</v>
      </c>
      <c r="G8" s="6"/>
      <c r="H8" s="6"/>
      <c r="I8" t="s">
        <v>137</v>
      </c>
      <c r="J8" s="3">
        <v>46254</v>
      </c>
      <c r="K8" t="s">
        <v>138</v>
      </c>
      <c r="L8" t="s">
        <v>139</v>
      </c>
      <c r="N8" t="s">
        <v>223</v>
      </c>
      <c r="O8" t="s">
        <v>224</v>
      </c>
      <c r="P8" t="s">
        <v>224</v>
      </c>
      <c r="Q8" t="s">
        <v>225</v>
      </c>
      <c r="S8" t="s">
        <v>144</v>
      </c>
      <c r="T8" t="s">
        <v>226</v>
      </c>
      <c r="V8" t="s">
        <v>227</v>
      </c>
      <c r="W8" t="s">
        <v>37</v>
      </c>
      <c r="X8" s="6" t="s">
        <v>228</v>
      </c>
      <c r="Y8" s="6"/>
      <c r="Z8" t="s">
        <v>148</v>
      </c>
      <c r="AA8" t="s">
        <v>149</v>
      </c>
      <c r="AC8" t="s">
        <v>150</v>
      </c>
      <c r="AD8" s="6"/>
      <c r="AF8" s="3"/>
      <c r="AH8" t="b">
        <v>0</v>
      </c>
      <c r="AI8" t="b">
        <v>0</v>
      </c>
      <c r="AJ8" s="6"/>
      <c r="AK8" s="6"/>
      <c r="AL8" t="b">
        <v>0</v>
      </c>
      <c r="AM8" s="6"/>
      <c r="AN8" s="6"/>
      <c r="AP8" t="b">
        <v>0</v>
      </c>
      <c r="AQ8" s="6"/>
      <c r="AR8" s="6"/>
      <c r="AT8" t="b">
        <v>0</v>
      </c>
      <c r="AU8" s="6"/>
      <c r="AV8" s="6"/>
      <c r="AX8" t="b">
        <v>0</v>
      </c>
      <c r="AY8" s="6"/>
      <c r="AZ8" s="6"/>
      <c r="BA8" t="b">
        <v>0</v>
      </c>
      <c r="BB8" s="6"/>
      <c r="BC8" t="b">
        <v>0</v>
      </c>
      <c r="BD8" s="6"/>
      <c r="BE8" s="6"/>
      <c r="BF8" t="b">
        <v>0</v>
      </c>
      <c r="BG8" s="6"/>
      <c r="BH8" t="b">
        <v>1</v>
      </c>
      <c r="BI8" s="6" t="s">
        <v>229</v>
      </c>
      <c r="BJ8" t="b">
        <v>0</v>
      </c>
      <c r="BL8" t="b">
        <v>0</v>
      </c>
      <c r="BM8" t="b">
        <v>1</v>
      </c>
      <c r="BN8" t="b">
        <v>1</v>
      </c>
      <c r="BO8" t="b">
        <v>0</v>
      </c>
      <c r="BQ8" t="b">
        <v>0</v>
      </c>
      <c r="BR8" s="6"/>
      <c r="BT8" t="b">
        <v>0</v>
      </c>
      <c r="BU8" t="s">
        <v>169</v>
      </c>
      <c r="BV8" t="s">
        <v>170</v>
      </c>
      <c r="BW8" t="s">
        <v>171</v>
      </c>
      <c r="BY8" s="6" t="s">
        <v>230</v>
      </c>
      <c r="BZ8">
        <v>1</v>
      </c>
      <c r="CB8" s="7">
        <v>46315.05356481481</v>
      </c>
    </row>
    <row r="9" spans="1:80">
      <c r="A9" s="6" t="s">
        <v>231</v>
      </c>
      <c r="B9" t="s">
        <v>134</v>
      </c>
      <c r="C9" s="6" t="s">
        <v>232</v>
      </c>
      <c r="D9" s="6">
        <v>1</v>
      </c>
      <c r="E9" t="s">
        <v>233</v>
      </c>
      <c r="G9" s="6"/>
      <c r="H9" s="6"/>
      <c r="I9" t="s">
        <v>137</v>
      </c>
      <c r="J9" s="3">
        <v>46147</v>
      </c>
      <c r="K9" t="s">
        <v>138</v>
      </c>
      <c r="L9" t="s">
        <v>139</v>
      </c>
      <c r="N9" t="s">
        <v>234</v>
      </c>
      <c r="O9" t="s">
        <v>235</v>
      </c>
      <c r="P9" t="s">
        <v>235</v>
      </c>
      <c r="Q9" t="s">
        <v>236</v>
      </c>
      <c r="S9" t="s">
        <v>144</v>
      </c>
      <c r="T9" t="s">
        <v>237</v>
      </c>
      <c r="V9" t="s">
        <v>238</v>
      </c>
      <c r="W9" t="s">
        <v>37</v>
      </c>
      <c r="X9" s="6" t="s">
        <v>239</v>
      </c>
      <c r="Y9" s="6"/>
      <c r="Z9" t="s">
        <v>148</v>
      </c>
      <c r="AA9" t="s">
        <v>149</v>
      </c>
      <c r="AC9" t="s">
        <v>150</v>
      </c>
      <c r="AD9" s="6"/>
      <c r="AF9" s="3"/>
      <c r="AH9" t="b">
        <v>0</v>
      </c>
      <c r="AI9" t="b">
        <v>0</v>
      </c>
      <c r="AJ9" s="6"/>
      <c r="AK9" s="6"/>
      <c r="AL9" t="b">
        <v>0</v>
      </c>
      <c r="AM9" s="6"/>
      <c r="AN9" s="6"/>
      <c r="AP9" t="b">
        <v>0</v>
      </c>
      <c r="AQ9" s="6"/>
      <c r="AR9" s="6"/>
      <c r="AT9" t="b">
        <v>0</v>
      </c>
      <c r="AU9" s="6"/>
      <c r="AV9" s="6"/>
      <c r="AX9" t="b">
        <v>0</v>
      </c>
      <c r="AY9" s="6"/>
      <c r="AZ9" s="6"/>
      <c r="BA9" t="b">
        <v>0</v>
      </c>
      <c r="BB9" s="6"/>
      <c r="BC9" t="b">
        <v>0</v>
      </c>
      <c r="BD9" s="6"/>
      <c r="BE9" s="6"/>
      <c r="BF9" t="b">
        <v>0</v>
      </c>
      <c r="BG9" s="6"/>
      <c r="BH9" t="b">
        <v>1</v>
      </c>
      <c r="BI9" s="6" t="s">
        <v>240</v>
      </c>
      <c r="BJ9" t="b">
        <v>0</v>
      </c>
      <c r="BL9" t="b">
        <v>0</v>
      </c>
      <c r="BM9" t="b">
        <v>1</v>
      </c>
      <c r="BN9" t="b">
        <v>1</v>
      </c>
      <c r="BO9" t="b">
        <v>0</v>
      </c>
      <c r="BQ9" t="b">
        <v>0</v>
      </c>
      <c r="BR9" s="6"/>
      <c r="BT9" t="b">
        <v>0</v>
      </c>
      <c r="BU9" t="s">
        <v>169</v>
      </c>
      <c r="BV9" t="s">
        <v>170</v>
      </c>
      <c r="BW9" t="s">
        <v>154</v>
      </c>
      <c r="BX9" t="s">
        <v>44</v>
      </c>
      <c r="BY9" s="6" t="s">
        <v>241</v>
      </c>
      <c r="BZ9">
        <v>1</v>
      </c>
      <c r="CA9" t="s">
        <v>157</v>
      </c>
      <c r="CB9" s="7">
        <v>46315.05356481481</v>
      </c>
    </row>
    <row r="10" spans="1:80">
      <c r="A10" s="6" t="s">
        <v>242</v>
      </c>
      <c r="B10" t="s">
        <v>134</v>
      </c>
      <c r="C10" s="6" t="s">
        <v>243</v>
      </c>
      <c r="D10" s="6">
        <v>1</v>
      </c>
      <c r="E10" t="s">
        <v>244</v>
      </c>
      <c r="G10" s="6"/>
      <c r="H10" s="6"/>
      <c r="I10" t="s">
        <v>245</v>
      </c>
      <c r="J10" s="3">
        <v>46063</v>
      </c>
      <c r="K10" t="s">
        <v>246</v>
      </c>
      <c r="L10" t="s">
        <v>139</v>
      </c>
      <c r="N10" t="s">
        <v>247</v>
      </c>
      <c r="O10" t="s">
        <v>224</v>
      </c>
      <c r="P10" t="s">
        <v>224</v>
      </c>
      <c r="Q10" t="s">
        <v>248</v>
      </c>
      <c r="S10" t="s">
        <v>249</v>
      </c>
      <c r="T10" t="s">
        <v>250</v>
      </c>
      <c r="V10" t="s">
        <v>251</v>
      </c>
      <c r="W10" t="s">
        <v>39</v>
      </c>
      <c r="X10" s="6" t="s">
        <v>252</v>
      </c>
      <c r="Y10" s="6"/>
      <c r="Z10" t="s">
        <v>148</v>
      </c>
      <c r="AA10" t="s">
        <v>149</v>
      </c>
      <c r="AC10" t="s">
        <v>150</v>
      </c>
      <c r="AD10" s="6"/>
      <c r="AF10" s="3"/>
      <c r="AH10" t="b">
        <v>0</v>
      </c>
      <c r="AI10" t="b">
        <v>0</v>
      </c>
      <c r="AJ10" s="6"/>
      <c r="AK10" s="6"/>
      <c r="AL10" t="b">
        <v>0</v>
      </c>
      <c r="AM10" s="6"/>
      <c r="AN10" s="6"/>
      <c r="AP10" t="b">
        <v>0</v>
      </c>
      <c r="AQ10" s="6"/>
      <c r="AR10" s="6"/>
      <c r="AT10" t="b">
        <v>0</v>
      </c>
      <c r="AU10" s="6"/>
      <c r="AV10" s="6"/>
      <c r="AX10" t="b">
        <v>0</v>
      </c>
      <c r="AY10" s="6"/>
      <c r="AZ10" s="6"/>
      <c r="BA10" t="b">
        <v>0</v>
      </c>
      <c r="BB10" s="6"/>
      <c r="BC10" t="b">
        <v>0</v>
      </c>
      <c r="BD10" s="6"/>
      <c r="BE10" s="6"/>
      <c r="BF10" t="b">
        <v>0</v>
      </c>
      <c r="BG10" s="6"/>
      <c r="BH10" t="b">
        <v>1</v>
      </c>
      <c r="BI10" s="6" t="s">
        <v>253</v>
      </c>
      <c r="BJ10" t="b">
        <v>1</v>
      </c>
      <c r="BK10" t="s">
        <v>254</v>
      </c>
      <c r="BL10" t="b">
        <v>0</v>
      </c>
      <c r="BM10" t="b">
        <v>0</v>
      </c>
      <c r="BN10" t="b">
        <v>0</v>
      </c>
      <c r="BO10" t="b">
        <v>0</v>
      </c>
      <c r="BQ10" t="b">
        <v>0</v>
      </c>
      <c r="BR10" s="6"/>
      <c r="BT10" t="b">
        <v>0</v>
      </c>
      <c r="BU10" t="s">
        <v>255</v>
      </c>
      <c r="BV10" t="s">
        <v>170</v>
      </c>
      <c r="BW10" t="s">
        <v>154</v>
      </c>
      <c r="BX10" t="s">
        <v>44</v>
      </c>
      <c r="BY10" s="6" t="s">
        <v>256</v>
      </c>
      <c r="BZ10">
        <v>1</v>
      </c>
      <c r="CA10" t="s">
        <v>157</v>
      </c>
      <c r="CB10" s="7">
        <v>46315.05356481481</v>
      </c>
    </row>
    <row r="11" spans="1:80">
      <c r="A11" s="6" t="s">
        <v>257</v>
      </c>
      <c r="B11" t="s">
        <v>134</v>
      </c>
      <c r="C11" s="6" t="s">
        <v>243</v>
      </c>
      <c r="D11" s="6">
        <v>1</v>
      </c>
      <c r="E11" t="s">
        <v>244</v>
      </c>
      <c r="G11" s="6"/>
      <c r="H11" s="6" t="s">
        <v>242</v>
      </c>
      <c r="I11" t="s">
        <v>245</v>
      </c>
      <c r="J11" s="3">
        <v>46063</v>
      </c>
      <c r="K11" t="s">
        <v>138</v>
      </c>
      <c r="L11" t="s">
        <v>139</v>
      </c>
      <c r="N11" t="s">
        <v>258</v>
      </c>
      <c r="O11" t="s">
        <v>259</v>
      </c>
      <c r="P11" t="s">
        <v>259</v>
      </c>
      <c r="Q11" t="s">
        <v>248</v>
      </c>
      <c r="S11" t="s">
        <v>249</v>
      </c>
      <c r="T11" t="s">
        <v>250</v>
      </c>
      <c r="V11" t="s">
        <v>251</v>
      </c>
      <c r="W11" t="s">
        <v>39</v>
      </c>
      <c r="X11" s="6" t="s">
        <v>252</v>
      </c>
      <c r="Y11" s="6"/>
      <c r="Z11" t="s">
        <v>148</v>
      </c>
      <c r="AA11" t="s">
        <v>149</v>
      </c>
      <c r="AC11" t="s">
        <v>150</v>
      </c>
      <c r="AD11" s="6"/>
      <c r="AF11" s="3">
        <v>43220</v>
      </c>
      <c r="AG11">
        <v>8</v>
      </c>
      <c r="AH11" t="b">
        <v>1</v>
      </c>
      <c r="AI11" t="b">
        <v>0</v>
      </c>
      <c r="AJ11" s="6"/>
      <c r="AK11" s="6"/>
      <c r="AL11" t="b">
        <v>0</v>
      </c>
      <c r="AM11" s="6"/>
      <c r="AN11" s="6"/>
      <c r="AP11" t="b">
        <v>0</v>
      </c>
      <c r="AQ11" s="6"/>
      <c r="AR11" s="6"/>
      <c r="AT11" t="b">
        <v>0</v>
      </c>
      <c r="AU11" s="6"/>
      <c r="AV11" s="6"/>
      <c r="AX11" t="b">
        <v>0</v>
      </c>
      <c r="AY11" s="6"/>
      <c r="AZ11" s="6"/>
      <c r="BA11" t="b">
        <v>0</v>
      </c>
      <c r="BB11" s="6"/>
      <c r="BC11" t="b">
        <v>0</v>
      </c>
      <c r="BD11" s="6"/>
      <c r="BE11" s="6"/>
      <c r="BF11" t="b">
        <v>0</v>
      </c>
      <c r="BG11" s="6"/>
      <c r="BH11" t="b">
        <v>0</v>
      </c>
      <c r="BI11" s="6"/>
      <c r="BJ11" t="b">
        <v>0</v>
      </c>
      <c r="BK11" t="s">
        <v>254</v>
      </c>
      <c r="BL11" t="b">
        <v>1</v>
      </c>
      <c r="BM11" t="b">
        <v>1</v>
      </c>
      <c r="BN11" t="b">
        <v>1</v>
      </c>
      <c r="BO11" t="b">
        <v>0</v>
      </c>
      <c r="BQ11" t="b">
        <v>0</v>
      </c>
      <c r="BR11" s="6"/>
      <c r="BT11" t="b">
        <v>0</v>
      </c>
      <c r="BU11" t="s">
        <v>260</v>
      </c>
      <c r="BV11" t="s">
        <v>170</v>
      </c>
      <c r="BW11" t="s">
        <v>154</v>
      </c>
      <c r="BX11" t="s">
        <v>261</v>
      </c>
      <c r="BY11" s="6" t="s">
        <v>262</v>
      </c>
      <c r="BZ11">
        <v>1</v>
      </c>
      <c r="CA11" t="s">
        <v>157</v>
      </c>
      <c r="CB11" s="7">
        <v>46315.05356481481</v>
      </c>
    </row>
    <row r="12" spans="1:80">
      <c r="A12" s="6" t="s">
        <v>263</v>
      </c>
      <c r="B12" t="s">
        <v>134</v>
      </c>
      <c r="C12" s="6" t="s">
        <v>264</v>
      </c>
      <c r="D12" s="6">
        <v>1</v>
      </c>
      <c r="E12" t="s">
        <v>265</v>
      </c>
      <c r="G12" s="6"/>
      <c r="H12" s="6"/>
      <c r="I12" t="s">
        <v>245</v>
      </c>
      <c r="J12" s="3">
        <v>46089</v>
      </c>
      <c r="K12" t="s">
        <v>138</v>
      </c>
      <c r="L12" t="s">
        <v>139</v>
      </c>
      <c r="N12" t="s">
        <v>266</v>
      </c>
      <c r="O12" t="s">
        <v>267</v>
      </c>
      <c r="P12" t="s">
        <v>267</v>
      </c>
      <c r="Q12" t="s">
        <v>268</v>
      </c>
      <c r="S12" t="s">
        <v>144</v>
      </c>
      <c r="T12" t="s">
        <v>269</v>
      </c>
      <c r="V12" t="s">
        <v>270</v>
      </c>
      <c r="W12" t="s">
        <v>33</v>
      </c>
      <c r="X12" s="6" t="s">
        <v>271</v>
      </c>
      <c r="Y12" s="6"/>
      <c r="Z12" t="s">
        <v>148</v>
      </c>
      <c r="AA12" t="s">
        <v>272</v>
      </c>
      <c r="AB12" t="s">
        <v>273</v>
      </c>
      <c r="AC12" t="s">
        <v>150</v>
      </c>
      <c r="AD12" s="6"/>
      <c r="AF12" s="3">
        <v>24084</v>
      </c>
      <c r="AG12">
        <v>60</v>
      </c>
      <c r="AH12" t="b">
        <v>0</v>
      </c>
      <c r="AI12" t="b">
        <v>0</v>
      </c>
      <c r="AJ12" s="6"/>
      <c r="AK12" s="6"/>
      <c r="AL12" t="b">
        <v>0</v>
      </c>
      <c r="AM12" s="6"/>
      <c r="AN12" s="6"/>
      <c r="AP12" t="b">
        <v>0</v>
      </c>
      <c r="AQ12" s="6"/>
      <c r="AR12" s="6"/>
      <c r="AT12" t="b">
        <v>0</v>
      </c>
      <c r="AU12" s="6"/>
      <c r="AV12" s="6"/>
      <c r="AX12" t="b">
        <v>0</v>
      </c>
      <c r="AY12" s="6"/>
      <c r="AZ12" s="6"/>
      <c r="BA12" t="b">
        <v>0</v>
      </c>
      <c r="BB12" s="6"/>
      <c r="BC12" t="b">
        <v>0</v>
      </c>
      <c r="BD12" s="6"/>
      <c r="BE12" s="6"/>
      <c r="BF12" t="b">
        <v>0</v>
      </c>
      <c r="BG12" s="6"/>
      <c r="BH12" t="b">
        <v>1</v>
      </c>
      <c r="BI12" s="6" t="s">
        <v>274</v>
      </c>
      <c r="BJ12" t="b">
        <v>0</v>
      </c>
      <c r="BK12" t="s">
        <v>254</v>
      </c>
      <c r="BL12" t="b">
        <v>1</v>
      </c>
      <c r="BM12" t="b">
        <v>1</v>
      </c>
      <c r="BN12" t="b">
        <v>1</v>
      </c>
      <c r="BO12" t="b">
        <v>0</v>
      </c>
      <c r="BQ12" t="b">
        <v>0</v>
      </c>
      <c r="BR12" s="6"/>
      <c r="BT12" t="b">
        <v>0</v>
      </c>
      <c r="BU12" t="s">
        <v>275</v>
      </c>
      <c r="BV12" t="s">
        <v>153</v>
      </c>
      <c r="BW12" t="s">
        <v>154</v>
      </c>
      <c r="BX12" t="s">
        <v>276</v>
      </c>
      <c r="BY12" s="6" t="s">
        <v>277</v>
      </c>
      <c r="BZ12">
        <v>1</v>
      </c>
      <c r="CA12" t="s">
        <v>157</v>
      </c>
      <c r="CB12" s="7">
        <v>46315.05356481481</v>
      </c>
    </row>
    <row r="13" spans="1:80">
      <c r="A13" s="6" t="s">
        <v>278</v>
      </c>
      <c r="B13" t="s">
        <v>134</v>
      </c>
      <c r="C13" s="6" t="s">
        <v>279</v>
      </c>
      <c r="D13" s="6">
        <v>1</v>
      </c>
      <c r="E13" t="s">
        <v>280</v>
      </c>
      <c r="G13" s="6"/>
      <c r="H13" s="6"/>
      <c r="I13" t="s">
        <v>245</v>
      </c>
      <c r="J13" s="3">
        <v>46048</v>
      </c>
      <c r="K13" t="s">
        <v>138</v>
      </c>
      <c r="L13" t="s">
        <v>139</v>
      </c>
      <c r="N13" t="s">
        <v>281</v>
      </c>
      <c r="O13" t="s">
        <v>142</v>
      </c>
      <c r="P13" t="s">
        <v>142</v>
      </c>
      <c r="Q13" t="s">
        <v>282</v>
      </c>
      <c r="S13" t="s">
        <v>249</v>
      </c>
      <c r="T13" t="s">
        <v>283</v>
      </c>
      <c r="V13" t="s">
        <v>284</v>
      </c>
      <c r="W13" t="s">
        <v>39</v>
      </c>
      <c r="X13" s="6" t="s">
        <v>285</v>
      </c>
      <c r="Y13" s="6"/>
      <c r="Z13" t="s">
        <v>148</v>
      </c>
      <c r="AA13" t="s">
        <v>286</v>
      </c>
      <c r="AD13" s="6"/>
      <c r="AF13" s="3">
        <v>25182</v>
      </c>
      <c r="AG13">
        <v>57</v>
      </c>
      <c r="AH13" t="b">
        <v>0</v>
      </c>
      <c r="AI13" t="b">
        <v>0</v>
      </c>
      <c r="AJ13" s="6"/>
      <c r="AK13" s="6"/>
      <c r="AL13" t="b">
        <v>0</v>
      </c>
      <c r="AM13" s="6"/>
      <c r="AN13" s="6"/>
      <c r="AP13" t="b">
        <v>0</v>
      </c>
      <c r="AQ13" s="6"/>
      <c r="AR13" s="6"/>
      <c r="AT13" t="b">
        <v>0</v>
      </c>
      <c r="AU13" s="6"/>
      <c r="AV13" s="6"/>
      <c r="AX13" t="b">
        <v>0</v>
      </c>
      <c r="AY13" s="6"/>
      <c r="AZ13" s="6"/>
      <c r="BA13" t="b">
        <v>0</v>
      </c>
      <c r="BB13" s="6"/>
      <c r="BC13" t="b">
        <v>0</v>
      </c>
      <c r="BD13" s="6"/>
      <c r="BE13" s="6"/>
      <c r="BF13" t="b">
        <v>0</v>
      </c>
      <c r="BG13" s="6"/>
      <c r="BH13" t="b">
        <v>1</v>
      </c>
      <c r="BI13" s="6" t="s">
        <v>287</v>
      </c>
      <c r="BJ13" t="b">
        <v>1</v>
      </c>
      <c r="BK13" t="s">
        <v>254</v>
      </c>
      <c r="BL13" t="b">
        <v>1</v>
      </c>
      <c r="BM13" t="b">
        <v>1</v>
      </c>
      <c r="BN13" t="b">
        <v>1</v>
      </c>
      <c r="BO13" t="b">
        <v>0</v>
      </c>
      <c r="BQ13" t="b">
        <v>0</v>
      </c>
      <c r="BR13" s="6"/>
      <c r="BT13" t="b">
        <v>0</v>
      </c>
      <c r="BU13" t="s">
        <v>288</v>
      </c>
      <c r="BV13" t="s">
        <v>153</v>
      </c>
      <c r="BW13" t="s">
        <v>289</v>
      </c>
      <c r="BX13" t="s">
        <v>290</v>
      </c>
      <c r="BY13" s="6" t="s">
        <v>291</v>
      </c>
      <c r="BZ13">
        <v>0.9</v>
      </c>
      <c r="CA13" t="s">
        <v>157</v>
      </c>
      <c r="CB13" s="7">
        <v>46315.05356481481</v>
      </c>
    </row>
    <row r="14" spans="1:80">
      <c r="A14" s="6" t="s">
        <v>292</v>
      </c>
      <c r="B14" t="s">
        <v>134</v>
      </c>
      <c r="C14" s="6" t="s">
        <v>293</v>
      </c>
      <c r="D14" s="6">
        <v>1</v>
      </c>
      <c r="E14" t="s">
        <v>294</v>
      </c>
      <c r="G14" s="6"/>
      <c r="H14" s="6"/>
      <c r="I14" t="s">
        <v>245</v>
      </c>
      <c r="J14" s="3">
        <v>46214</v>
      </c>
      <c r="K14" t="s">
        <v>138</v>
      </c>
      <c r="L14" t="s">
        <v>139</v>
      </c>
      <c r="N14" t="s">
        <v>177</v>
      </c>
      <c r="O14" t="s">
        <v>178</v>
      </c>
      <c r="P14" t="s">
        <v>178</v>
      </c>
      <c r="Q14" t="s">
        <v>179</v>
      </c>
      <c r="S14" t="s">
        <v>144</v>
      </c>
      <c r="T14" t="s">
        <v>180</v>
      </c>
      <c r="V14" t="s">
        <v>181</v>
      </c>
      <c r="W14" t="s">
        <v>40</v>
      </c>
      <c r="X14" s="6" t="s">
        <v>182</v>
      </c>
      <c r="Y14" s="6"/>
      <c r="Z14" t="s">
        <v>148</v>
      </c>
      <c r="AA14" t="s">
        <v>149</v>
      </c>
      <c r="AC14" t="s">
        <v>150</v>
      </c>
      <c r="AD14" s="6"/>
      <c r="AF14" s="3">
        <v>31930</v>
      </c>
      <c r="AG14">
        <v>39</v>
      </c>
      <c r="AH14" t="b">
        <v>0</v>
      </c>
      <c r="AI14" t="b">
        <v>0</v>
      </c>
      <c r="AJ14" s="6"/>
      <c r="AK14" s="6"/>
      <c r="AL14" t="b">
        <v>0</v>
      </c>
      <c r="AM14" s="6"/>
      <c r="AN14" s="6"/>
      <c r="AP14" t="b">
        <v>0</v>
      </c>
      <c r="AQ14" s="6"/>
      <c r="AR14" s="6"/>
      <c r="AT14" t="b">
        <v>0</v>
      </c>
      <c r="AU14" s="6"/>
      <c r="AV14" s="6"/>
      <c r="AX14" t="b">
        <v>0</v>
      </c>
      <c r="AY14" s="6"/>
      <c r="AZ14" s="6"/>
      <c r="BA14" t="b">
        <v>0</v>
      </c>
      <c r="BB14" s="6"/>
      <c r="BC14" t="b">
        <v>0</v>
      </c>
      <c r="BD14" s="6"/>
      <c r="BE14" s="6"/>
      <c r="BF14" t="b">
        <v>0</v>
      </c>
      <c r="BG14" s="6"/>
      <c r="BH14" t="b">
        <v>1</v>
      </c>
      <c r="BI14" s="6" t="s">
        <v>183</v>
      </c>
      <c r="BJ14" t="b">
        <v>1</v>
      </c>
      <c r="BK14" t="s">
        <v>254</v>
      </c>
      <c r="BL14" t="b">
        <v>1</v>
      </c>
      <c r="BM14" t="b">
        <v>1</v>
      </c>
      <c r="BN14" t="b">
        <v>1</v>
      </c>
      <c r="BO14" t="b">
        <v>0</v>
      </c>
      <c r="BQ14" t="b">
        <v>0</v>
      </c>
      <c r="BR14" s="6"/>
      <c r="BT14" t="b">
        <v>0</v>
      </c>
      <c r="BU14" t="s">
        <v>260</v>
      </c>
      <c r="BV14" t="s">
        <v>170</v>
      </c>
      <c r="BW14" t="s">
        <v>154</v>
      </c>
      <c r="BX14" t="s">
        <v>52</v>
      </c>
      <c r="BY14" s="6" t="s">
        <v>184</v>
      </c>
      <c r="BZ14">
        <v>1</v>
      </c>
      <c r="CA14" t="s">
        <v>157</v>
      </c>
      <c r="CB14" s="7">
        <v>46315.05356481481</v>
      </c>
    </row>
    <row r="15" spans="1:80">
      <c r="A15" s="6" t="s">
        <v>295</v>
      </c>
      <c r="B15" t="s">
        <v>134</v>
      </c>
      <c r="C15" s="6" t="s">
        <v>296</v>
      </c>
      <c r="D15" s="6">
        <v>1</v>
      </c>
      <c r="E15" t="s">
        <v>297</v>
      </c>
      <c r="G15" s="6"/>
      <c r="H15" s="6"/>
      <c r="I15" t="s">
        <v>245</v>
      </c>
      <c r="J15" s="3">
        <v>46131</v>
      </c>
      <c r="K15" t="s">
        <v>246</v>
      </c>
      <c r="L15" t="s">
        <v>139</v>
      </c>
      <c r="N15" t="s">
        <v>298</v>
      </c>
      <c r="O15" t="s">
        <v>299</v>
      </c>
      <c r="P15" t="s">
        <v>299</v>
      </c>
      <c r="Q15" t="s">
        <v>300</v>
      </c>
      <c r="S15" t="s">
        <v>249</v>
      </c>
      <c r="T15" t="s">
        <v>301</v>
      </c>
      <c r="V15" t="s">
        <v>302</v>
      </c>
      <c r="W15" t="s">
        <v>35</v>
      </c>
      <c r="X15" s="6" t="s">
        <v>303</v>
      </c>
      <c r="Y15" s="6"/>
      <c r="Z15" t="s">
        <v>148</v>
      </c>
      <c r="AA15" t="s">
        <v>149</v>
      </c>
      <c r="AC15" t="s">
        <v>150</v>
      </c>
      <c r="AD15" s="6"/>
      <c r="AF15" s="3"/>
      <c r="AH15" t="b">
        <v>0</v>
      </c>
      <c r="AI15" t="b">
        <v>0</v>
      </c>
      <c r="AJ15" s="6"/>
      <c r="AK15" s="6"/>
      <c r="AL15" t="b">
        <v>0</v>
      </c>
      <c r="AM15" s="6"/>
      <c r="AN15" s="6"/>
      <c r="AP15" t="b">
        <v>0</v>
      </c>
      <c r="AQ15" s="6"/>
      <c r="AR15" s="6"/>
      <c r="AT15" t="b">
        <v>0</v>
      </c>
      <c r="AU15" s="6"/>
      <c r="AV15" s="6"/>
      <c r="AX15" t="b">
        <v>0</v>
      </c>
      <c r="AY15" s="6"/>
      <c r="AZ15" s="6"/>
      <c r="BA15" t="b">
        <v>0</v>
      </c>
      <c r="BB15" s="6"/>
      <c r="BC15" t="b">
        <v>0</v>
      </c>
      <c r="BD15" s="6"/>
      <c r="BE15" s="6"/>
      <c r="BF15" t="b">
        <v>0</v>
      </c>
      <c r="BG15" s="6"/>
      <c r="BH15" t="b">
        <v>1</v>
      </c>
      <c r="BI15" s="6" t="s">
        <v>304</v>
      </c>
      <c r="BJ15" t="b">
        <v>1</v>
      </c>
      <c r="BK15" t="s">
        <v>254</v>
      </c>
      <c r="BL15" t="b">
        <v>0</v>
      </c>
      <c r="BM15" t="b">
        <v>0</v>
      </c>
      <c r="BN15" t="b">
        <v>0</v>
      </c>
      <c r="BO15" t="b">
        <v>0</v>
      </c>
      <c r="BQ15" t="b">
        <v>0</v>
      </c>
      <c r="BR15" s="6"/>
      <c r="BT15" t="b">
        <v>0</v>
      </c>
      <c r="BU15" t="s">
        <v>255</v>
      </c>
      <c r="BV15" t="s">
        <v>170</v>
      </c>
      <c r="BW15" t="s">
        <v>154</v>
      </c>
      <c r="BX15" t="s">
        <v>305</v>
      </c>
      <c r="BY15" s="6" t="s">
        <v>306</v>
      </c>
      <c r="BZ15">
        <v>1</v>
      </c>
      <c r="CA15" t="s">
        <v>157</v>
      </c>
      <c r="CB15" s="7">
        <v>46315.05356481481</v>
      </c>
    </row>
    <row r="16" spans="1:80">
      <c r="A16" s="6" t="s">
        <v>307</v>
      </c>
      <c r="B16" t="s">
        <v>134</v>
      </c>
      <c r="C16" s="6" t="s">
        <v>296</v>
      </c>
      <c r="D16" s="6">
        <v>1</v>
      </c>
      <c r="E16" t="s">
        <v>297</v>
      </c>
      <c r="G16" s="6"/>
      <c r="H16" s="6" t="s">
        <v>295</v>
      </c>
      <c r="I16" t="s">
        <v>245</v>
      </c>
      <c r="J16" s="3">
        <v>46131</v>
      </c>
      <c r="K16" t="s">
        <v>138</v>
      </c>
      <c r="L16" t="s">
        <v>139</v>
      </c>
      <c r="N16" t="s">
        <v>308</v>
      </c>
      <c r="O16" t="s">
        <v>224</v>
      </c>
      <c r="P16" t="s">
        <v>224</v>
      </c>
      <c r="Q16" t="s">
        <v>300</v>
      </c>
      <c r="S16" t="s">
        <v>249</v>
      </c>
      <c r="T16" t="s">
        <v>301</v>
      </c>
      <c r="V16" t="s">
        <v>302</v>
      </c>
      <c r="W16" t="s">
        <v>35</v>
      </c>
      <c r="X16" s="6" t="s">
        <v>303</v>
      </c>
      <c r="Y16" s="6"/>
      <c r="Z16" t="s">
        <v>148</v>
      </c>
      <c r="AA16" t="s">
        <v>149</v>
      </c>
      <c r="AC16" t="s">
        <v>150</v>
      </c>
      <c r="AD16" s="6"/>
      <c r="AF16" s="3">
        <v>41455</v>
      </c>
      <c r="AG16">
        <v>13</v>
      </c>
      <c r="AH16" t="b">
        <v>1</v>
      </c>
      <c r="AI16" t="b">
        <v>0</v>
      </c>
      <c r="AJ16" s="6"/>
      <c r="AK16" s="6"/>
      <c r="AL16" t="b">
        <v>0</v>
      </c>
      <c r="AM16" s="6"/>
      <c r="AN16" s="6"/>
      <c r="AP16" t="b">
        <v>0</v>
      </c>
      <c r="AQ16" s="6"/>
      <c r="AR16" s="6"/>
      <c r="AT16" t="b">
        <v>0</v>
      </c>
      <c r="AU16" s="6"/>
      <c r="AV16" s="6"/>
      <c r="AX16" t="b">
        <v>0</v>
      </c>
      <c r="AY16" s="6"/>
      <c r="AZ16" s="6"/>
      <c r="BA16" t="b">
        <v>0</v>
      </c>
      <c r="BB16" s="6"/>
      <c r="BC16" t="b">
        <v>0</v>
      </c>
      <c r="BD16" s="6"/>
      <c r="BE16" s="6"/>
      <c r="BF16" t="b">
        <v>0</v>
      </c>
      <c r="BG16" s="6"/>
      <c r="BH16" t="b">
        <v>0</v>
      </c>
      <c r="BI16" s="6"/>
      <c r="BJ16" t="b">
        <v>0</v>
      </c>
      <c r="BK16" t="s">
        <v>254</v>
      </c>
      <c r="BL16" t="b">
        <v>1</v>
      </c>
      <c r="BM16" t="b">
        <v>1</v>
      </c>
      <c r="BN16" t="b">
        <v>1</v>
      </c>
      <c r="BO16" t="b">
        <v>0</v>
      </c>
      <c r="BQ16" t="b">
        <v>0</v>
      </c>
      <c r="BR16" s="6"/>
      <c r="BT16" t="b">
        <v>0</v>
      </c>
      <c r="BU16" t="s">
        <v>260</v>
      </c>
      <c r="BV16" t="s">
        <v>170</v>
      </c>
      <c r="BW16" t="s">
        <v>154</v>
      </c>
      <c r="BX16" t="s">
        <v>309</v>
      </c>
      <c r="BY16" s="6" t="s">
        <v>310</v>
      </c>
      <c r="BZ16">
        <v>1</v>
      </c>
      <c r="CA16" t="s">
        <v>157</v>
      </c>
      <c r="CB16" s="7">
        <v>46315.05356481481</v>
      </c>
    </row>
    <row r="17" spans="1:80">
      <c r="A17" s="6" t="s">
        <v>311</v>
      </c>
      <c r="B17" t="s">
        <v>134</v>
      </c>
      <c r="C17" s="6" t="s">
        <v>312</v>
      </c>
      <c r="D17" s="6">
        <v>1</v>
      </c>
      <c r="E17" t="s">
        <v>313</v>
      </c>
      <c r="G17" s="6"/>
      <c r="H17" s="6"/>
      <c r="I17" t="s">
        <v>245</v>
      </c>
      <c r="J17" s="3">
        <v>46153</v>
      </c>
      <c r="K17" t="s">
        <v>246</v>
      </c>
      <c r="L17" t="s">
        <v>139</v>
      </c>
      <c r="N17" t="s">
        <v>314</v>
      </c>
      <c r="O17" t="s">
        <v>163</v>
      </c>
      <c r="P17" t="s">
        <v>163</v>
      </c>
      <c r="Q17" t="s">
        <v>315</v>
      </c>
      <c r="S17" t="s">
        <v>144</v>
      </c>
      <c r="T17" t="s">
        <v>316</v>
      </c>
      <c r="V17" t="s">
        <v>317</v>
      </c>
      <c r="W17" t="s">
        <v>34</v>
      </c>
      <c r="X17" s="6" t="s">
        <v>318</v>
      </c>
      <c r="Y17" s="6"/>
      <c r="Z17" t="s">
        <v>148</v>
      </c>
      <c r="AA17" t="s">
        <v>149</v>
      </c>
      <c r="AC17" t="s">
        <v>150</v>
      </c>
      <c r="AD17" s="6"/>
      <c r="AF17" s="3"/>
      <c r="AH17" t="b">
        <v>0</v>
      </c>
      <c r="AI17" t="b">
        <v>0</v>
      </c>
      <c r="AJ17" s="6"/>
      <c r="AK17" s="6"/>
      <c r="AL17" t="b">
        <v>0</v>
      </c>
      <c r="AM17" s="6"/>
      <c r="AN17" s="6"/>
      <c r="AP17" t="b">
        <v>0</v>
      </c>
      <c r="AQ17" s="6"/>
      <c r="AR17" s="6"/>
      <c r="AT17" t="b">
        <v>0</v>
      </c>
      <c r="AU17" s="6"/>
      <c r="AV17" s="6"/>
      <c r="AX17" t="b">
        <v>0</v>
      </c>
      <c r="AY17" s="6"/>
      <c r="AZ17" s="6"/>
      <c r="BA17" t="b">
        <v>0</v>
      </c>
      <c r="BB17" s="6"/>
      <c r="BC17" t="b">
        <v>0</v>
      </c>
      <c r="BD17" s="6"/>
      <c r="BE17" s="6"/>
      <c r="BF17" t="b">
        <v>0</v>
      </c>
      <c r="BG17" s="6"/>
      <c r="BH17" t="b">
        <v>0</v>
      </c>
      <c r="BI17" s="6"/>
      <c r="BJ17" t="b">
        <v>0</v>
      </c>
      <c r="BK17" t="s">
        <v>254</v>
      </c>
      <c r="BL17" t="b">
        <v>0</v>
      </c>
      <c r="BM17" t="b">
        <v>0</v>
      </c>
      <c r="BN17" t="b">
        <v>0</v>
      </c>
      <c r="BO17" t="b">
        <v>0</v>
      </c>
      <c r="BQ17" t="b">
        <v>0</v>
      </c>
      <c r="BR17" s="6"/>
      <c r="BT17" t="b">
        <v>0</v>
      </c>
      <c r="BU17" t="s">
        <v>319</v>
      </c>
      <c r="BV17" t="s">
        <v>153</v>
      </c>
      <c r="BW17" t="s">
        <v>154</v>
      </c>
      <c r="BX17" t="s">
        <v>320</v>
      </c>
      <c r="BY17" s="6" t="s">
        <v>321</v>
      </c>
      <c r="BZ17">
        <v>1</v>
      </c>
      <c r="CA17" t="s">
        <v>157</v>
      </c>
      <c r="CB17" s="7">
        <v>46315.05356481481</v>
      </c>
    </row>
    <row r="18" spans="1:80">
      <c r="A18" s="6" t="s">
        <v>322</v>
      </c>
      <c r="B18" t="s">
        <v>134</v>
      </c>
      <c r="C18" s="6" t="s">
        <v>312</v>
      </c>
      <c r="D18" s="6">
        <v>1</v>
      </c>
      <c r="E18" t="s">
        <v>313</v>
      </c>
      <c r="G18" s="6"/>
      <c r="H18" s="6" t="s">
        <v>311</v>
      </c>
      <c r="I18" t="s">
        <v>245</v>
      </c>
      <c r="J18" s="3">
        <v>46153</v>
      </c>
      <c r="K18" t="s">
        <v>138</v>
      </c>
      <c r="L18" t="s">
        <v>139</v>
      </c>
      <c r="N18" t="s">
        <v>323</v>
      </c>
      <c r="O18" t="s">
        <v>324</v>
      </c>
      <c r="P18" t="s">
        <v>324</v>
      </c>
      <c r="Q18" t="s">
        <v>315</v>
      </c>
      <c r="S18" t="s">
        <v>144</v>
      </c>
      <c r="T18" t="s">
        <v>316</v>
      </c>
      <c r="V18" t="s">
        <v>317</v>
      </c>
      <c r="W18" t="s">
        <v>34</v>
      </c>
      <c r="X18" s="6" t="s">
        <v>318</v>
      </c>
      <c r="Y18" s="6"/>
      <c r="Z18" t="s">
        <v>148</v>
      </c>
      <c r="AA18" t="s">
        <v>149</v>
      </c>
      <c r="AC18" t="s">
        <v>150</v>
      </c>
      <c r="AD18" s="6"/>
      <c r="AF18" s="3">
        <v>30125</v>
      </c>
      <c r="AG18">
        <v>44</v>
      </c>
      <c r="AH18" t="b">
        <v>0</v>
      </c>
      <c r="AI18" t="b">
        <v>0</v>
      </c>
      <c r="AJ18" s="6"/>
      <c r="AK18" s="6"/>
      <c r="AL18" t="b">
        <v>0</v>
      </c>
      <c r="AM18" s="6"/>
      <c r="AN18" s="6"/>
      <c r="AP18" t="b">
        <v>0</v>
      </c>
      <c r="AQ18" s="6"/>
      <c r="AR18" s="6"/>
      <c r="AT18" t="b">
        <v>0</v>
      </c>
      <c r="AU18" s="6"/>
      <c r="AV18" s="6"/>
      <c r="AX18" t="b">
        <v>0</v>
      </c>
      <c r="AY18" s="6"/>
      <c r="AZ18" s="6"/>
      <c r="BA18" t="b">
        <v>0</v>
      </c>
      <c r="BB18" s="6"/>
      <c r="BC18" t="b">
        <v>0</v>
      </c>
      <c r="BD18" s="6"/>
      <c r="BE18" s="6"/>
      <c r="BF18" t="b">
        <v>0</v>
      </c>
      <c r="BG18" s="6"/>
      <c r="BH18" t="b">
        <v>0</v>
      </c>
      <c r="BI18" s="6"/>
      <c r="BJ18" t="b">
        <v>0</v>
      </c>
      <c r="BK18" t="s">
        <v>254</v>
      </c>
      <c r="BL18" t="b">
        <v>1</v>
      </c>
      <c r="BM18" t="b">
        <v>1</v>
      </c>
      <c r="BN18" t="b">
        <v>1</v>
      </c>
      <c r="BO18" t="b">
        <v>0</v>
      </c>
      <c r="BQ18" t="b">
        <v>0</v>
      </c>
      <c r="BR18" s="6"/>
      <c r="BT18" t="b">
        <v>0</v>
      </c>
      <c r="BU18" t="s">
        <v>325</v>
      </c>
      <c r="BV18" t="s">
        <v>153</v>
      </c>
      <c r="BW18" t="s">
        <v>154</v>
      </c>
      <c r="BX18" t="s">
        <v>326</v>
      </c>
      <c r="BY18" s="6" t="s">
        <v>327</v>
      </c>
      <c r="BZ18">
        <v>1</v>
      </c>
      <c r="CA18" t="s">
        <v>157</v>
      </c>
      <c r="CB18" s="7">
        <v>46315.05356481481</v>
      </c>
    </row>
    <row r="19" spans="1:80">
      <c r="A19" s="6" t="s">
        <v>328</v>
      </c>
      <c r="B19" t="s">
        <v>134</v>
      </c>
      <c r="C19" s="6" t="s">
        <v>329</v>
      </c>
      <c r="D19" s="6">
        <v>1</v>
      </c>
      <c r="E19" t="s">
        <v>330</v>
      </c>
      <c r="G19" s="6"/>
      <c r="H19" s="6"/>
      <c r="I19" t="s">
        <v>245</v>
      </c>
      <c r="J19" s="3">
        <v>46062</v>
      </c>
      <c r="K19" t="s">
        <v>138</v>
      </c>
      <c r="L19" t="s">
        <v>139</v>
      </c>
      <c r="N19" t="s">
        <v>331</v>
      </c>
      <c r="O19" t="s">
        <v>142</v>
      </c>
      <c r="P19" t="s">
        <v>142</v>
      </c>
      <c r="Q19" t="s">
        <v>332</v>
      </c>
      <c r="S19" t="s">
        <v>249</v>
      </c>
      <c r="T19" t="s">
        <v>333</v>
      </c>
      <c r="V19" t="s">
        <v>334</v>
      </c>
      <c r="W19" t="s">
        <v>33</v>
      </c>
      <c r="X19" s="6" t="s">
        <v>335</v>
      </c>
      <c r="Y19" s="6"/>
      <c r="Z19" t="s">
        <v>148</v>
      </c>
      <c r="AA19" t="s">
        <v>149</v>
      </c>
      <c r="AC19" t="s">
        <v>150</v>
      </c>
      <c r="AD19" s="6"/>
      <c r="AF19" s="3">
        <v>31194</v>
      </c>
      <c r="AG19">
        <v>41</v>
      </c>
      <c r="AH19" t="b">
        <v>0</v>
      </c>
      <c r="AI19" t="b">
        <v>0</v>
      </c>
      <c r="AJ19" s="6"/>
      <c r="AK19" s="6"/>
      <c r="AL19" t="b">
        <v>0</v>
      </c>
      <c r="AM19" s="6"/>
      <c r="AN19" s="6"/>
      <c r="AP19" t="b">
        <v>0</v>
      </c>
      <c r="AQ19" s="6"/>
      <c r="AR19" s="6"/>
      <c r="AT19" t="b">
        <v>0</v>
      </c>
      <c r="AU19" s="6"/>
      <c r="AV19" s="6"/>
      <c r="AX19" t="b">
        <v>0</v>
      </c>
      <c r="AY19" s="6"/>
      <c r="AZ19" s="6"/>
      <c r="BA19" t="b">
        <v>0</v>
      </c>
      <c r="BB19" s="6"/>
      <c r="BC19" t="b">
        <v>0</v>
      </c>
      <c r="BD19" s="6"/>
      <c r="BE19" s="6"/>
      <c r="BF19" t="b">
        <v>0</v>
      </c>
      <c r="BG19" s="6"/>
      <c r="BH19" t="b">
        <v>0</v>
      </c>
      <c r="BI19" s="6"/>
      <c r="BJ19" t="b">
        <v>0</v>
      </c>
      <c r="BK19" t="s">
        <v>254</v>
      </c>
      <c r="BL19" t="b">
        <v>1</v>
      </c>
      <c r="BM19" t="b">
        <v>1</v>
      </c>
      <c r="BN19" t="b">
        <v>1</v>
      </c>
      <c r="BO19" t="b">
        <v>0</v>
      </c>
      <c r="BQ19" t="b">
        <v>0</v>
      </c>
      <c r="BR19" s="6"/>
      <c r="BT19" t="b">
        <v>0</v>
      </c>
      <c r="BU19" t="s">
        <v>260</v>
      </c>
      <c r="BV19" t="s">
        <v>170</v>
      </c>
      <c r="BW19" t="s">
        <v>171</v>
      </c>
      <c r="BY19" s="6" t="s">
        <v>336</v>
      </c>
      <c r="BZ19">
        <v>1</v>
      </c>
      <c r="CB19" s="7">
        <v>46315.05356481481</v>
      </c>
    </row>
    <row r="20" spans="1:80">
      <c r="A20" s="6" t="s">
        <v>337</v>
      </c>
      <c r="B20" t="s">
        <v>134</v>
      </c>
      <c r="C20" s="6" t="s">
        <v>338</v>
      </c>
      <c r="D20" s="6">
        <v>1</v>
      </c>
      <c r="E20" t="s">
        <v>339</v>
      </c>
      <c r="G20" s="6"/>
      <c r="H20" s="6"/>
      <c r="I20" t="s">
        <v>245</v>
      </c>
      <c r="J20" s="3">
        <v>46173</v>
      </c>
      <c r="K20" t="s">
        <v>138</v>
      </c>
      <c r="L20" t="s">
        <v>139</v>
      </c>
      <c r="N20" t="s">
        <v>247</v>
      </c>
      <c r="O20" t="s">
        <v>224</v>
      </c>
      <c r="P20" t="s">
        <v>224</v>
      </c>
      <c r="Q20" t="s">
        <v>248</v>
      </c>
      <c r="S20" t="s">
        <v>144</v>
      </c>
      <c r="T20" t="s">
        <v>250</v>
      </c>
      <c r="V20" t="s">
        <v>251</v>
      </c>
      <c r="W20" t="s">
        <v>39</v>
      </c>
      <c r="X20" s="6" t="s">
        <v>252</v>
      </c>
      <c r="Y20" s="6"/>
      <c r="Z20" t="s">
        <v>148</v>
      </c>
      <c r="AA20" t="s">
        <v>149</v>
      </c>
      <c r="AC20" t="s">
        <v>150</v>
      </c>
      <c r="AD20" s="6"/>
      <c r="AF20" s="3">
        <v>32257</v>
      </c>
      <c r="AG20">
        <v>38</v>
      </c>
      <c r="AH20" t="b">
        <v>0</v>
      </c>
      <c r="AI20" t="b">
        <v>0</v>
      </c>
      <c r="AJ20" s="6"/>
      <c r="AK20" s="6"/>
      <c r="AL20" t="b">
        <v>0</v>
      </c>
      <c r="AM20" s="6"/>
      <c r="AN20" s="6"/>
      <c r="AP20" t="b">
        <v>0</v>
      </c>
      <c r="AQ20" s="6"/>
      <c r="AR20" s="6"/>
      <c r="AT20" t="b">
        <v>0</v>
      </c>
      <c r="AU20" s="6"/>
      <c r="AV20" s="6"/>
      <c r="AX20" t="b">
        <v>0</v>
      </c>
      <c r="AY20" s="6"/>
      <c r="AZ20" s="6"/>
      <c r="BA20" t="b">
        <v>0</v>
      </c>
      <c r="BB20" s="6"/>
      <c r="BC20" t="b">
        <v>0</v>
      </c>
      <c r="BD20" s="6"/>
      <c r="BE20" s="6"/>
      <c r="BF20" t="b">
        <v>0</v>
      </c>
      <c r="BG20" s="6"/>
      <c r="BH20" t="b">
        <v>1</v>
      </c>
      <c r="BI20" s="6" t="s">
        <v>253</v>
      </c>
      <c r="BJ20" t="b">
        <v>1</v>
      </c>
      <c r="BK20" t="s">
        <v>254</v>
      </c>
      <c r="BL20" t="b">
        <v>1</v>
      </c>
      <c r="BM20" t="b">
        <v>1</v>
      </c>
      <c r="BN20" t="b">
        <v>1</v>
      </c>
      <c r="BO20" t="b">
        <v>0</v>
      </c>
      <c r="BQ20" t="b">
        <v>0</v>
      </c>
      <c r="BR20" s="6"/>
      <c r="BT20" t="b">
        <v>0</v>
      </c>
      <c r="BU20" t="s">
        <v>260</v>
      </c>
      <c r="BV20" t="s">
        <v>170</v>
      </c>
      <c r="BW20" t="s">
        <v>154</v>
      </c>
      <c r="BX20" t="s">
        <v>340</v>
      </c>
      <c r="BY20" s="6" t="s">
        <v>256</v>
      </c>
      <c r="BZ20">
        <v>1</v>
      </c>
      <c r="CA20" t="s">
        <v>157</v>
      </c>
      <c r="CB20" s="7">
        <v>46315.05356481481</v>
      </c>
    </row>
    <row r="21" spans="1:80">
      <c r="A21" s="6" t="s">
        <v>341</v>
      </c>
      <c r="B21" t="s">
        <v>134</v>
      </c>
      <c r="C21" s="6" t="s">
        <v>342</v>
      </c>
      <c r="D21" s="6">
        <v>1</v>
      </c>
      <c r="E21" t="s">
        <v>343</v>
      </c>
      <c r="G21" s="6"/>
      <c r="H21" s="6"/>
      <c r="I21" t="s">
        <v>344</v>
      </c>
      <c r="J21" s="3">
        <v>46222</v>
      </c>
      <c r="K21" t="s">
        <v>345</v>
      </c>
      <c r="L21" t="s">
        <v>139</v>
      </c>
      <c r="N21" t="s">
        <v>331</v>
      </c>
      <c r="O21" t="s">
        <v>142</v>
      </c>
      <c r="P21" t="s">
        <v>142</v>
      </c>
      <c r="Q21" t="s">
        <v>332</v>
      </c>
      <c r="S21" t="s">
        <v>249</v>
      </c>
      <c r="T21" t="s">
        <v>333</v>
      </c>
      <c r="V21" t="s">
        <v>334</v>
      </c>
      <c r="W21" t="s">
        <v>33</v>
      </c>
      <c r="X21" s="6" t="s">
        <v>335</v>
      </c>
      <c r="Y21" s="6"/>
      <c r="Z21" t="s">
        <v>148</v>
      </c>
      <c r="AA21" t="s">
        <v>149</v>
      </c>
      <c r="AC21" t="s">
        <v>150</v>
      </c>
      <c r="AD21" s="6" t="s">
        <v>346</v>
      </c>
      <c r="AE21" t="s">
        <v>347</v>
      </c>
      <c r="AF21" s="3">
        <v>31194</v>
      </c>
      <c r="AG21">
        <v>41</v>
      </c>
      <c r="AH21" t="b">
        <v>0</v>
      </c>
      <c r="AI21" t="b">
        <v>1</v>
      </c>
      <c r="AJ21" s="6" t="s">
        <v>348</v>
      </c>
      <c r="AK21" s="6" t="s">
        <v>171</v>
      </c>
      <c r="AL21" t="b">
        <v>1</v>
      </c>
      <c r="AM21" s="6" t="s">
        <v>349</v>
      </c>
      <c r="AN21" s="6" t="s">
        <v>350</v>
      </c>
      <c r="AO21" t="s">
        <v>33</v>
      </c>
      <c r="AP21" t="b">
        <v>0</v>
      </c>
      <c r="AQ21" s="6"/>
      <c r="AR21" s="6"/>
      <c r="AT21" t="b">
        <v>0</v>
      </c>
      <c r="AU21" s="6"/>
      <c r="AV21" s="6"/>
      <c r="AX21" t="b">
        <v>0</v>
      </c>
      <c r="AY21" s="6"/>
      <c r="AZ21" s="6"/>
      <c r="BA21" t="b">
        <v>0</v>
      </c>
      <c r="BB21" s="6"/>
      <c r="BC21" t="b">
        <v>0</v>
      </c>
      <c r="BD21" s="6"/>
      <c r="BE21" s="6"/>
      <c r="BF21" t="b">
        <v>0</v>
      </c>
      <c r="BG21" s="6"/>
      <c r="BH21" t="b">
        <v>0</v>
      </c>
      <c r="BI21" s="6"/>
      <c r="BJ21" t="b">
        <v>0</v>
      </c>
      <c r="BL21" t="b">
        <v>0</v>
      </c>
      <c r="BM21" t="b">
        <v>0</v>
      </c>
      <c r="BN21" t="b">
        <v>0</v>
      </c>
      <c r="BO21" t="b">
        <v>0</v>
      </c>
      <c r="BP21" t="s">
        <v>351</v>
      </c>
      <c r="BQ21" t="b">
        <v>0</v>
      </c>
      <c r="BR21" s="6"/>
      <c r="BT21" t="b">
        <v>0</v>
      </c>
      <c r="BU21" t="s">
        <v>352</v>
      </c>
      <c r="BV21" t="s">
        <v>170</v>
      </c>
      <c r="BW21" t="s">
        <v>154</v>
      </c>
      <c r="BX21" t="s">
        <v>350</v>
      </c>
      <c r="BY21" s="6" t="s">
        <v>336</v>
      </c>
      <c r="BZ21">
        <v>1</v>
      </c>
      <c r="CA21" t="s">
        <v>157</v>
      </c>
      <c r="CB21" s="7">
        <v>46315.05356481481</v>
      </c>
    </row>
    <row r="22" spans="1:80">
      <c r="A22" s="6" t="s">
        <v>353</v>
      </c>
      <c r="B22" t="s">
        <v>134</v>
      </c>
      <c r="C22" s="6" t="s">
        <v>354</v>
      </c>
      <c r="D22" s="6">
        <v>1</v>
      </c>
      <c r="E22" t="s">
        <v>355</v>
      </c>
      <c r="G22" s="6"/>
      <c r="H22" s="6"/>
      <c r="I22" t="s">
        <v>344</v>
      </c>
      <c r="J22" s="3">
        <v>42818</v>
      </c>
      <c r="K22" t="s">
        <v>345</v>
      </c>
      <c r="L22" t="s">
        <v>139</v>
      </c>
      <c r="N22" t="s">
        <v>356</v>
      </c>
      <c r="Q22" t="s">
        <v>357</v>
      </c>
      <c r="S22" t="s">
        <v>249</v>
      </c>
      <c r="T22" t="s">
        <v>358</v>
      </c>
      <c r="V22" t="s">
        <v>359</v>
      </c>
      <c r="W22" t="s">
        <v>33</v>
      </c>
      <c r="X22" s="6" t="s">
        <v>360</v>
      </c>
      <c r="Y22" s="6"/>
      <c r="Z22" t="s">
        <v>148</v>
      </c>
      <c r="AA22" t="s">
        <v>205</v>
      </c>
      <c r="AC22" t="s">
        <v>150</v>
      </c>
      <c r="AD22" s="6" t="s">
        <v>361</v>
      </c>
      <c r="AF22" s="3">
        <v>19920</v>
      </c>
      <c r="AG22">
        <v>72</v>
      </c>
      <c r="AH22" t="b">
        <v>0</v>
      </c>
      <c r="AI22" t="b">
        <v>1</v>
      </c>
      <c r="AJ22" s="6" t="s">
        <v>362</v>
      </c>
      <c r="AK22" s="6" t="s">
        <v>171</v>
      </c>
      <c r="AL22" t="b">
        <v>1</v>
      </c>
      <c r="AM22" s="6" t="s">
        <v>363</v>
      </c>
      <c r="AN22" s="6" t="s">
        <v>364</v>
      </c>
      <c r="AP22" t="b">
        <v>0</v>
      </c>
      <c r="AQ22" s="6"/>
      <c r="AR22" s="6"/>
      <c r="AT22" t="b">
        <v>0</v>
      </c>
      <c r="AU22" s="6"/>
      <c r="AV22" s="6"/>
      <c r="AX22" t="b">
        <v>0</v>
      </c>
      <c r="AY22" s="6"/>
      <c r="AZ22" s="6"/>
      <c r="BA22" t="b">
        <v>0</v>
      </c>
      <c r="BB22" s="6"/>
      <c r="BC22" t="b">
        <v>0</v>
      </c>
      <c r="BD22" s="6"/>
      <c r="BE22" s="6"/>
      <c r="BF22" t="b">
        <v>0</v>
      </c>
      <c r="BG22" s="6"/>
      <c r="BH22" t="b">
        <v>0</v>
      </c>
      <c r="BI22" s="6"/>
      <c r="BJ22" t="b">
        <v>0</v>
      </c>
      <c r="BL22" t="b">
        <v>0</v>
      </c>
      <c r="BM22" t="b">
        <v>0</v>
      </c>
      <c r="BN22" t="b">
        <v>0</v>
      </c>
      <c r="BO22" t="b">
        <v>0</v>
      </c>
      <c r="BP22" t="s">
        <v>351</v>
      </c>
      <c r="BQ22" t="b">
        <v>0</v>
      </c>
      <c r="BR22" s="6"/>
      <c r="BT22" t="b">
        <v>0</v>
      </c>
      <c r="BU22" t="s">
        <v>365</v>
      </c>
      <c r="BV22" t="s">
        <v>170</v>
      </c>
      <c r="BW22" t="s">
        <v>289</v>
      </c>
      <c r="BX22" t="s">
        <v>366</v>
      </c>
      <c r="BY22" s="6" t="s">
        <v>367</v>
      </c>
      <c r="BZ22">
        <v>1</v>
      </c>
      <c r="CA22" t="s">
        <v>157</v>
      </c>
      <c r="CB22" s="7">
        <v>46315.05356481481</v>
      </c>
    </row>
    <row r="23" spans="1:80">
      <c r="A23" s="6" t="s">
        <v>368</v>
      </c>
      <c r="B23" t="s">
        <v>134</v>
      </c>
      <c r="C23" s="6" t="s">
        <v>369</v>
      </c>
      <c r="D23" s="6">
        <v>1</v>
      </c>
      <c r="E23" t="s">
        <v>370</v>
      </c>
      <c r="G23" s="6"/>
      <c r="H23" s="6"/>
      <c r="I23" t="s">
        <v>344</v>
      </c>
      <c r="J23" s="3">
        <v>42664</v>
      </c>
      <c r="K23" t="s">
        <v>345</v>
      </c>
      <c r="L23" t="s">
        <v>139</v>
      </c>
      <c r="N23" t="s">
        <v>371</v>
      </c>
      <c r="Q23" t="s">
        <v>372</v>
      </c>
      <c r="S23" t="s">
        <v>249</v>
      </c>
      <c r="T23" t="s">
        <v>373</v>
      </c>
      <c r="U23" t="s">
        <v>374</v>
      </c>
      <c r="V23" t="s">
        <v>375</v>
      </c>
      <c r="W23" t="s">
        <v>33</v>
      </c>
      <c r="X23" s="6" t="s">
        <v>376</v>
      </c>
      <c r="Y23" s="6"/>
      <c r="Z23" t="s">
        <v>148</v>
      </c>
      <c r="AA23" t="s">
        <v>149</v>
      </c>
      <c r="AC23" t="s">
        <v>150</v>
      </c>
      <c r="AD23" s="6" t="s">
        <v>377</v>
      </c>
      <c r="AE23" t="s">
        <v>378</v>
      </c>
      <c r="AF23" s="3">
        <v>23557</v>
      </c>
      <c r="AG23">
        <v>62</v>
      </c>
      <c r="AH23" t="b">
        <v>0</v>
      </c>
      <c r="AI23" t="b">
        <v>1</v>
      </c>
      <c r="AJ23" s="6" t="s">
        <v>379</v>
      </c>
      <c r="AK23" s="6" t="s">
        <v>171</v>
      </c>
      <c r="AL23" t="b">
        <v>1</v>
      </c>
      <c r="AM23" s="6" t="s">
        <v>380</v>
      </c>
      <c r="AN23" s="6" t="s">
        <v>171</v>
      </c>
      <c r="AO23" t="s">
        <v>33</v>
      </c>
      <c r="AP23" t="b">
        <v>0</v>
      </c>
      <c r="AQ23" s="6"/>
      <c r="AR23" s="6"/>
      <c r="AT23" t="b">
        <v>0</v>
      </c>
      <c r="AU23" s="6"/>
      <c r="AV23" s="6"/>
      <c r="AX23" t="b">
        <v>0</v>
      </c>
      <c r="AY23" s="6"/>
      <c r="AZ23" s="6"/>
      <c r="BA23" t="b">
        <v>0</v>
      </c>
      <c r="BB23" s="6"/>
      <c r="BC23" t="b">
        <v>0</v>
      </c>
      <c r="BD23" s="6"/>
      <c r="BE23" s="6"/>
      <c r="BF23" t="b">
        <v>0</v>
      </c>
      <c r="BG23" s="6"/>
      <c r="BH23" t="b">
        <v>0</v>
      </c>
      <c r="BI23" s="6"/>
      <c r="BJ23" t="b">
        <v>0</v>
      </c>
      <c r="BL23" t="b">
        <v>0</v>
      </c>
      <c r="BM23" t="b">
        <v>0</v>
      </c>
      <c r="BN23" t="b">
        <v>0</v>
      </c>
      <c r="BO23" t="b">
        <v>0</v>
      </c>
      <c r="BP23" t="s">
        <v>351</v>
      </c>
      <c r="BQ23" t="b">
        <v>0</v>
      </c>
      <c r="BR23" s="6"/>
      <c r="BT23" t="b">
        <v>0</v>
      </c>
      <c r="BU23" t="s">
        <v>352</v>
      </c>
      <c r="BV23" t="s">
        <v>170</v>
      </c>
      <c r="BW23" t="s">
        <v>171</v>
      </c>
      <c r="BX23" t="s">
        <v>381</v>
      </c>
      <c r="BY23" s="6" t="s">
        <v>382</v>
      </c>
      <c r="BZ23">
        <v>1</v>
      </c>
      <c r="CB23" s="7">
        <v>46315.05356481481</v>
      </c>
    </row>
    <row r="24" spans="1:80">
      <c r="A24" s="6" t="s">
        <v>383</v>
      </c>
      <c r="B24" t="s">
        <v>134</v>
      </c>
      <c r="C24" s="6" t="s">
        <v>384</v>
      </c>
      <c r="D24" s="6">
        <v>1</v>
      </c>
      <c r="E24" t="s">
        <v>385</v>
      </c>
      <c r="G24" s="6"/>
      <c r="H24" s="6"/>
      <c r="I24" t="s">
        <v>344</v>
      </c>
      <c r="J24" s="3">
        <v>43799</v>
      </c>
      <c r="K24" t="s">
        <v>345</v>
      </c>
      <c r="L24" t="s">
        <v>139</v>
      </c>
      <c r="N24" t="s">
        <v>177</v>
      </c>
      <c r="Q24" t="s">
        <v>179</v>
      </c>
      <c r="S24" t="s">
        <v>249</v>
      </c>
      <c r="T24" t="s">
        <v>180</v>
      </c>
      <c r="V24" t="s">
        <v>181</v>
      </c>
      <c r="W24" t="s">
        <v>40</v>
      </c>
      <c r="X24" s="6" t="s">
        <v>182</v>
      </c>
      <c r="Y24" s="6"/>
      <c r="Z24" t="s">
        <v>148</v>
      </c>
      <c r="AA24" t="s">
        <v>149</v>
      </c>
      <c r="AC24" t="s">
        <v>150</v>
      </c>
      <c r="AD24" s="6" t="s">
        <v>386</v>
      </c>
      <c r="AF24" s="3">
        <v>31930</v>
      </c>
      <c r="AG24">
        <v>39</v>
      </c>
      <c r="AH24" t="b">
        <v>0</v>
      </c>
      <c r="AI24" t="b">
        <v>1</v>
      </c>
      <c r="AJ24" s="6" t="s">
        <v>387</v>
      </c>
      <c r="AK24" s="6" t="s">
        <v>171</v>
      </c>
      <c r="AL24" t="b">
        <v>1</v>
      </c>
      <c r="AM24" s="6" t="s">
        <v>388</v>
      </c>
      <c r="AN24" s="6" t="s">
        <v>171</v>
      </c>
      <c r="AO24" t="s">
        <v>40</v>
      </c>
      <c r="AP24" t="b">
        <v>0</v>
      </c>
      <c r="AQ24" s="6"/>
      <c r="AR24" s="6"/>
      <c r="AT24" t="b">
        <v>0</v>
      </c>
      <c r="AU24" s="6"/>
      <c r="AV24" s="6"/>
      <c r="AX24" t="b">
        <v>0</v>
      </c>
      <c r="AY24" s="6"/>
      <c r="AZ24" s="6"/>
      <c r="BA24" t="b">
        <v>0</v>
      </c>
      <c r="BB24" s="6"/>
      <c r="BC24" t="b">
        <v>0</v>
      </c>
      <c r="BD24" s="6"/>
      <c r="BE24" s="6"/>
      <c r="BF24" t="b">
        <v>0</v>
      </c>
      <c r="BG24" s="6"/>
      <c r="BH24" t="b">
        <v>0</v>
      </c>
      <c r="BI24" s="6"/>
      <c r="BJ24" t="b">
        <v>0</v>
      </c>
      <c r="BL24" t="b">
        <v>0</v>
      </c>
      <c r="BM24" t="b">
        <v>0</v>
      </c>
      <c r="BN24" t="b">
        <v>0</v>
      </c>
      <c r="BO24" t="b">
        <v>0</v>
      </c>
      <c r="BQ24" t="b">
        <v>0</v>
      </c>
      <c r="BR24" s="6"/>
      <c r="BT24" t="b">
        <v>0</v>
      </c>
      <c r="BU24" t="s">
        <v>389</v>
      </c>
      <c r="BV24" t="s">
        <v>153</v>
      </c>
      <c r="BW24" t="s">
        <v>171</v>
      </c>
      <c r="BY24" s="6" t="s">
        <v>184</v>
      </c>
      <c r="BZ24">
        <v>1</v>
      </c>
      <c r="CB24" s="7">
        <v>46315.05356481481</v>
      </c>
    </row>
    <row r="25" spans="1:80">
      <c r="A25" s="6" t="s">
        <v>390</v>
      </c>
      <c r="B25" t="s">
        <v>134</v>
      </c>
      <c r="C25" s="6" t="s">
        <v>391</v>
      </c>
      <c r="D25" s="6">
        <v>1</v>
      </c>
      <c r="E25" t="s">
        <v>392</v>
      </c>
      <c r="G25" s="6"/>
      <c r="H25" s="6"/>
      <c r="I25" t="s">
        <v>344</v>
      </c>
      <c r="J25" s="3">
        <v>42353</v>
      </c>
      <c r="K25" t="s">
        <v>345</v>
      </c>
      <c r="L25" t="s">
        <v>139</v>
      </c>
      <c r="N25" t="s">
        <v>393</v>
      </c>
      <c r="O25" t="s">
        <v>299</v>
      </c>
      <c r="P25" t="s">
        <v>299</v>
      </c>
      <c r="Q25" t="s">
        <v>394</v>
      </c>
      <c r="S25" t="s">
        <v>249</v>
      </c>
      <c r="T25" t="s">
        <v>395</v>
      </c>
      <c r="V25" t="s">
        <v>396</v>
      </c>
      <c r="W25" t="s">
        <v>38</v>
      </c>
      <c r="X25" s="6" t="s">
        <v>397</v>
      </c>
      <c r="Y25" s="6"/>
      <c r="Z25" t="s">
        <v>148</v>
      </c>
      <c r="AA25" t="s">
        <v>149</v>
      </c>
      <c r="AC25" t="s">
        <v>150</v>
      </c>
      <c r="AD25" s="6" t="s">
        <v>398</v>
      </c>
      <c r="AE25" t="s">
        <v>399</v>
      </c>
      <c r="AF25" s="3">
        <v>30192</v>
      </c>
      <c r="AG25">
        <v>44</v>
      </c>
      <c r="AH25" t="b">
        <v>0</v>
      </c>
      <c r="AI25" t="b">
        <v>1</v>
      </c>
      <c r="AJ25" s="6" t="s">
        <v>400</v>
      </c>
      <c r="AK25" s="6" t="s">
        <v>171</v>
      </c>
      <c r="AL25" t="b">
        <v>0</v>
      </c>
      <c r="AM25" s="6"/>
      <c r="AN25" s="6"/>
      <c r="AP25" t="b">
        <v>0</v>
      </c>
      <c r="AQ25" s="6"/>
      <c r="AR25" s="6"/>
      <c r="AT25" t="b">
        <v>1</v>
      </c>
      <c r="AU25" s="6" t="s">
        <v>401</v>
      </c>
      <c r="AV25" s="6" t="s">
        <v>171</v>
      </c>
      <c r="AW25" t="s">
        <v>148</v>
      </c>
      <c r="AX25" t="b">
        <v>0</v>
      </c>
      <c r="AY25" s="6"/>
      <c r="AZ25" s="6"/>
      <c r="BA25" t="b">
        <v>0</v>
      </c>
      <c r="BB25" s="6"/>
      <c r="BC25" t="b">
        <v>0</v>
      </c>
      <c r="BD25" s="6"/>
      <c r="BE25" s="6"/>
      <c r="BF25" t="b">
        <v>0</v>
      </c>
      <c r="BG25" s="6"/>
      <c r="BH25" t="b">
        <v>0</v>
      </c>
      <c r="BI25" s="6"/>
      <c r="BJ25" t="b">
        <v>0</v>
      </c>
      <c r="BL25" t="b">
        <v>0</v>
      </c>
      <c r="BM25" t="b">
        <v>0</v>
      </c>
      <c r="BN25" t="b">
        <v>0</v>
      </c>
      <c r="BO25" t="b">
        <v>0</v>
      </c>
      <c r="BP25" t="s">
        <v>351</v>
      </c>
      <c r="BQ25" t="b">
        <v>0</v>
      </c>
      <c r="BR25" s="6"/>
      <c r="BT25" t="b">
        <v>0</v>
      </c>
      <c r="BU25" t="s">
        <v>402</v>
      </c>
      <c r="BV25" t="s">
        <v>170</v>
      </c>
      <c r="BW25" t="s">
        <v>171</v>
      </c>
      <c r="BY25" s="6" t="s">
        <v>403</v>
      </c>
      <c r="BZ25">
        <v>1</v>
      </c>
      <c r="CB25" s="7">
        <v>46315.05356481481</v>
      </c>
    </row>
    <row r="26" spans="1:80">
      <c r="A26" s="6" t="s">
        <v>404</v>
      </c>
      <c r="B26" t="s">
        <v>134</v>
      </c>
      <c r="C26" s="6" t="s">
        <v>405</v>
      </c>
      <c r="D26" s="6">
        <v>1</v>
      </c>
      <c r="E26" t="s">
        <v>406</v>
      </c>
      <c r="G26" s="6"/>
      <c r="H26" s="6"/>
      <c r="I26" t="s">
        <v>344</v>
      </c>
      <c r="J26" s="3">
        <v>43314</v>
      </c>
      <c r="K26" t="s">
        <v>345</v>
      </c>
      <c r="L26" t="s">
        <v>139</v>
      </c>
      <c r="N26" t="s">
        <v>407</v>
      </c>
      <c r="Q26" t="s">
        <v>408</v>
      </c>
      <c r="S26" t="s">
        <v>249</v>
      </c>
      <c r="T26" t="s">
        <v>409</v>
      </c>
      <c r="V26" t="s">
        <v>410</v>
      </c>
      <c r="W26" t="s">
        <v>39</v>
      </c>
      <c r="X26" s="6" t="s">
        <v>411</v>
      </c>
      <c r="Y26" s="6"/>
      <c r="Z26" t="s">
        <v>148</v>
      </c>
      <c r="AA26" t="s">
        <v>149</v>
      </c>
      <c r="AC26" t="s">
        <v>150</v>
      </c>
      <c r="AD26" s="6" t="s">
        <v>412</v>
      </c>
      <c r="AF26" s="3">
        <v>20473</v>
      </c>
      <c r="AG26">
        <v>70</v>
      </c>
      <c r="AH26" t="b">
        <v>0</v>
      </c>
      <c r="AI26" t="b">
        <v>1</v>
      </c>
      <c r="AJ26" s="6" t="s">
        <v>413</v>
      </c>
      <c r="AK26" s="6" t="s">
        <v>171</v>
      </c>
      <c r="AL26" t="b">
        <v>1</v>
      </c>
      <c r="AM26" s="6" t="s">
        <v>414</v>
      </c>
      <c r="AN26" s="6" t="s">
        <v>171</v>
      </c>
      <c r="AO26" t="s">
        <v>39</v>
      </c>
      <c r="AP26" t="b">
        <v>0</v>
      </c>
      <c r="AQ26" s="6"/>
      <c r="AR26" s="6"/>
      <c r="AT26" t="b">
        <v>0</v>
      </c>
      <c r="AU26" s="6"/>
      <c r="AV26" s="6"/>
      <c r="AX26" t="b">
        <v>0</v>
      </c>
      <c r="AY26" s="6"/>
      <c r="AZ26" s="6"/>
      <c r="BA26" t="b">
        <v>0</v>
      </c>
      <c r="BB26" s="6"/>
      <c r="BC26" t="b">
        <v>0</v>
      </c>
      <c r="BD26" s="6"/>
      <c r="BE26" s="6"/>
      <c r="BF26" t="b">
        <v>0</v>
      </c>
      <c r="BG26" s="6"/>
      <c r="BH26" t="b">
        <v>0</v>
      </c>
      <c r="BI26" s="6"/>
      <c r="BJ26" t="b">
        <v>0</v>
      </c>
      <c r="BL26" t="b">
        <v>0</v>
      </c>
      <c r="BM26" t="b">
        <v>0</v>
      </c>
      <c r="BN26" t="b">
        <v>0</v>
      </c>
      <c r="BO26" t="b">
        <v>0</v>
      </c>
      <c r="BP26" t="s">
        <v>351</v>
      </c>
      <c r="BQ26" t="b">
        <v>0</v>
      </c>
      <c r="BR26" s="6"/>
      <c r="BT26" t="b">
        <v>0</v>
      </c>
      <c r="BU26" t="s">
        <v>415</v>
      </c>
      <c r="BV26" t="s">
        <v>170</v>
      </c>
      <c r="BW26" t="s">
        <v>171</v>
      </c>
      <c r="BY26" s="6" t="s">
        <v>416</v>
      </c>
      <c r="BZ26">
        <v>1</v>
      </c>
      <c r="CB26" s="7">
        <v>46315.05356481481</v>
      </c>
    </row>
    <row r="27" spans="1:80">
      <c r="A27" s="6" t="s">
        <v>417</v>
      </c>
      <c r="B27" t="s">
        <v>134</v>
      </c>
      <c r="C27" s="6" t="s">
        <v>418</v>
      </c>
      <c r="D27" s="6">
        <v>1</v>
      </c>
      <c r="E27" t="s">
        <v>419</v>
      </c>
      <c r="G27" s="6"/>
      <c r="H27" s="6"/>
      <c r="I27" t="s">
        <v>420</v>
      </c>
      <c r="J27" s="3">
        <v>45657</v>
      </c>
      <c r="K27" t="s">
        <v>421</v>
      </c>
      <c r="L27" t="s">
        <v>139</v>
      </c>
      <c r="N27" t="s">
        <v>422</v>
      </c>
      <c r="O27" t="s">
        <v>163</v>
      </c>
      <c r="P27" t="s">
        <v>163</v>
      </c>
      <c r="Q27" t="s">
        <v>423</v>
      </c>
      <c r="S27" t="s">
        <v>144</v>
      </c>
      <c r="T27" t="s">
        <v>424</v>
      </c>
      <c r="V27" t="s">
        <v>425</v>
      </c>
      <c r="W27" t="s">
        <v>40</v>
      </c>
      <c r="X27" s="6" t="s">
        <v>426</v>
      </c>
      <c r="Y27" s="6"/>
      <c r="Z27" t="s">
        <v>148</v>
      </c>
      <c r="AA27" t="s">
        <v>149</v>
      </c>
      <c r="AC27" t="s">
        <v>150</v>
      </c>
      <c r="AD27" s="6"/>
      <c r="AF27" s="3"/>
      <c r="AH27" t="b">
        <v>0</v>
      </c>
      <c r="AI27" t="b">
        <v>1</v>
      </c>
      <c r="AJ27" s="6" t="s">
        <v>427</v>
      </c>
      <c r="AK27" s="6" t="s">
        <v>171</v>
      </c>
      <c r="AL27" t="b">
        <v>0</v>
      </c>
      <c r="AM27" s="6"/>
      <c r="AN27" s="6"/>
      <c r="AP27" t="b">
        <v>0</v>
      </c>
      <c r="AQ27" s="6"/>
      <c r="AR27" s="6"/>
      <c r="AT27" t="b">
        <v>0</v>
      </c>
      <c r="AU27" s="6"/>
      <c r="AV27" s="6"/>
      <c r="AX27" t="b">
        <v>0</v>
      </c>
      <c r="AY27" s="6"/>
      <c r="AZ27" s="6"/>
      <c r="BA27" t="b">
        <v>0</v>
      </c>
      <c r="BB27" s="6"/>
      <c r="BC27" t="b">
        <v>0</v>
      </c>
      <c r="BD27" s="6"/>
      <c r="BE27" s="6"/>
      <c r="BF27" t="b">
        <v>0</v>
      </c>
      <c r="BG27" s="6"/>
      <c r="BH27" t="b">
        <v>0</v>
      </c>
      <c r="BI27" s="6"/>
      <c r="BJ27" t="b">
        <v>0</v>
      </c>
      <c r="BL27" t="b">
        <v>0</v>
      </c>
      <c r="BM27" t="b">
        <v>0</v>
      </c>
      <c r="BN27" t="b">
        <v>0</v>
      </c>
      <c r="BO27" t="b">
        <v>0</v>
      </c>
      <c r="BP27" t="s">
        <v>351</v>
      </c>
      <c r="BQ27" t="b">
        <v>0</v>
      </c>
      <c r="BR27" s="6"/>
      <c r="BT27" t="b">
        <v>0</v>
      </c>
      <c r="BU27" t="s">
        <v>428</v>
      </c>
      <c r="BV27" t="s">
        <v>170</v>
      </c>
      <c r="BW27" t="s">
        <v>171</v>
      </c>
      <c r="BY27" s="6" t="s">
        <v>429</v>
      </c>
      <c r="BZ27">
        <v>1</v>
      </c>
      <c r="CB27" s="7">
        <v>46315.05356481481</v>
      </c>
    </row>
    <row r="28" spans="1:80">
      <c r="A28" s="6" t="s">
        <v>430</v>
      </c>
      <c r="B28" t="s">
        <v>134</v>
      </c>
      <c r="C28" s="6" t="s">
        <v>431</v>
      </c>
      <c r="D28" s="6">
        <v>1</v>
      </c>
      <c r="E28" t="s">
        <v>432</v>
      </c>
      <c r="G28" s="6"/>
      <c r="H28" s="6"/>
      <c r="I28" t="s">
        <v>420</v>
      </c>
      <c r="J28" s="3">
        <v>46022</v>
      </c>
      <c r="K28" t="s">
        <v>421</v>
      </c>
      <c r="L28" t="s">
        <v>139</v>
      </c>
      <c r="N28" t="s">
        <v>433</v>
      </c>
      <c r="O28" t="s">
        <v>434</v>
      </c>
      <c r="P28" t="s">
        <v>434</v>
      </c>
      <c r="Q28" t="s">
        <v>435</v>
      </c>
      <c r="S28" t="s">
        <v>249</v>
      </c>
      <c r="T28" t="s">
        <v>436</v>
      </c>
      <c r="V28" t="s">
        <v>437</v>
      </c>
      <c r="W28" t="s">
        <v>40</v>
      </c>
      <c r="X28" s="6" t="s">
        <v>438</v>
      </c>
      <c r="Y28" s="6"/>
      <c r="Z28" t="s">
        <v>148</v>
      </c>
      <c r="AA28" t="s">
        <v>149</v>
      </c>
      <c r="AC28" t="s">
        <v>150</v>
      </c>
      <c r="AD28" s="6"/>
      <c r="AF28" s="3"/>
      <c r="AH28" t="b">
        <v>0</v>
      </c>
      <c r="AI28" t="b">
        <v>1</v>
      </c>
      <c r="AJ28" s="6" t="s">
        <v>439</v>
      </c>
      <c r="AK28" s="6" t="s">
        <v>171</v>
      </c>
      <c r="AL28" t="b">
        <v>0</v>
      </c>
      <c r="AM28" s="6"/>
      <c r="AN28" s="6"/>
      <c r="AP28" t="b">
        <v>0</v>
      </c>
      <c r="AQ28" s="6"/>
      <c r="AR28" s="6"/>
      <c r="AT28" t="b">
        <v>0</v>
      </c>
      <c r="AU28" s="6"/>
      <c r="AV28" s="6"/>
      <c r="AX28" t="b">
        <v>0</v>
      </c>
      <c r="AY28" s="6"/>
      <c r="AZ28" s="6"/>
      <c r="BA28" t="b">
        <v>0</v>
      </c>
      <c r="BB28" s="6"/>
      <c r="BC28" t="b">
        <v>0</v>
      </c>
      <c r="BD28" s="6"/>
      <c r="BE28" s="6"/>
      <c r="BF28" t="b">
        <v>0</v>
      </c>
      <c r="BG28" s="6"/>
      <c r="BH28" t="b">
        <v>0</v>
      </c>
      <c r="BI28" s="6"/>
      <c r="BJ28" t="b">
        <v>0</v>
      </c>
      <c r="BL28" t="b">
        <v>0</v>
      </c>
      <c r="BM28" t="b">
        <v>0</v>
      </c>
      <c r="BN28" t="b">
        <v>0</v>
      </c>
      <c r="BO28" t="b">
        <v>0</v>
      </c>
      <c r="BP28" t="s">
        <v>351</v>
      </c>
      <c r="BQ28" t="b">
        <v>0</v>
      </c>
      <c r="BR28" s="6"/>
      <c r="BT28" t="b">
        <v>0</v>
      </c>
      <c r="BU28" t="s">
        <v>428</v>
      </c>
      <c r="BV28" t="s">
        <v>170</v>
      </c>
      <c r="BW28" t="s">
        <v>154</v>
      </c>
      <c r="BX28" t="s">
        <v>44</v>
      </c>
      <c r="BY28" s="6" t="s">
        <v>440</v>
      </c>
      <c r="BZ28">
        <v>1</v>
      </c>
      <c r="CA28" t="s">
        <v>157</v>
      </c>
      <c r="CB28" s="7">
        <v>46315.05356481481</v>
      </c>
    </row>
    <row r="29" spans="1:80">
      <c r="A29" s="6" t="s">
        <v>441</v>
      </c>
      <c r="B29" t="s">
        <v>134</v>
      </c>
      <c r="C29" s="6" t="s">
        <v>442</v>
      </c>
      <c r="D29" s="6">
        <v>1</v>
      </c>
      <c r="E29" t="s">
        <v>443</v>
      </c>
      <c r="G29" s="6"/>
      <c r="H29" s="6"/>
      <c r="I29" t="s">
        <v>420</v>
      </c>
      <c r="J29" s="3">
        <v>46022</v>
      </c>
      <c r="K29" t="s">
        <v>421</v>
      </c>
      <c r="L29" t="s">
        <v>139</v>
      </c>
      <c r="N29" t="s">
        <v>444</v>
      </c>
      <c r="Q29" t="s">
        <v>445</v>
      </c>
      <c r="R29" t="s">
        <v>446</v>
      </c>
      <c r="S29" t="s">
        <v>144</v>
      </c>
      <c r="T29" t="s">
        <v>447</v>
      </c>
      <c r="V29" t="s">
        <v>203</v>
      </c>
      <c r="W29" t="s">
        <v>34</v>
      </c>
      <c r="X29" s="6" t="s">
        <v>448</v>
      </c>
      <c r="Y29" s="6"/>
      <c r="Z29" t="s">
        <v>148</v>
      </c>
      <c r="AA29" t="s">
        <v>149</v>
      </c>
      <c r="AC29" t="s">
        <v>150</v>
      </c>
      <c r="AD29" s="6"/>
      <c r="AF29" s="3"/>
      <c r="AH29" t="b">
        <v>0</v>
      </c>
      <c r="AI29" t="b">
        <v>1</v>
      </c>
      <c r="AJ29" s="6" t="s">
        <v>449</v>
      </c>
      <c r="AK29" s="6" t="s">
        <v>171</v>
      </c>
      <c r="AL29" t="b">
        <v>0</v>
      </c>
      <c r="AM29" s="6"/>
      <c r="AN29" s="6"/>
      <c r="AP29" t="b">
        <v>0</v>
      </c>
      <c r="AQ29" s="6"/>
      <c r="AR29" s="6"/>
      <c r="AT29" t="b">
        <v>0</v>
      </c>
      <c r="AU29" s="6"/>
      <c r="AV29" s="6"/>
      <c r="AX29" t="b">
        <v>0</v>
      </c>
      <c r="AY29" s="6"/>
      <c r="AZ29" s="6"/>
      <c r="BA29" t="b">
        <v>0</v>
      </c>
      <c r="BB29" s="6"/>
      <c r="BC29" t="b">
        <v>0</v>
      </c>
      <c r="BD29" s="6"/>
      <c r="BE29" s="6"/>
      <c r="BF29" t="b">
        <v>0</v>
      </c>
      <c r="BG29" s="6"/>
      <c r="BH29" t="b">
        <v>0</v>
      </c>
      <c r="BI29" s="6"/>
      <c r="BJ29" t="b">
        <v>0</v>
      </c>
      <c r="BL29" t="b">
        <v>0</v>
      </c>
      <c r="BM29" t="b">
        <v>0</v>
      </c>
      <c r="BN29" t="b">
        <v>0</v>
      </c>
      <c r="BO29" t="b">
        <v>0</v>
      </c>
      <c r="BP29" t="s">
        <v>351</v>
      </c>
      <c r="BQ29" t="b">
        <v>0</v>
      </c>
      <c r="BR29" s="6"/>
      <c r="BT29" t="b">
        <v>0</v>
      </c>
      <c r="BU29" t="s">
        <v>450</v>
      </c>
      <c r="BV29" t="s">
        <v>153</v>
      </c>
      <c r="BW29" t="s">
        <v>171</v>
      </c>
      <c r="BY29" s="6" t="s">
        <v>451</v>
      </c>
      <c r="BZ29">
        <v>1</v>
      </c>
      <c r="CB29" s="7">
        <v>46315.05356481481</v>
      </c>
    </row>
    <row r="30" spans="1:80">
      <c r="A30" s="6" t="s">
        <v>452</v>
      </c>
      <c r="B30" t="s">
        <v>134</v>
      </c>
      <c r="C30" s="6" t="s">
        <v>453</v>
      </c>
      <c r="D30" s="6">
        <v>1</v>
      </c>
      <c r="E30" t="s">
        <v>454</v>
      </c>
      <c r="G30" s="6"/>
      <c r="H30" s="6"/>
      <c r="I30" t="s">
        <v>420</v>
      </c>
      <c r="J30" s="3">
        <v>46022</v>
      </c>
      <c r="K30" t="s">
        <v>421</v>
      </c>
      <c r="L30" t="s">
        <v>139</v>
      </c>
      <c r="N30" t="s">
        <v>177</v>
      </c>
      <c r="O30" t="s">
        <v>178</v>
      </c>
      <c r="P30" t="s">
        <v>178</v>
      </c>
      <c r="Q30" t="s">
        <v>179</v>
      </c>
      <c r="S30" t="s">
        <v>249</v>
      </c>
      <c r="T30" t="s">
        <v>180</v>
      </c>
      <c r="V30" t="s">
        <v>181</v>
      </c>
      <c r="W30" t="s">
        <v>40</v>
      </c>
      <c r="X30" s="6" t="s">
        <v>182</v>
      </c>
      <c r="Y30" s="6"/>
      <c r="Z30" t="s">
        <v>148</v>
      </c>
      <c r="AA30" t="s">
        <v>149</v>
      </c>
      <c r="AC30" t="s">
        <v>150</v>
      </c>
      <c r="AD30" s="6"/>
      <c r="AF30" s="3"/>
      <c r="AH30" t="b">
        <v>0</v>
      </c>
      <c r="AI30" t="b">
        <v>1</v>
      </c>
      <c r="AJ30" s="6" t="s">
        <v>387</v>
      </c>
      <c r="AK30" s="6" t="s">
        <v>171</v>
      </c>
      <c r="AL30" t="b">
        <v>0</v>
      </c>
      <c r="AM30" s="6"/>
      <c r="AN30" s="6"/>
      <c r="AP30" t="b">
        <v>0</v>
      </c>
      <c r="AQ30" s="6"/>
      <c r="AR30" s="6"/>
      <c r="AT30" t="b">
        <v>0</v>
      </c>
      <c r="AU30" s="6"/>
      <c r="AV30" s="6"/>
      <c r="AX30" t="b">
        <v>0</v>
      </c>
      <c r="AY30" s="6"/>
      <c r="AZ30" s="6"/>
      <c r="BA30" t="b">
        <v>0</v>
      </c>
      <c r="BB30" s="6"/>
      <c r="BC30" t="b">
        <v>0</v>
      </c>
      <c r="BD30" s="6"/>
      <c r="BE30" s="6"/>
      <c r="BF30" t="b">
        <v>0</v>
      </c>
      <c r="BG30" s="6"/>
      <c r="BH30" t="b">
        <v>0</v>
      </c>
      <c r="BI30" s="6"/>
      <c r="BJ30" t="b">
        <v>0</v>
      </c>
      <c r="BL30" t="b">
        <v>0</v>
      </c>
      <c r="BM30" t="b">
        <v>0</v>
      </c>
      <c r="BN30" t="b">
        <v>0</v>
      </c>
      <c r="BO30" t="b">
        <v>0</v>
      </c>
      <c r="BP30" t="s">
        <v>351</v>
      </c>
      <c r="BQ30" t="b">
        <v>0</v>
      </c>
      <c r="BR30" s="6"/>
      <c r="BT30" t="b">
        <v>0</v>
      </c>
      <c r="BU30" t="s">
        <v>428</v>
      </c>
      <c r="BV30" t="s">
        <v>170</v>
      </c>
      <c r="BW30" t="s">
        <v>171</v>
      </c>
      <c r="BY30" s="6" t="s">
        <v>184</v>
      </c>
      <c r="BZ30">
        <v>1</v>
      </c>
      <c r="CB30" s="7">
        <v>46315.05356481481</v>
      </c>
    </row>
    <row r="31" spans="1:80">
      <c r="A31" s="6" t="s">
        <v>455</v>
      </c>
      <c r="B31" t="s">
        <v>134</v>
      </c>
      <c r="C31" s="6" t="s">
        <v>456</v>
      </c>
      <c r="D31" s="6">
        <v>1</v>
      </c>
      <c r="E31" t="s">
        <v>457</v>
      </c>
      <c r="G31" s="6"/>
      <c r="H31" s="6"/>
      <c r="I31" t="s">
        <v>420</v>
      </c>
      <c r="J31" s="3">
        <v>46022</v>
      </c>
      <c r="K31" t="s">
        <v>421</v>
      </c>
      <c r="L31" t="s">
        <v>139</v>
      </c>
      <c r="N31" t="s">
        <v>458</v>
      </c>
      <c r="O31" t="s">
        <v>163</v>
      </c>
      <c r="P31" t="s">
        <v>163</v>
      </c>
      <c r="Q31" t="s">
        <v>459</v>
      </c>
      <c r="S31" t="s">
        <v>144</v>
      </c>
      <c r="T31" t="s">
        <v>460</v>
      </c>
      <c r="V31" t="s">
        <v>461</v>
      </c>
      <c r="W31" t="s">
        <v>37</v>
      </c>
      <c r="X31" s="6" t="s">
        <v>462</v>
      </c>
      <c r="Y31" s="6"/>
      <c r="Z31" t="s">
        <v>148</v>
      </c>
      <c r="AA31" t="s">
        <v>149</v>
      </c>
      <c r="AC31" t="s">
        <v>150</v>
      </c>
      <c r="AD31" s="6"/>
      <c r="AF31" s="3"/>
      <c r="AH31" t="b">
        <v>0</v>
      </c>
      <c r="AI31" t="b">
        <v>1</v>
      </c>
      <c r="AJ31" s="6" t="s">
        <v>463</v>
      </c>
      <c r="AK31" s="6" t="s">
        <v>171</v>
      </c>
      <c r="AL31" t="b">
        <v>0</v>
      </c>
      <c r="AM31" s="6"/>
      <c r="AN31" s="6"/>
      <c r="AP31" t="b">
        <v>0</v>
      </c>
      <c r="AQ31" s="6"/>
      <c r="AR31" s="6"/>
      <c r="AT31" t="b">
        <v>0</v>
      </c>
      <c r="AU31" s="6"/>
      <c r="AV31" s="6"/>
      <c r="AX31" t="b">
        <v>0</v>
      </c>
      <c r="AY31" s="6"/>
      <c r="AZ31" s="6"/>
      <c r="BA31" t="b">
        <v>0</v>
      </c>
      <c r="BB31" s="6"/>
      <c r="BC31" t="b">
        <v>0</v>
      </c>
      <c r="BD31" s="6"/>
      <c r="BE31" s="6"/>
      <c r="BF31" t="b">
        <v>0</v>
      </c>
      <c r="BG31" s="6"/>
      <c r="BH31" t="b">
        <v>0</v>
      </c>
      <c r="BI31" s="6"/>
      <c r="BJ31" t="b">
        <v>0</v>
      </c>
      <c r="BL31" t="b">
        <v>0</v>
      </c>
      <c r="BM31" t="b">
        <v>0</v>
      </c>
      <c r="BN31" t="b">
        <v>0</v>
      </c>
      <c r="BO31" t="b">
        <v>0</v>
      </c>
      <c r="BP31" t="s">
        <v>351</v>
      </c>
      <c r="BQ31" t="b">
        <v>0</v>
      </c>
      <c r="BR31" s="6"/>
      <c r="BT31" t="b">
        <v>0</v>
      </c>
      <c r="BU31" t="s">
        <v>428</v>
      </c>
      <c r="BV31" t="s">
        <v>170</v>
      </c>
      <c r="BW31" t="s">
        <v>171</v>
      </c>
      <c r="BY31" s="6" t="s">
        <v>464</v>
      </c>
      <c r="BZ31">
        <v>1</v>
      </c>
      <c r="CB31" s="7">
        <v>46315.05356481481</v>
      </c>
    </row>
    <row r="32" spans="1:80">
      <c r="A32" s="6" t="s">
        <v>465</v>
      </c>
      <c r="B32" t="s">
        <v>134</v>
      </c>
      <c r="C32" s="6" t="s">
        <v>466</v>
      </c>
      <c r="D32" s="6">
        <v>1</v>
      </c>
      <c r="E32" t="s">
        <v>467</v>
      </c>
      <c r="G32" s="6"/>
      <c r="H32" s="6"/>
      <c r="I32" t="s">
        <v>420</v>
      </c>
      <c r="J32" s="3">
        <v>46022</v>
      </c>
      <c r="K32" t="s">
        <v>421</v>
      </c>
      <c r="L32" t="s">
        <v>139</v>
      </c>
      <c r="N32" t="s">
        <v>468</v>
      </c>
      <c r="O32" t="s">
        <v>163</v>
      </c>
      <c r="P32" t="s">
        <v>163</v>
      </c>
      <c r="Q32" t="s">
        <v>469</v>
      </c>
      <c r="S32" t="s">
        <v>249</v>
      </c>
      <c r="T32" t="s">
        <v>470</v>
      </c>
      <c r="V32" t="s">
        <v>471</v>
      </c>
      <c r="W32" t="s">
        <v>38</v>
      </c>
      <c r="X32" s="6" t="s">
        <v>472</v>
      </c>
      <c r="Y32" s="6"/>
      <c r="Z32" t="s">
        <v>148</v>
      </c>
      <c r="AA32" t="s">
        <v>149</v>
      </c>
      <c r="AC32" t="s">
        <v>150</v>
      </c>
      <c r="AD32" s="6"/>
      <c r="AF32" s="3"/>
      <c r="AH32" t="b">
        <v>0</v>
      </c>
      <c r="AI32" t="b">
        <v>1</v>
      </c>
      <c r="AJ32" s="6" t="s">
        <v>473</v>
      </c>
      <c r="AK32" s="6" t="s">
        <v>171</v>
      </c>
      <c r="AL32" t="b">
        <v>0</v>
      </c>
      <c r="AM32" s="6"/>
      <c r="AN32" s="6"/>
      <c r="AP32" t="b">
        <v>0</v>
      </c>
      <c r="AQ32" s="6"/>
      <c r="AR32" s="6"/>
      <c r="AT32" t="b">
        <v>0</v>
      </c>
      <c r="AU32" s="6"/>
      <c r="AV32" s="6"/>
      <c r="AX32" t="b">
        <v>0</v>
      </c>
      <c r="AY32" s="6"/>
      <c r="AZ32" s="6"/>
      <c r="BA32" t="b">
        <v>0</v>
      </c>
      <c r="BB32" s="6"/>
      <c r="BC32" t="b">
        <v>0</v>
      </c>
      <c r="BD32" s="6"/>
      <c r="BE32" s="6"/>
      <c r="BF32" t="b">
        <v>0</v>
      </c>
      <c r="BG32" s="6"/>
      <c r="BH32" t="b">
        <v>0</v>
      </c>
      <c r="BI32" s="6"/>
      <c r="BJ32" t="b">
        <v>0</v>
      </c>
      <c r="BL32" t="b">
        <v>0</v>
      </c>
      <c r="BM32" t="b">
        <v>0</v>
      </c>
      <c r="BN32" t="b">
        <v>0</v>
      </c>
      <c r="BO32" t="b">
        <v>0</v>
      </c>
      <c r="BP32" t="s">
        <v>351</v>
      </c>
      <c r="BQ32" t="b">
        <v>0</v>
      </c>
      <c r="BR32" s="6"/>
      <c r="BT32" t="b">
        <v>0</v>
      </c>
      <c r="BU32" t="s">
        <v>474</v>
      </c>
      <c r="BV32" t="s">
        <v>153</v>
      </c>
      <c r="BW32" t="s">
        <v>171</v>
      </c>
      <c r="BY32" s="6" t="s">
        <v>475</v>
      </c>
      <c r="BZ32">
        <v>1</v>
      </c>
      <c r="CB32" s="7">
        <v>46315.05356481481</v>
      </c>
    </row>
    <row r="33" spans="1:80">
      <c r="A33" s="6" t="s">
        <v>476</v>
      </c>
      <c r="B33" t="s">
        <v>134</v>
      </c>
      <c r="C33" s="6" t="s">
        <v>477</v>
      </c>
      <c r="D33" s="6">
        <v>1</v>
      </c>
      <c r="E33" t="s">
        <v>478</v>
      </c>
      <c r="G33" s="6"/>
      <c r="H33" s="6"/>
      <c r="I33" t="s">
        <v>420</v>
      </c>
      <c r="J33" s="3">
        <v>46022</v>
      </c>
      <c r="K33" t="s">
        <v>421</v>
      </c>
      <c r="L33" t="s">
        <v>139</v>
      </c>
      <c r="N33" t="s">
        <v>479</v>
      </c>
      <c r="Q33" t="s">
        <v>423</v>
      </c>
      <c r="S33" t="s">
        <v>144</v>
      </c>
      <c r="T33" t="s">
        <v>480</v>
      </c>
      <c r="V33" t="s">
        <v>481</v>
      </c>
      <c r="W33" t="s">
        <v>39</v>
      </c>
      <c r="X33" s="6" t="s">
        <v>482</v>
      </c>
      <c r="Y33" s="6"/>
      <c r="Z33" t="s">
        <v>148</v>
      </c>
      <c r="AA33" t="s">
        <v>149</v>
      </c>
      <c r="AC33" t="s">
        <v>150</v>
      </c>
      <c r="AD33" s="6"/>
      <c r="AF33" s="3"/>
      <c r="AH33" t="b">
        <v>0</v>
      </c>
      <c r="AI33" t="b">
        <v>1</v>
      </c>
      <c r="AJ33" s="6" t="s">
        <v>483</v>
      </c>
      <c r="AK33" s="6" t="s">
        <v>171</v>
      </c>
      <c r="AL33" t="b">
        <v>0</v>
      </c>
      <c r="AM33" s="6"/>
      <c r="AN33" s="6"/>
      <c r="AP33" t="b">
        <v>0</v>
      </c>
      <c r="AQ33" s="6"/>
      <c r="AR33" s="6"/>
      <c r="AT33" t="b">
        <v>0</v>
      </c>
      <c r="AU33" s="6"/>
      <c r="AV33" s="6"/>
      <c r="AX33" t="b">
        <v>0</v>
      </c>
      <c r="AY33" s="6"/>
      <c r="AZ33" s="6"/>
      <c r="BA33" t="b">
        <v>0</v>
      </c>
      <c r="BB33" s="6"/>
      <c r="BC33" t="b">
        <v>0</v>
      </c>
      <c r="BD33" s="6"/>
      <c r="BE33" s="6"/>
      <c r="BF33" t="b">
        <v>0</v>
      </c>
      <c r="BG33" s="6"/>
      <c r="BH33" t="b">
        <v>0</v>
      </c>
      <c r="BI33" s="6"/>
      <c r="BJ33" t="b">
        <v>0</v>
      </c>
      <c r="BL33" t="b">
        <v>0</v>
      </c>
      <c r="BM33" t="b">
        <v>0</v>
      </c>
      <c r="BN33" t="b">
        <v>0</v>
      </c>
      <c r="BO33" t="b">
        <v>0</v>
      </c>
      <c r="BP33" t="s">
        <v>351</v>
      </c>
      <c r="BQ33" t="b">
        <v>0</v>
      </c>
      <c r="BR33" s="6"/>
      <c r="BT33" t="b">
        <v>0</v>
      </c>
      <c r="BU33" t="s">
        <v>484</v>
      </c>
      <c r="BV33" t="s">
        <v>153</v>
      </c>
      <c r="BW33" t="s">
        <v>171</v>
      </c>
      <c r="BY33" s="6" t="s">
        <v>485</v>
      </c>
      <c r="BZ33">
        <v>1</v>
      </c>
      <c r="CB33" s="7">
        <v>46315.05356481481</v>
      </c>
    </row>
    <row r="34" spans="1:80">
      <c r="A34" s="6" t="s">
        <v>486</v>
      </c>
      <c r="B34" t="s">
        <v>134</v>
      </c>
      <c r="C34" s="6" t="s">
        <v>487</v>
      </c>
      <c r="D34" s="6">
        <v>1</v>
      </c>
      <c r="E34" t="s">
        <v>488</v>
      </c>
      <c r="G34" s="6"/>
      <c r="H34" s="6"/>
      <c r="I34" t="s">
        <v>420</v>
      </c>
      <c r="J34" s="3">
        <v>46022</v>
      </c>
      <c r="K34" t="s">
        <v>421</v>
      </c>
      <c r="L34" t="s">
        <v>139</v>
      </c>
      <c r="N34" t="s">
        <v>356</v>
      </c>
      <c r="Q34" t="s">
        <v>357</v>
      </c>
      <c r="S34" t="s">
        <v>249</v>
      </c>
      <c r="T34" t="s">
        <v>358</v>
      </c>
      <c r="V34" t="s">
        <v>359</v>
      </c>
      <c r="W34" t="s">
        <v>33</v>
      </c>
      <c r="X34" s="6" t="s">
        <v>360</v>
      </c>
      <c r="Y34" s="6"/>
      <c r="Z34" t="s">
        <v>148</v>
      </c>
      <c r="AA34" t="s">
        <v>205</v>
      </c>
      <c r="AC34" t="s">
        <v>150</v>
      </c>
      <c r="AD34" s="6"/>
      <c r="AF34" s="3"/>
      <c r="AH34" t="b">
        <v>0</v>
      </c>
      <c r="AI34" t="b">
        <v>1</v>
      </c>
      <c r="AJ34" s="6" t="s">
        <v>362</v>
      </c>
      <c r="AK34" s="6" t="s">
        <v>171</v>
      </c>
      <c r="AL34" t="b">
        <v>0</v>
      </c>
      <c r="AM34" s="6"/>
      <c r="AN34" s="6"/>
      <c r="AP34" t="b">
        <v>0</v>
      </c>
      <c r="AQ34" s="6"/>
      <c r="AR34" s="6"/>
      <c r="AT34" t="b">
        <v>0</v>
      </c>
      <c r="AU34" s="6"/>
      <c r="AV34" s="6"/>
      <c r="AX34" t="b">
        <v>0</v>
      </c>
      <c r="AY34" s="6"/>
      <c r="AZ34" s="6"/>
      <c r="BA34" t="b">
        <v>0</v>
      </c>
      <c r="BB34" s="6"/>
      <c r="BC34" t="b">
        <v>0</v>
      </c>
      <c r="BD34" s="6"/>
      <c r="BE34" s="6"/>
      <c r="BF34" t="b">
        <v>0</v>
      </c>
      <c r="BG34" s="6"/>
      <c r="BH34" t="b">
        <v>0</v>
      </c>
      <c r="BI34" s="6"/>
      <c r="BJ34" t="b">
        <v>0</v>
      </c>
      <c r="BL34" t="b">
        <v>0</v>
      </c>
      <c r="BM34" t="b">
        <v>0</v>
      </c>
      <c r="BN34" t="b">
        <v>0</v>
      </c>
      <c r="BO34" t="b">
        <v>0</v>
      </c>
      <c r="BP34" t="s">
        <v>351</v>
      </c>
      <c r="BQ34" t="b">
        <v>0</v>
      </c>
      <c r="BR34" s="6"/>
      <c r="BT34" t="b">
        <v>0</v>
      </c>
      <c r="BU34" t="s">
        <v>489</v>
      </c>
      <c r="BV34" t="s">
        <v>153</v>
      </c>
      <c r="BW34" t="s">
        <v>154</v>
      </c>
      <c r="BX34" t="s">
        <v>43</v>
      </c>
      <c r="BY34" s="6" t="s">
        <v>367</v>
      </c>
      <c r="BZ34">
        <v>1</v>
      </c>
      <c r="CA34" t="s">
        <v>157</v>
      </c>
      <c r="CB34" s="7">
        <v>46315.05356481481</v>
      </c>
    </row>
    <row r="35" spans="1:80">
      <c r="A35" s="6" t="s">
        <v>490</v>
      </c>
      <c r="B35" t="s">
        <v>491</v>
      </c>
      <c r="C35" s="6" t="s">
        <v>492</v>
      </c>
      <c r="D35" s="6"/>
      <c r="E35" t="s">
        <v>493</v>
      </c>
      <c r="F35" t="s">
        <v>494</v>
      </c>
      <c r="G35" s="6">
        <v>2</v>
      </c>
      <c r="H35" s="6"/>
      <c r="I35" t="s">
        <v>491</v>
      </c>
      <c r="J35" s="3">
        <v>46265</v>
      </c>
      <c r="K35" t="s">
        <v>495</v>
      </c>
      <c r="L35" t="s">
        <v>139</v>
      </c>
      <c r="N35" t="s">
        <v>496</v>
      </c>
      <c r="Q35" t="s">
        <v>497</v>
      </c>
      <c r="S35" t="s">
        <v>144</v>
      </c>
      <c r="T35" t="s">
        <v>498</v>
      </c>
      <c r="V35" t="s">
        <v>499</v>
      </c>
      <c r="W35" t="s">
        <v>35</v>
      </c>
      <c r="X35" s="6" t="s">
        <v>500</v>
      </c>
      <c r="Y35" s="6"/>
      <c r="Z35" t="s">
        <v>148</v>
      </c>
      <c r="AA35" t="s">
        <v>149</v>
      </c>
      <c r="AC35" t="s">
        <v>150</v>
      </c>
      <c r="AD35" s="6"/>
      <c r="AF35" s="3">
        <v>25641</v>
      </c>
      <c r="AG35">
        <v>56</v>
      </c>
      <c r="AH35" t="b">
        <v>0</v>
      </c>
      <c r="AI35" t="b">
        <v>1</v>
      </c>
      <c r="AJ35" s="6" t="s">
        <v>501</v>
      </c>
      <c r="AK35" s="6" t="s">
        <v>171</v>
      </c>
      <c r="AL35" t="b">
        <v>0</v>
      </c>
      <c r="AM35" s="6"/>
      <c r="AN35" s="6"/>
      <c r="AP35" t="b">
        <v>0</v>
      </c>
      <c r="AQ35" s="6"/>
      <c r="AR35" s="6"/>
      <c r="AT35" t="b">
        <v>0</v>
      </c>
      <c r="AU35" s="6"/>
      <c r="AV35" s="6"/>
      <c r="AX35" t="b">
        <v>0</v>
      </c>
      <c r="AY35" s="6"/>
      <c r="AZ35" s="6"/>
      <c r="BA35" t="b">
        <v>0</v>
      </c>
      <c r="BB35" s="6"/>
      <c r="BC35" t="b">
        <v>0</v>
      </c>
      <c r="BD35" s="6"/>
      <c r="BE35" s="6"/>
      <c r="BF35" t="b">
        <v>0</v>
      </c>
      <c r="BG35" s="6"/>
      <c r="BH35" t="b">
        <v>1</v>
      </c>
      <c r="BI35" s="6" t="s">
        <v>502</v>
      </c>
      <c r="BJ35" t="b">
        <v>1</v>
      </c>
      <c r="BL35" t="b">
        <v>0</v>
      </c>
      <c r="BM35" t="b">
        <v>0</v>
      </c>
      <c r="BN35" t="b">
        <v>0</v>
      </c>
      <c r="BO35" t="b">
        <v>1</v>
      </c>
      <c r="BQ35" t="b">
        <v>0</v>
      </c>
      <c r="BR35" s="6"/>
      <c r="BT35" t="b">
        <v>0</v>
      </c>
      <c r="BU35" t="s">
        <v>503</v>
      </c>
      <c r="BV35" t="s">
        <v>504</v>
      </c>
      <c r="BW35" t="s">
        <v>154</v>
      </c>
      <c r="BX35" t="s">
        <v>47</v>
      </c>
      <c r="BY35" s="6" t="s">
        <v>505</v>
      </c>
      <c r="BZ35">
        <v>1</v>
      </c>
      <c r="CA35" t="s">
        <v>157</v>
      </c>
      <c r="CB35" s="7">
        <v>46315.0537962963</v>
      </c>
    </row>
    <row r="36" spans="1:80">
      <c r="A36" s="6" t="s">
        <v>506</v>
      </c>
      <c r="B36" t="s">
        <v>491</v>
      </c>
      <c r="C36" s="6" t="s">
        <v>492</v>
      </c>
      <c r="D36" s="6"/>
      <c r="E36" t="s">
        <v>493</v>
      </c>
      <c r="F36" t="s">
        <v>494</v>
      </c>
      <c r="G36" s="6">
        <v>3</v>
      </c>
      <c r="H36" s="6"/>
      <c r="I36" t="s">
        <v>491</v>
      </c>
      <c r="J36" s="3">
        <v>46265</v>
      </c>
      <c r="K36" t="s">
        <v>495</v>
      </c>
      <c r="L36" t="s">
        <v>139</v>
      </c>
      <c r="N36" t="s">
        <v>507</v>
      </c>
      <c r="Q36" t="s">
        <v>508</v>
      </c>
      <c r="S36" t="s">
        <v>144</v>
      </c>
      <c r="T36" t="s">
        <v>509</v>
      </c>
      <c r="V36" t="s">
        <v>510</v>
      </c>
      <c r="W36" t="s">
        <v>37</v>
      </c>
      <c r="X36" s="6" t="s">
        <v>511</v>
      </c>
      <c r="Y36" s="6"/>
      <c r="Z36" t="s">
        <v>148</v>
      </c>
      <c r="AA36" t="s">
        <v>149</v>
      </c>
      <c r="AC36" t="s">
        <v>150</v>
      </c>
      <c r="AD36" s="6"/>
      <c r="AF36" s="3">
        <v>37605</v>
      </c>
      <c r="AG36">
        <v>23</v>
      </c>
      <c r="AH36" t="b">
        <v>0</v>
      </c>
      <c r="AI36" t="b">
        <v>1</v>
      </c>
      <c r="AJ36" s="6" t="s">
        <v>512</v>
      </c>
      <c r="AK36" s="6" t="s">
        <v>171</v>
      </c>
      <c r="AL36" t="b">
        <v>0</v>
      </c>
      <c r="AM36" s="6"/>
      <c r="AN36" s="6"/>
      <c r="AP36" t="b">
        <v>0</v>
      </c>
      <c r="AQ36" s="6"/>
      <c r="AR36" s="6"/>
      <c r="AT36" t="b">
        <v>0</v>
      </c>
      <c r="AU36" s="6"/>
      <c r="AV36" s="6"/>
      <c r="AX36" t="b">
        <v>0</v>
      </c>
      <c r="AY36" s="6"/>
      <c r="AZ36" s="6"/>
      <c r="BA36" t="b">
        <v>0</v>
      </c>
      <c r="BB36" s="6"/>
      <c r="BC36" t="b">
        <v>0</v>
      </c>
      <c r="BD36" s="6"/>
      <c r="BE36" s="6"/>
      <c r="BF36" t="b">
        <v>0</v>
      </c>
      <c r="BG36" s="6"/>
      <c r="BH36" t="b">
        <v>1</v>
      </c>
      <c r="BI36" s="6" t="s">
        <v>513</v>
      </c>
      <c r="BJ36" t="b">
        <v>1</v>
      </c>
      <c r="BL36" t="b">
        <v>0</v>
      </c>
      <c r="BM36" t="b">
        <v>0</v>
      </c>
      <c r="BN36" t="b">
        <v>0</v>
      </c>
      <c r="BO36" t="b">
        <v>1</v>
      </c>
      <c r="BQ36" t="b">
        <v>0</v>
      </c>
      <c r="BR36" s="6"/>
      <c r="BT36" t="b">
        <v>0</v>
      </c>
      <c r="BU36" t="s">
        <v>503</v>
      </c>
      <c r="BV36" t="s">
        <v>504</v>
      </c>
      <c r="BW36" t="s">
        <v>154</v>
      </c>
      <c r="BX36" t="s">
        <v>44</v>
      </c>
      <c r="BY36" s="6" t="s">
        <v>514</v>
      </c>
      <c r="BZ36">
        <v>1</v>
      </c>
      <c r="CA36" t="s">
        <v>157</v>
      </c>
      <c r="CB36" s="7">
        <v>46315.0537962963</v>
      </c>
    </row>
    <row r="37" spans="1:80">
      <c r="A37" s="6" t="s">
        <v>515</v>
      </c>
      <c r="B37" t="s">
        <v>491</v>
      </c>
      <c r="C37" s="6" t="s">
        <v>492</v>
      </c>
      <c r="D37" s="6"/>
      <c r="E37" t="s">
        <v>493</v>
      </c>
      <c r="F37" t="s">
        <v>494</v>
      </c>
      <c r="G37" s="6">
        <v>3</v>
      </c>
      <c r="H37" s="6" t="s">
        <v>506</v>
      </c>
      <c r="I37" t="s">
        <v>491</v>
      </c>
      <c r="J37" s="3">
        <v>46265</v>
      </c>
      <c r="K37" t="s">
        <v>516</v>
      </c>
      <c r="L37" t="s">
        <v>139</v>
      </c>
      <c r="N37" t="s">
        <v>517</v>
      </c>
      <c r="Q37" t="s">
        <v>508</v>
      </c>
      <c r="X37" s="6"/>
      <c r="Y37" s="6"/>
      <c r="Z37" t="s">
        <v>148</v>
      </c>
      <c r="AD37" s="6"/>
      <c r="AF37" s="3">
        <v>40612</v>
      </c>
      <c r="AG37">
        <v>15</v>
      </c>
      <c r="AH37" t="b">
        <v>1</v>
      </c>
      <c r="AI37" t="b">
        <v>0</v>
      </c>
      <c r="AJ37" s="6"/>
      <c r="AK37" s="6"/>
      <c r="AL37" t="b">
        <v>0</v>
      </c>
      <c r="AM37" s="6"/>
      <c r="AN37" s="6"/>
      <c r="AP37" t="b">
        <v>0</v>
      </c>
      <c r="AQ37" s="6"/>
      <c r="AR37" s="6"/>
      <c r="AT37" t="b">
        <v>0</v>
      </c>
      <c r="AU37" s="6"/>
      <c r="AV37" s="6"/>
      <c r="AX37" t="b">
        <v>0</v>
      </c>
      <c r="AY37" s="6"/>
      <c r="AZ37" s="6"/>
      <c r="BA37" t="b">
        <v>0</v>
      </c>
      <c r="BB37" s="6"/>
      <c r="BC37" t="b">
        <v>0</v>
      </c>
      <c r="BD37" s="6"/>
      <c r="BE37" s="6"/>
      <c r="BF37" t="b">
        <v>0</v>
      </c>
      <c r="BG37" s="6"/>
      <c r="BH37" t="b">
        <v>0</v>
      </c>
      <c r="BI37" s="6"/>
      <c r="BJ37" t="b">
        <v>0</v>
      </c>
      <c r="BL37" t="b">
        <v>0</v>
      </c>
      <c r="BM37" t="b">
        <v>0</v>
      </c>
      <c r="BN37" t="b">
        <v>0</v>
      </c>
      <c r="BO37" t="b">
        <v>0</v>
      </c>
      <c r="BQ37" t="b">
        <v>0</v>
      </c>
      <c r="BR37" s="6"/>
      <c r="BT37" t="b">
        <v>0</v>
      </c>
      <c r="BV37" t="s">
        <v>504</v>
      </c>
      <c r="BW37" t="s">
        <v>154</v>
      </c>
      <c r="BX37" t="s">
        <v>261</v>
      </c>
      <c r="BY37" s="6" t="s">
        <v>518</v>
      </c>
      <c r="BZ37">
        <v>1</v>
      </c>
      <c r="CA37" t="s">
        <v>157</v>
      </c>
      <c r="CB37" s="7">
        <v>46315.0537962963</v>
      </c>
    </row>
    <row r="38" spans="1:80">
      <c r="A38" s="6" t="s">
        <v>519</v>
      </c>
      <c r="B38" t="s">
        <v>491</v>
      </c>
      <c r="C38" s="6" t="s">
        <v>492</v>
      </c>
      <c r="D38" s="6"/>
      <c r="E38" t="s">
        <v>493</v>
      </c>
      <c r="F38" t="s">
        <v>494</v>
      </c>
      <c r="G38" s="6">
        <v>3</v>
      </c>
      <c r="H38" s="6" t="s">
        <v>506</v>
      </c>
      <c r="I38" t="s">
        <v>491</v>
      </c>
      <c r="J38" s="3">
        <v>46265</v>
      </c>
      <c r="K38" t="s">
        <v>516</v>
      </c>
      <c r="L38" t="s">
        <v>139</v>
      </c>
      <c r="N38" t="s">
        <v>520</v>
      </c>
      <c r="Q38" t="s">
        <v>508</v>
      </c>
      <c r="X38" s="6"/>
      <c r="Y38" s="6"/>
      <c r="Z38" t="s">
        <v>148</v>
      </c>
      <c r="AD38" s="6"/>
      <c r="AF38" s="3">
        <v>41814</v>
      </c>
      <c r="AG38">
        <v>12</v>
      </c>
      <c r="AH38" t="b">
        <v>1</v>
      </c>
      <c r="AI38" t="b">
        <v>0</v>
      </c>
      <c r="AJ38" s="6"/>
      <c r="AK38" s="6"/>
      <c r="AL38" t="b">
        <v>0</v>
      </c>
      <c r="AM38" s="6"/>
      <c r="AN38" s="6"/>
      <c r="AP38" t="b">
        <v>0</v>
      </c>
      <c r="AQ38" s="6"/>
      <c r="AR38" s="6"/>
      <c r="AT38" t="b">
        <v>0</v>
      </c>
      <c r="AU38" s="6"/>
      <c r="AV38" s="6"/>
      <c r="AX38" t="b">
        <v>0</v>
      </c>
      <c r="AY38" s="6"/>
      <c r="AZ38" s="6"/>
      <c r="BA38" t="b">
        <v>0</v>
      </c>
      <c r="BB38" s="6"/>
      <c r="BC38" t="b">
        <v>0</v>
      </c>
      <c r="BD38" s="6"/>
      <c r="BE38" s="6"/>
      <c r="BF38" t="b">
        <v>0</v>
      </c>
      <c r="BG38" s="6"/>
      <c r="BH38" t="b">
        <v>0</v>
      </c>
      <c r="BI38" s="6"/>
      <c r="BJ38" t="b">
        <v>0</v>
      </c>
      <c r="BL38" t="b">
        <v>0</v>
      </c>
      <c r="BM38" t="b">
        <v>0</v>
      </c>
      <c r="BN38" t="b">
        <v>0</v>
      </c>
      <c r="BO38" t="b">
        <v>0</v>
      </c>
      <c r="BQ38" t="b">
        <v>0</v>
      </c>
      <c r="BR38" s="6"/>
      <c r="BT38" t="b">
        <v>0</v>
      </c>
      <c r="BV38" t="s">
        <v>504</v>
      </c>
      <c r="BW38" t="s">
        <v>171</v>
      </c>
      <c r="BX38" t="s">
        <v>46</v>
      </c>
      <c r="BY38" s="6" t="s">
        <v>521</v>
      </c>
      <c r="BZ38">
        <v>1</v>
      </c>
      <c r="CB38" s="7">
        <v>46315.0537962963</v>
      </c>
    </row>
    <row r="39" spans="1:80">
      <c r="A39" s="6" t="s">
        <v>522</v>
      </c>
      <c r="B39" t="s">
        <v>491</v>
      </c>
      <c r="C39" s="6" t="s">
        <v>492</v>
      </c>
      <c r="D39" s="6"/>
      <c r="E39" t="s">
        <v>493</v>
      </c>
      <c r="F39" t="s">
        <v>494</v>
      </c>
      <c r="G39" s="6">
        <v>4</v>
      </c>
      <c r="H39" s="6"/>
      <c r="I39" t="s">
        <v>491</v>
      </c>
      <c r="J39" s="3">
        <v>46265</v>
      </c>
      <c r="K39" t="s">
        <v>495</v>
      </c>
      <c r="L39" t="s">
        <v>139</v>
      </c>
      <c r="N39" t="s">
        <v>444</v>
      </c>
      <c r="Q39" t="s">
        <v>523</v>
      </c>
      <c r="S39" t="s">
        <v>144</v>
      </c>
      <c r="T39" t="s">
        <v>524</v>
      </c>
      <c r="V39" t="s">
        <v>525</v>
      </c>
      <c r="W39" t="s">
        <v>34</v>
      </c>
      <c r="X39" s="6" t="s">
        <v>526</v>
      </c>
      <c r="Y39" s="6"/>
      <c r="Z39" t="s">
        <v>148</v>
      </c>
      <c r="AA39" t="s">
        <v>149</v>
      </c>
      <c r="AC39" t="s">
        <v>150</v>
      </c>
      <c r="AD39" s="6"/>
      <c r="AF39" s="3">
        <v>30399</v>
      </c>
      <c r="AG39">
        <v>43</v>
      </c>
      <c r="AH39" t="b">
        <v>0</v>
      </c>
      <c r="AI39" t="b">
        <v>1</v>
      </c>
      <c r="AJ39" s="6" t="s">
        <v>527</v>
      </c>
      <c r="AK39" s="6" t="s">
        <v>171</v>
      </c>
      <c r="AL39" t="b">
        <v>0</v>
      </c>
      <c r="AM39" s="6"/>
      <c r="AN39" s="6"/>
      <c r="AP39" t="b">
        <v>0</v>
      </c>
      <c r="AQ39" s="6"/>
      <c r="AR39" s="6"/>
      <c r="AT39" t="b">
        <v>0</v>
      </c>
      <c r="AU39" s="6"/>
      <c r="AV39" s="6"/>
      <c r="AX39" t="b">
        <v>0</v>
      </c>
      <c r="AY39" s="6"/>
      <c r="AZ39" s="6"/>
      <c r="BA39" t="b">
        <v>0</v>
      </c>
      <c r="BB39" s="6"/>
      <c r="BC39" t="b">
        <v>0</v>
      </c>
      <c r="BD39" s="6"/>
      <c r="BE39" s="6"/>
      <c r="BF39" t="b">
        <v>0</v>
      </c>
      <c r="BG39" s="6"/>
      <c r="BH39" t="b">
        <v>1</v>
      </c>
      <c r="BI39" s="6" t="s">
        <v>528</v>
      </c>
      <c r="BJ39" t="b">
        <v>1</v>
      </c>
      <c r="BL39" t="b">
        <v>0</v>
      </c>
      <c r="BM39" t="b">
        <v>0</v>
      </c>
      <c r="BN39" t="b">
        <v>0</v>
      </c>
      <c r="BO39" t="b">
        <v>1</v>
      </c>
      <c r="BQ39" t="b">
        <v>0</v>
      </c>
      <c r="BR39" s="6"/>
      <c r="BT39" t="b">
        <v>0</v>
      </c>
      <c r="BU39" t="s">
        <v>503</v>
      </c>
      <c r="BV39" t="s">
        <v>504</v>
      </c>
      <c r="BW39" t="s">
        <v>171</v>
      </c>
      <c r="BY39" s="6" t="s">
        <v>529</v>
      </c>
      <c r="BZ39">
        <v>1</v>
      </c>
      <c r="CB39" s="7">
        <v>46315.0537962963</v>
      </c>
    </row>
    <row r="40" spans="1:80">
      <c r="A40" s="6" t="s">
        <v>530</v>
      </c>
      <c r="B40" t="s">
        <v>491</v>
      </c>
      <c r="C40" s="6" t="s">
        <v>492</v>
      </c>
      <c r="D40" s="6"/>
      <c r="E40" t="s">
        <v>493</v>
      </c>
      <c r="F40" t="s">
        <v>494</v>
      </c>
      <c r="G40" s="6">
        <v>5</v>
      </c>
      <c r="H40" s="6"/>
      <c r="I40" t="s">
        <v>491</v>
      </c>
      <c r="J40" s="3">
        <v>46265</v>
      </c>
      <c r="K40" t="s">
        <v>495</v>
      </c>
      <c r="L40" t="s">
        <v>139</v>
      </c>
      <c r="N40" t="s">
        <v>211</v>
      </c>
      <c r="Q40" t="s">
        <v>213</v>
      </c>
      <c r="R40" t="s">
        <v>214</v>
      </c>
      <c r="S40" t="s">
        <v>144</v>
      </c>
      <c r="T40" t="s">
        <v>215</v>
      </c>
      <c r="V40" t="s">
        <v>216</v>
      </c>
      <c r="W40" t="s">
        <v>37</v>
      </c>
      <c r="X40" s="6" t="s">
        <v>217</v>
      </c>
      <c r="Y40" s="6"/>
      <c r="Z40" t="s">
        <v>148</v>
      </c>
      <c r="AA40" t="s">
        <v>149</v>
      </c>
      <c r="AC40" t="s">
        <v>150</v>
      </c>
      <c r="AD40" s="6"/>
      <c r="AF40" s="3">
        <v>25031</v>
      </c>
      <c r="AG40">
        <v>58</v>
      </c>
      <c r="AH40" t="b">
        <v>0</v>
      </c>
      <c r="AI40" t="b">
        <v>1</v>
      </c>
      <c r="AJ40" s="6" t="s">
        <v>531</v>
      </c>
      <c r="AK40" s="6" t="s">
        <v>171</v>
      </c>
      <c r="AL40" t="b">
        <v>0</v>
      </c>
      <c r="AM40" s="6"/>
      <c r="AN40" s="6"/>
      <c r="AP40" t="b">
        <v>0</v>
      </c>
      <c r="AQ40" s="6"/>
      <c r="AR40" s="6"/>
      <c r="AT40" t="b">
        <v>0</v>
      </c>
      <c r="AU40" s="6"/>
      <c r="AV40" s="6"/>
      <c r="AX40" t="b">
        <v>0</v>
      </c>
      <c r="AY40" s="6"/>
      <c r="AZ40" s="6"/>
      <c r="BA40" t="b">
        <v>0</v>
      </c>
      <c r="BB40" s="6"/>
      <c r="BC40" t="b">
        <v>0</v>
      </c>
      <c r="BD40" s="6"/>
      <c r="BE40" s="6"/>
      <c r="BF40" t="b">
        <v>0</v>
      </c>
      <c r="BG40" s="6"/>
      <c r="BH40" t="b">
        <v>1</v>
      </c>
      <c r="BI40" s="6" t="s">
        <v>218</v>
      </c>
      <c r="BJ40" t="b">
        <v>1</v>
      </c>
      <c r="BL40" t="b">
        <v>0</v>
      </c>
      <c r="BM40" t="b">
        <v>0</v>
      </c>
      <c r="BN40" t="b">
        <v>0</v>
      </c>
      <c r="BO40" t="b">
        <v>1</v>
      </c>
      <c r="BQ40" t="b">
        <v>0</v>
      </c>
      <c r="BR40" s="6"/>
      <c r="BT40" t="b">
        <v>0</v>
      </c>
      <c r="BU40" t="s">
        <v>503</v>
      </c>
      <c r="BV40" t="s">
        <v>504</v>
      </c>
      <c r="BW40" t="s">
        <v>171</v>
      </c>
      <c r="BY40" s="6" t="s">
        <v>219</v>
      </c>
      <c r="BZ40">
        <v>1</v>
      </c>
      <c r="CB40" s="7">
        <v>46315.0537962963</v>
      </c>
    </row>
    <row r="41" spans="1:80">
      <c r="A41" s="6" t="s">
        <v>532</v>
      </c>
      <c r="B41" t="s">
        <v>491</v>
      </c>
      <c r="C41" s="6" t="s">
        <v>492</v>
      </c>
      <c r="D41" s="6"/>
      <c r="E41" t="s">
        <v>493</v>
      </c>
      <c r="F41" t="s">
        <v>494</v>
      </c>
      <c r="G41" s="6">
        <v>6</v>
      </c>
      <c r="H41" s="6"/>
      <c r="I41" t="s">
        <v>491</v>
      </c>
      <c r="J41" s="3">
        <v>46265</v>
      </c>
      <c r="K41" t="s">
        <v>495</v>
      </c>
      <c r="L41" t="s">
        <v>139</v>
      </c>
      <c r="N41" t="s">
        <v>433</v>
      </c>
      <c r="Q41" t="s">
        <v>435</v>
      </c>
      <c r="S41" t="s">
        <v>144</v>
      </c>
      <c r="T41" t="s">
        <v>436</v>
      </c>
      <c r="V41" t="s">
        <v>437</v>
      </c>
      <c r="W41" t="s">
        <v>40</v>
      </c>
      <c r="X41" s="6" t="s">
        <v>438</v>
      </c>
      <c r="Y41" s="6"/>
      <c r="Z41" t="s">
        <v>148</v>
      </c>
      <c r="AA41" t="s">
        <v>149</v>
      </c>
      <c r="AC41" t="s">
        <v>150</v>
      </c>
      <c r="AD41" s="6"/>
      <c r="AF41" s="3">
        <v>27425</v>
      </c>
      <c r="AG41">
        <v>51</v>
      </c>
      <c r="AH41" t="b">
        <v>0</v>
      </c>
      <c r="AI41" t="b">
        <v>1</v>
      </c>
      <c r="AJ41" s="6" t="s">
        <v>439</v>
      </c>
      <c r="AK41" s="6" t="s">
        <v>171</v>
      </c>
      <c r="AL41" t="b">
        <v>0</v>
      </c>
      <c r="AM41" s="6"/>
      <c r="AN41" s="6"/>
      <c r="AP41" t="b">
        <v>0</v>
      </c>
      <c r="AQ41" s="6"/>
      <c r="AR41" s="6"/>
      <c r="AT41" t="b">
        <v>0</v>
      </c>
      <c r="AU41" s="6"/>
      <c r="AV41" s="6"/>
      <c r="AX41" t="b">
        <v>0</v>
      </c>
      <c r="AY41" s="6"/>
      <c r="AZ41" s="6"/>
      <c r="BA41" t="b">
        <v>0</v>
      </c>
      <c r="BB41" s="6"/>
      <c r="BC41" t="b">
        <v>0</v>
      </c>
      <c r="BD41" s="6"/>
      <c r="BE41" s="6"/>
      <c r="BF41" t="b">
        <v>0</v>
      </c>
      <c r="BG41" s="6"/>
      <c r="BH41" t="b">
        <v>1</v>
      </c>
      <c r="BI41" s="6" t="s">
        <v>533</v>
      </c>
      <c r="BJ41" t="b">
        <v>1</v>
      </c>
      <c r="BL41" t="b">
        <v>0</v>
      </c>
      <c r="BM41" t="b">
        <v>0</v>
      </c>
      <c r="BN41" t="b">
        <v>0</v>
      </c>
      <c r="BO41" t="b">
        <v>1</v>
      </c>
      <c r="BQ41" t="b">
        <v>0</v>
      </c>
      <c r="BR41" s="6"/>
      <c r="BT41" t="b">
        <v>0</v>
      </c>
      <c r="BU41" t="s">
        <v>503</v>
      </c>
      <c r="BV41" t="s">
        <v>504</v>
      </c>
      <c r="BW41" t="s">
        <v>154</v>
      </c>
      <c r="BX41" t="s">
        <v>44</v>
      </c>
      <c r="BY41" s="6" t="s">
        <v>440</v>
      </c>
      <c r="BZ41">
        <v>1</v>
      </c>
      <c r="CA41" t="s">
        <v>157</v>
      </c>
      <c r="CB41" s="7">
        <v>46315.0537962963</v>
      </c>
    </row>
    <row r="42" spans="1:80">
      <c r="A42" s="6" t="s">
        <v>534</v>
      </c>
      <c r="B42" t="s">
        <v>491</v>
      </c>
      <c r="C42" s="6" t="s">
        <v>492</v>
      </c>
      <c r="D42" s="6"/>
      <c r="E42" t="s">
        <v>493</v>
      </c>
      <c r="F42" t="s">
        <v>494</v>
      </c>
      <c r="G42" s="6">
        <v>7</v>
      </c>
      <c r="H42" s="6"/>
      <c r="I42" t="s">
        <v>491</v>
      </c>
      <c r="J42" s="3">
        <v>46265</v>
      </c>
      <c r="K42" t="s">
        <v>495</v>
      </c>
      <c r="L42" t="s">
        <v>139</v>
      </c>
      <c r="N42" t="s">
        <v>535</v>
      </c>
      <c r="Q42" t="s">
        <v>536</v>
      </c>
      <c r="S42" t="s">
        <v>144</v>
      </c>
      <c r="T42" t="s">
        <v>537</v>
      </c>
      <c r="V42" t="s">
        <v>538</v>
      </c>
      <c r="W42" t="s">
        <v>40</v>
      </c>
      <c r="X42" s="6" t="s">
        <v>539</v>
      </c>
      <c r="Y42" s="6"/>
      <c r="Z42" t="s">
        <v>148</v>
      </c>
      <c r="AA42" t="s">
        <v>205</v>
      </c>
      <c r="AC42" t="s">
        <v>150</v>
      </c>
      <c r="AD42" s="6"/>
      <c r="AF42" s="3">
        <v>34510</v>
      </c>
      <c r="AG42">
        <v>32</v>
      </c>
      <c r="AH42" t="b">
        <v>0</v>
      </c>
      <c r="AI42" t="b">
        <v>1</v>
      </c>
      <c r="AJ42" s="6" t="s">
        <v>540</v>
      </c>
      <c r="AK42" s="6" t="s">
        <v>171</v>
      </c>
      <c r="AL42" t="b">
        <v>0</v>
      </c>
      <c r="AM42" s="6"/>
      <c r="AN42" s="6"/>
      <c r="AP42" t="b">
        <v>0</v>
      </c>
      <c r="AQ42" s="6"/>
      <c r="AR42" s="6"/>
      <c r="AT42" t="b">
        <v>0</v>
      </c>
      <c r="AU42" s="6"/>
      <c r="AV42" s="6"/>
      <c r="AX42" t="b">
        <v>0</v>
      </c>
      <c r="AY42" s="6"/>
      <c r="AZ42" s="6"/>
      <c r="BA42" t="b">
        <v>0</v>
      </c>
      <c r="BB42" s="6"/>
      <c r="BC42" t="b">
        <v>0</v>
      </c>
      <c r="BD42" s="6"/>
      <c r="BE42" s="6"/>
      <c r="BF42" t="b">
        <v>0</v>
      </c>
      <c r="BG42" s="6"/>
      <c r="BH42" t="b">
        <v>1</v>
      </c>
      <c r="BI42" s="6" t="s">
        <v>541</v>
      </c>
      <c r="BJ42" t="b">
        <v>1</v>
      </c>
      <c r="BL42" t="b">
        <v>0</v>
      </c>
      <c r="BM42" t="b">
        <v>0</v>
      </c>
      <c r="BN42" t="b">
        <v>0</v>
      </c>
      <c r="BO42" t="b">
        <v>1</v>
      </c>
      <c r="BQ42" t="b">
        <v>0</v>
      </c>
      <c r="BR42" s="6"/>
      <c r="BT42" t="b">
        <v>0</v>
      </c>
      <c r="BU42" t="s">
        <v>503</v>
      </c>
      <c r="BV42" t="s">
        <v>504</v>
      </c>
      <c r="BW42" t="s">
        <v>154</v>
      </c>
      <c r="BX42" t="s">
        <v>43</v>
      </c>
      <c r="BY42" s="6" t="s">
        <v>542</v>
      </c>
      <c r="BZ42">
        <v>1</v>
      </c>
      <c r="CA42" t="s">
        <v>157</v>
      </c>
      <c r="CB42" s="7">
        <v>46315.0537962963</v>
      </c>
    </row>
    <row r="43" spans="1:80">
      <c r="A43" s="6" t="s">
        <v>543</v>
      </c>
      <c r="B43" t="s">
        <v>491</v>
      </c>
      <c r="C43" s="6" t="s">
        <v>492</v>
      </c>
      <c r="D43" s="6"/>
      <c r="E43" t="s">
        <v>493</v>
      </c>
      <c r="F43" t="s">
        <v>494</v>
      </c>
      <c r="G43" s="6">
        <v>8</v>
      </c>
      <c r="H43" s="6"/>
      <c r="I43" t="s">
        <v>491</v>
      </c>
      <c r="J43" s="3">
        <v>46265</v>
      </c>
      <c r="K43" t="s">
        <v>495</v>
      </c>
      <c r="L43" t="s">
        <v>139</v>
      </c>
      <c r="N43" t="s">
        <v>479</v>
      </c>
      <c r="Q43" t="s">
        <v>423</v>
      </c>
      <c r="S43" t="s">
        <v>144</v>
      </c>
      <c r="T43" t="s">
        <v>480</v>
      </c>
      <c r="V43" t="s">
        <v>481</v>
      </c>
      <c r="W43" t="s">
        <v>39</v>
      </c>
      <c r="X43" s="6" t="s">
        <v>482</v>
      </c>
      <c r="Y43" s="6"/>
      <c r="Z43" t="s">
        <v>148</v>
      </c>
      <c r="AA43" t="s">
        <v>149</v>
      </c>
      <c r="AC43" t="s">
        <v>150</v>
      </c>
      <c r="AD43" s="6"/>
      <c r="AF43" s="3">
        <v>26352</v>
      </c>
      <c r="AG43">
        <v>54</v>
      </c>
      <c r="AH43" t="b">
        <v>0</v>
      </c>
      <c r="AI43" t="b">
        <v>1</v>
      </c>
      <c r="AJ43" s="6" t="s">
        <v>483</v>
      </c>
      <c r="AK43" s="6" t="s">
        <v>171</v>
      </c>
      <c r="AL43" t="b">
        <v>0</v>
      </c>
      <c r="AM43" s="6"/>
      <c r="AN43" s="6"/>
      <c r="AP43" t="b">
        <v>0</v>
      </c>
      <c r="AQ43" s="6"/>
      <c r="AR43" s="6"/>
      <c r="AT43" t="b">
        <v>0</v>
      </c>
      <c r="AU43" s="6"/>
      <c r="AV43" s="6"/>
      <c r="AX43" t="b">
        <v>0</v>
      </c>
      <c r="AY43" s="6"/>
      <c r="AZ43" s="6"/>
      <c r="BA43" t="b">
        <v>0</v>
      </c>
      <c r="BB43" s="6"/>
      <c r="BC43" t="b">
        <v>0</v>
      </c>
      <c r="BD43" s="6"/>
      <c r="BE43" s="6"/>
      <c r="BF43" t="b">
        <v>0</v>
      </c>
      <c r="BG43" s="6"/>
      <c r="BH43" t="b">
        <v>1</v>
      </c>
      <c r="BI43" s="6" t="s">
        <v>544</v>
      </c>
      <c r="BJ43" t="b">
        <v>1</v>
      </c>
      <c r="BL43" t="b">
        <v>0</v>
      </c>
      <c r="BM43" t="b">
        <v>0</v>
      </c>
      <c r="BN43" t="b">
        <v>0</v>
      </c>
      <c r="BO43" t="b">
        <v>1</v>
      </c>
      <c r="BQ43" t="b">
        <v>0</v>
      </c>
      <c r="BR43" s="6"/>
      <c r="BT43" t="b">
        <v>0</v>
      </c>
      <c r="BU43" t="s">
        <v>503</v>
      </c>
      <c r="BV43" t="s">
        <v>504</v>
      </c>
      <c r="BW43" t="s">
        <v>171</v>
      </c>
      <c r="BY43" s="6" t="s">
        <v>485</v>
      </c>
      <c r="BZ43">
        <v>1</v>
      </c>
      <c r="CB43" s="7">
        <v>46315.0537962963</v>
      </c>
    </row>
    <row r="44" spans="1:80">
      <c r="A44" s="6" t="s">
        <v>545</v>
      </c>
      <c r="B44" t="s">
        <v>491</v>
      </c>
      <c r="C44" s="6" t="s">
        <v>492</v>
      </c>
      <c r="D44" s="6"/>
      <c r="E44" t="s">
        <v>493</v>
      </c>
      <c r="F44" t="s">
        <v>494</v>
      </c>
      <c r="G44" s="6">
        <v>9</v>
      </c>
      <c r="H44" s="6"/>
      <c r="I44" t="s">
        <v>491</v>
      </c>
      <c r="J44" s="3">
        <v>46265</v>
      </c>
      <c r="K44" t="s">
        <v>495</v>
      </c>
      <c r="L44" t="s">
        <v>139</v>
      </c>
      <c r="N44" t="s">
        <v>546</v>
      </c>
      <c r="Q44" t="s">
        <v>547</v>
      </c>
      <c r="S44" t="s">
        <v>144</v>
      </c>
      <c r="T44" t="s">
        <v>548</v>
      </c>
      <c r="V44" t="s">
        <v>549</v>
      </c>
      <c r="W44" t="s">
        <v>33</v>
      </c>
      <c r="X44" s="6" t="s">
        <v>550</v>
      </c>
      <c r="Y44" s="6"/>
      <c r="Z44" t="s">
        <v>148</v>
      </c>
      <c r="AA44" t="s">
        <v>149</v>
      </c>
      <c r="AC44" t="s">
        <v>150</v>
      </c>
      <c r="AD44" s="6"/>
      <c r="AF44" s="3">
        <v>25307</v>
      </c>
      <c r="AG44">
        <v>57</v>
      </c>
      <c r="AH44" t="b">
        <v>0</v>
      </c>
      <c r="AI44" t="b">
        <v>1</v>
      </c>
      <c r="AJ44" s="6" t="s">
        <v>551</v>
      </c>
      <c r="AK44" s="6" t="s">
        <v>171</v>
      </c>
      <c r="AL44" t="b">
        <v>0</v>
      </c>
      <c r="AM44" s="6"/>
      <c r="AN44" s="6"/>
      <c r="AP44" t="b">
        <v>0</v>
      </c>
      <c r="AQ44" s="6"/>
      <c r="AR44" s="6"/>
      <c r="AT44" t="b">
        <v>0</v>
      </c>
      <c r="AU44" s="6"/>
      <c r="AV44" s="6"/>
      <c r="AX44" t="b">
        <v>0</v>
      </c>
      <c r="AY44" s="6"/>
      <c r="AZ44" s="6"/>
      <c r="BA44" t="b">
        <v>0</v>
      </c>
      <c r="BB44" s="6"/>
      <c r="BC44" t="b">
        <v>0</v>
      </c>
      <c r="BD44" s="6"/>
      <c r="BE44" s="6"/>
      <c r="BF44" t="b">
        <v>0</v>
      </c>
      <c r="BG44" s="6"/>
      <c r="BH44" t="b">
        <v>1</v>
      </c>
      <c r="BI44" s="6" t="s">
        <v>552</v>
      </c>
      <c r="BJ44" t="b">
        <v>1</v>
      </c>
      <c r="BL44" t="b">
        <v>0</v>
      </c>
      <c r="BM44" t="b">
        <v>0</v>
      </c>
      <c r="BN44" t="b">
        <v>0</v>
      </c>
      <c r="BO44" t="b">
        <v>1</v>
      </c>
      <c r="BQ44" t="b">
        <v>0</v>
      </c>
      <c r="BR44" s="6"/>
      <c r="BT44" t="b">
        <v>0</v>
      </c>
      <c r="BU44" t="s">
        <v>503</v>
      </c>
      <c r="BV44" t="s">
        <v>504</v>
      </c>
      <c r="BW44" t="s">
        <v>154</v>
      </c>
      <c r="BX44" t="s">
        <v>44</v>
      </c>
      <c r="BY44" s="6" t="s">
        <v>553</v>
      </c>
      <c r="BZ44">
        <v>1</v>
      </c>
      <c r="CA44" t="s">
        <v>157</v>
      </c>
      <c r="CB44" s="7">
        <v>46315.0537962963</v>
      </c>
    </row>
    <row r="45" spans="1:80">
      <c r="A45" s="6" t="s">
        <v>554</v>
      </c>
      <c r="B45" t="s">
        <v>491</v>
      </c>
      <c r="C45" s="6" t="s">
        <v>492</v>
      </c>
      <c r="D45" s="6"/>
      <c r="E45" t="s">
        <v>493</v>
      </c>
      <c r="F45" t="s">
        <v>494</v>
      </c>
      <c r="G45" s="6">
        <v>10</v>
      </c>
      <c r="H45" s="6"/>
      <c r="I45" t="s">
        <v>491</v>
      </c>
      <c r="J45" s="3">
        <v>46265</v>
      </c>
      <c r="K45" t="s">
        <v>495</v>
      </c>
      <c r="L45" t="s">
        <v>139</v>
      </c>
      <c r="N45" t="s">
        <v>314</v>
      </c>
      <c r="Q45" t="s">
        <v>315</v>
      </c>
      <c r="S45" t="s">
        <v>144</v>
      </c>
      <c r="T45" t="s">
        <v>316</v>
      </c>
      <c r="V45" t="s">
        <v>317</v>
      </c>
      <c r="W45" t="s">
        <v>34</v>
      </c>
      <c r="X45" s="6" t="s">
        <v>318</v>
      </c>
      <c r="Y45" s="6"/>
      <c r="Z45" t="s">
        <v>148</v>
      </c>
      <c r="AA45" t="s">
        <v>149</v>
      </c>
      <c r="AC45" t="s">
        <v>150</v>
      </c>
      <c r="AD45" s="6"/>
      <c r="AF45" s="3">
        <v>28458</v>
      </c>
      <c r="AG45">
        <v>48</v>
      </c>
      <c r="AH45" t="b">
        <v>0</v>
      </c>
      <c r="AI45" t="b">
        <v>1</v>
      </c>
      <c r="AJ45" s="6" t="s">
        <v>555</v>
      </c>
      <c r="AK45" s="6" t="s">
        <v>171</v>
      </c>
      <c r="AL45" t="b">
        <v>0</v>
      </c>
      <c r="AM45" s="6"/>
      <c r="AN45" s="6"/>
      <c r="AP45" t="b">
        <v>0</v>
      </c>
      <c r="AQ45" s="6"/>
      <c r="AR45" s="6"/>
      <c r="AT45" t="b">
        <v>0</v>
      </c>
      <c r="AU45" s="6"/>
      <c r="AV45" s="6"/>
      <c r="AX45" t="b">
        <v>0</v>
      </c>
      <c r="AY45" s="6"/>
      <c r="AZ45" s="6"/>
      <c r="BA45" t="b">
        <v>0</v>
      </c>
      <c r="BB45" s="6"/>
      <c r="BC45" t="b">
        <v>0</v>
      </c>
      <c r="BD45" s="6"/>
      <c r="BE45" s="6"/>
      <c r="BF45" t="b">
        <v>0</v>
      </c>
      <c r="BG45" s="6"/>
      <c r="BH45" t="b">
        <v>1</v>
      </c>
      <c r="BI45" s="6" t="s">
        <v>556</v>
      </c>
      <c r="BJ45" t="b">
        <v>1</v>
      </c>
      <c r="BL45" t="b">
        <v>0</v>
      </c>
      <c r="BM45" t="b">
        <v>0</v>
      </c>
      <c r="BN45" t="b">
        <v>0</v>
      </c>
      <c r="BO45" t="b">
        <v>1</v>
      </c>
      <c r="BQ45" t="b">
        <v>0</v>
      </c>
      <c r="BR45" s="6"/>
      <c r="BT45" t="b">
        <v>0</v>
      </c>
      <c r="BU45" t="s">
        <v>503</v>
      </c>
      <c r="BV45" t="s">
        <v>504</v>
      </c>
      <c r="BW45" t="s">
        <v>154</v>
      </c>
      <c r="BX45" t="s">
        <v>44</v>
      </c>
      <c r="BY45" s="6" t="s">
        <v>321</v>
      </c>
      <c r="BZ45">
        <v>1</v>
      </c>
      <c r="CA45" t="s">
        <v>157</v>
      </c>
      <c r="CB45" s="7">
        <v>46315.0537962963</v>
      </c>
    </row>
    <row r="46" spans="1:80">
      <c r="A46" s="6" t="s">
        <v>557</v>
      </c>
      <c r="B46" t="s">
        <v>491</v>
      </c>
      <c r="C46" s="6" t="s">
        <v>492</v>
      </c>
      <c r="D46" s="6"/>
      <c r="E46" t="s">
        <v>493</v>
      </c>
      <c r="F46" t="s">
        <v>494</v>
      </c>
      <c r="G46" s="6">
        <v>10</v>
      </c>
      <c r="H46" s="6" t="s">
        <v>554</v>
      </c>
      <c r="I46" t="s">
        <v>491</v>
      </c>
      <c r="J46" s="3">
        <v>46265</v>
      </c>
      <c r="K46" t="s">
        <v>516</v>
      </c>
      <c r="L46" t="s">
        <v>139</v>
      </c>
      <c r="N46" t="s">
        <v>323</v>
      </c>
      <c r="Q46" t="s">
        <v>315</v>
      </c>
      <c r="X46" s="6"/>
      <c r="Y46" s="6"/>
      <c r="Z46" t="s">
        <v>148</v>
      </c>
      <c r="AD46" s="6"/>
      <c r="AF46" s="3">
        <v>30125</v>
      </c>
      <c r="AG46">
        <v>44</v>
      </c>
      <c r="AH46" t="b">
        <v>0</v>
      </c>
      <c r="AI46" t="b">
        <v>0</v>
      </c>
      <c r="AJ46" s="6"/>
      <c r="AK46" s="6"/>
      <c r="AL46" t="b">
        <v>0</v>
      </c>
      <c r="AM46" s="6"/>
      <c r="AN46" s="6"/>
      <c r="AP46" t="b">
        <v>0</v>
      </c>
      <c r="AQ46" s="6"/>
      <c r="AR46" s="6"/>
      <c r="AT46" t="b">
        <v>0</v>
      </c>
      <c r="AU46" s="6"/>
      <c r="AV46" s="6"/>
      <c r="AX46" t="b">
        <v>0</v>
      </c>
      <c r="AY46" s="6"/>
      <c r="AZ46" s="6"/>
      <c r="BA46" t="b">
        <v>0</v>
      </c>
      <c r="BB46" s="6"/>
      <c r="BC46" t="b">
        <v>0</v>
      </c>
      <c r="BD46" s="6"/>
      <c r="BE46" s="6"/>
      <c r="BF46" t="b">
        <v>0</v>
      </c>
      <c r="BG46" s="6"/>
      <c r="BH46" t="b">
        <v>0</v>
      </c>
      <c r="BI46" s="6"/>
      <c r="BJ46" t="b">
        <v>0</v>
      </c>
      <c r="BL46" t="b">
        <v>0</v>
      </c>
      <c r="BM46" t="b">
        <v>0</v>
      </c>
      <c r="BN46" t="b">
        <v>0</v>
      </c>
      <c r="BO46" t="b">
        <v>0</v>
      </c>
      <c r="BQ46" t="b">
        <v>0</v>
      </c>
      <c r="BR46" s="6"/>
      <c r="BT46" t="b">
        <v>0</v>
      </c>
      <c r="BV46" t="s">
        <v>504</v>
      </c>
      <c r="BW46" t="s">
        <v>154</v>
      </c>
      <c r="BX46" t="s">
        <v>44</v>
      </c>
      <c r="BY46" s="6" t="s">
        <v>327</v>
      </c>
      <c r="BZ46">
        <v>1</v>
      </c>
      <c r="CA46" t="s">
        <v>157</v>
      </c>
      <c r="CB46" s="7">
        <v>46315.0537962963</v>
      </c>
    </row>
    <row r="47" spans="1:80">
      <c r="A47" s="6" t="s">
        <v>558</v>
      </c>
      <c r="B47" t="s">
        <v>491</v>
      </c>
      <c r="C47" s="6" t="s">
        <v>492</v>
      </c>
      <c r="D47" s="6"/>
      <c r="E47" t="s">
        <v>493</v>
      </c>
      <c r="F47" t="s">
        <v>494</v>
      </c>
      <c r="G47" s="6">
        <v>10</v>
      </c>
      <c r="H47" s="6" t="s">
        <v>554</v>
      </c>
      <c r="I47" t="s">
        <v>491</v>
      </c>
      <c r="J47" s="3">
        <v>46265</v>
      </c>
      <c r="K47" t="s">
        <v>516</v>
      </c>
      <c r="L47" t="s">
        <v>139</v>
      </c>
      <c r="N47" t="s">
        <v>559</v>
      </c>
      <c r="Q47" t="s">
        <v>315</v>
      </c>
      <c r="X47" s="6"/>
      <c r="Y47" s="6"/>
      <c r="Z47" t="s">
        <v>148</v>
      </c>
      <c r="AD47" s="6"/>
      <c r="AF47" s="3">
        <v>41333</v>
      </c>
      <c r="AG47">
        <v>13</v>
      </c>
      <c r="AH47" t="b">
        <v>1</v>
      </c>
      <c r="AI47" t="b">
        <v>0</v>
      </c>
      <c r="AJ47" s="6"/>
      <c r="AK47" s="6"/>
      <c r="AL47" t="b">
        <v>0</v>
      </c>
      <c r="AM47" s="6"/>
      <c r="AN47" s="6"/>
      <c r="AP47" t="b">
        <v>0</v>
      </c>
      <c r="AQ47" s="6"/>
      <c r="AR47" s="6"/>
      <c r="AT47" t="b">
        <v>0</v>
      </c>
      <c r="AU47" s="6"/>
      <c r="AV47" s="6"/>
      <c r="AX47" t="b">
        <v>0</v>
      </c>
      <c r="AY47" s="6"/>
      <c r="AZ47" s="6"/>
      <c r="BA47" t="b">
        <v>0</v>
      </c>
      <c r="BB47" s="6"/>
      <c r="BC47" t="b">
        <v>0</v>
      </c>
      <c r="BD47" s="6"/>
      <c r="BE47" s="6"/>
      <c r="BF47" t="b">
        <v>0</v>
      </c>
      <c r="BG47" s="6"/>
      <c r="BH47" t="b">
        <v>0</v>
      </c>
      <c r="BI47" s="6"/>
      <c r="BJ47" t="b">
        <v>0</v>
      </c>
      <c r="BL47" t="b">
        <v>0</v>
      </c>
      <c r="BM47" t="b">
        <v>0</v>
      </c>
      <c r="BN47" t="b">
        <v>0</v>
      </c>
      <c r="BO47" t="b">
        <v>0</v>
      </c>
      <c r="BQ47" t="b">
        <v>0</v>
      </c>
      <c r="BR47" s="6"/>
      <c r="BT47" t="b">
        <v>0</v>
      </c>
      <c r="BV47" t="s">
        <v>504</v>
      </c>
      <c r="BW47" t="s">
        <v>154</v>
      </c>
      <c r="BX47" t="s">
        <v>261</v>
      </c>
      <c r="BY47" s="6" t="s">
        <v>560</v>
      </c>
      <c r="BZ47">
        <v>1</v>
      </c>
      <c r="CA47" t="s">
        <v>157</v>
      </c>
      <c r="CB47" s="7">
        <v>46315.0537962963</v>
      </c>
    </row>
    <row r="48" spans="1:80">
      <c r="A48" s="6" t="s">
        <v>561</v>
      </c>
      <c r="B48" t="s">
        <v>491</v>
      </c>
      <c r="C48" s="6" t="s">
        <v>492</v>
      </c>
      <c r="D48" s="6"/>
      <c r="E48" t="s">
        <v>493</v>
      </c>
      <c r="F48" t="s">
        <v>494</v>
      </c>
      <c r="G48" s="6">
        <v>11</v>
      </c>
      <c r="H48" s="6"/>
      <c r="I48" t="s">
        <v>491</v>
      </c>
      <c r="J48" s="3">
        <v>46265</v>
      </c>
      <c r="K48" t="s">
        <v>495</v>
      </c>
      <c r="L48" t="s">
        <v>139</v>
      </c>
      <c r="N48" t="s">
        <v>562</v>
      </c>
      <c r="Q48" t="s">
        <v>563</v>
      </c>
      <c r="S48" t="s">
        <v>144</v>
      </c>
      <c r="T48" t="s">
        <v>564</v>
      </c>
      <c r="V48" t="s">
        <v>565</v>
      </c>
      <c r="W48" t="s">
        <v>37</v>
      </c>
      <c r="X48" s="6" t="s">
        <v>566</v>
      </c>
      <c r="Y48" s="6"/>
      <c r="Z48" t="s">
        <v>148</v>
      </c>
      <c r="AA48" t="s">
        <v>149</v>
      </c>
      <c r="AC48" t="s">
        <v>150</v>
      </c>
      <c r="AD48" s="6"/>
      <c r="AF48" s="3">
        <v>33194</v>
      </c>
      <c r="AG48">
        <v>35</v>
      </c>
      <c r="AH48" t="b">
        <v>0</v>
      </c>
      <c r="AI48" t="b">
        <v>1</v>
      </c>
      <c r="AJ48" s="6" t="s">
        <v>567</v>
      </c>
      <c r="AK48" s="6" t="s">
        <v>171</v>
      </c>
      <c r="AL48" t="b">
        <v>0</v>
      </c>
      <c r="AM48" s="6"/>
      <c r="AN48" s="6"/>
      <c r="AP48" t="b">
        <v>0</v>
      </c>
      <c r="AQ48" s="6"/>
      <c r="AR48" s="6"/>
      <c r="AT48" t="b">
        <v>0</v>
      </c>
      <c r="AU48" s="6"/>
      <c r="AV48" s="6"/>
      <c r="AX48" t="b">
        <v>0</v>
      </c>
      <c r="AY48" s="6"/>
      <c r="AZ48" s="6"/>
      <c r="BA48" t="b">
        <v>0</v>
      </c>
      <c r="BB48" s="6"/>
      <c r="BC48" t="b">
        <v>0</v>
      </c>
      <c r="BD48" s="6"/>
      <c r="BE48" s="6"/>
      <c r="BF48" t="b">
        <v>0</v>
      </c>
      <c r="BG48" s="6"/>
      <c r="BH48" t="b">
        <v>1</v>
      </c>
      <c r="BI48" s="6" t="s">
        <v>568</v>
      </c>
      <c r="BJ48" t="b">
        <v>1</v>
      </c>
      <c r="BL48" t="b">
        <v>0</v>
      </c>
      <c r="BM48" t="b">
        <v>0</v>
      </c>
      <c r="BN48" t="b">
        <v>0</v>
      </c>
      <c r="BO48" t="b">
        <v>0</v>
      </c>
      <c r="BQ48" t="b">
        <v>0</v>
      </c>
      <c r="BR48" s="6"/>
      <c r="BT48" t="b">
        <v>0</v>
      </c>
      <c r="BU48" t="s">
        <v>503</v>
      </c>
      <c r="BV48" t="s">
        <v>504</v>
      </c>
      <c r="BW48" t="s">
        <v>171</v>
      </c>
      <c r="BY48" s="6" t="s">
        <v>569</v>
      </c>
      <c r="BZ48">
        <v>1</v>
      </c>
      <c r="CB48" s="7">
        <v>46315.0537962963</v>
      </c>
    </row>
    <row r="49" spans="1:80">
      <c r="A49" s="6" t="s">
        <v>570</v>
      </c>
      <c r="B49" t="s">
        <v>491</v>
      </c>
      <c r="C49" s="6" t="s">
        <v>492</v>
      </c>
      <c r="D49" s="6"/>
      <c r="E49" t="s">
        <v>493</v>
      </c>
      <c r="F49" t="s">
        <v>494</v>
      </c>
      <c r="G49" s="6">
        <v>12</v>
      </c>
      <c r="H49" s="6"/>
      <c r="I49" t="s">
        <v>491</v>
      </c>
      <c r="J49" s="3">
        <v>46265</v>
      </c>
      <c r="K49" t="s">
        <v>495</v>
      </c>
      <c r="L49" t="s">
        <v>139</v>
      </c>
      <c r="N49" t="s">
        <v>458</v>
      </c>
      <c r="Q49" t="s">
        <v>459</v>
      </c>
      <c r="S49" t="s">
        <v>144</v>
      </c>
      <c r="T49" t="s">
        <v>460</v>
      </c>
      <c r="V49" t="s">
        <v>461</v>
      </c>
      <c r="W49" t="s">
        <v>37</v>
      </c>
      <c r="X49" s="6" t="s">
        <v>462</v>
      </c>
      <c r="Y49" s="6"/>
      <c r="Z49" t="s">
        <v>148</v>
      </c>
      <c r="AA49" t="s">
        <v>149</v>
      </c>
      <c r="AC49" t="s">
        <v>150</v>
      </c>
      <c r="AD49" s="6"/>
      <c r="AF49" s="3">
        <v>22018</v>
      </c>
      <c r="AG49">
        <v>66</v>
      </c>
      <c r="AH49" t="b">
        <v>0</v>
      </c>
      <c r="AI49" t="b">
        <v>1</v>
      </c>
      <c r="AJ49" s="6" t="s">
        <v>463</v>
      </c>
      <c r="AK49" s="6" t="s">
        <v>171</v>
      </c>
      <c r="AL49" t="b">
        <v>0</v>
      </c>
      <c r="AM49" s="6"/>
      <c r="AN49" s="6"/>
      <c r="AP49" t="b">
        <v>0</v>
      </c>
      <c r="AQ49" s="6"/>
      <c r="AR49" s="6"/>
      <c r="AT49" t="b">
        <v>0</v>
      </c>
      <c r="AU49" s="6"/>
      <c r="AV49" s="6"/>
      <c r="AX49" t="b">
        <v>0</v>
      </c>
      <c r="AY49" s="6"/>
      <c r="AZ49" s="6"/>
      <c r="BA49" t="b">
        <v>0</v>
      </c>
      <c r="BB49" s="6"/>
      <c r="BC49" t="b">
        <v>0</v>
      </c>
      <c r="BD49" s="6"/>
      <c r="BE49" s="6"/>
      <c r="BF49" t="b">
        <v>0</v>
      </c>
      <c r="BG49" s="6"/>
      <c r="BH49" t="b">
        <v>1</v>
      </c>
      <c r="BI49" s="6" t="s">
        <v>571</v>
      </c>
      <c r="BJ49" t="b">
        <v>1</v>
      </c>
      <c r="BL49" t="b">
        <v>0</v>
      </c>
      <c r="BM49" t="b">
        <v>0</v>
      </c>
      <c r="BN49" t="b">
        <v>0</v>
      </c>
      <c r="BO49" t="b">
        <v>1</v>
      </c>
      <c r="BQ49" t="b">
        <v>0</v>
      </c>
      <c r="BR49" s="6"/>
      <c r="BT49" t="b">
        <v>0</v>
      </c>
      <c r="BU49" t="s">
        <v>503</v>
      </c>
      <c r="BV49" t="s">
        <v>504</v>
      </c>
      <c r="BW49" t="s">
        <v>171</v>
      </c>
      <c r="BY49" s="6" t="s">
        <v>464</v>
      </c>
      <c r="BZ49">
        <v>1</v>
      </c>
      <c r="CB49" s="7">
        <v>46315.0537962963</v>
      </c>
    </row>
    <row r="50" spans="1:80">
      <c r="A50" s="6" t="s">
        <v>572</v>
      </c>
      <c r="B50" t="s">
        <v>491</v>
      </c>
      <c r="C50" s="6" t="s">
        <v>492</v>
      </c>
      <c r="D50" s="6"/>
      <c r="E50" t="s">
        <v>493</v>
      </c>
      <c r="F50" t="s">
        <v>494</v>
      </c>
      <c r="G50" s="6">
        <v>13</v>
      </c>
      <c r="H50" s="6"/>
      <c r="I50" t="s">
        <v>491</v>
      </c>
      <c r="J50" s="3">
        <v>46265</v>
      </c>
      <c r="K50" t="s">
        <v>495</v>
      </c>
      <c r="L50" t="s">
        <v>139</v>
      </c>
      <c r="N50" t="s">
        <v>298</v>
      </c>
      <c r="Q50" t="s">
        <v>300</v>
      </c>
      <c r="S50" t="s">
        <v>144</v>
      </c>
      <c r="T50" t="s">
        <v>301</v>
      </c>
      <c r="V50" t="s">
        <v>302</v>
      </c>
      <c r="W50" t="s">
        <v>35</v>
      </c>
      <c r="X50" s="6" t="s">
        <v>303</v>
      </c>
      <c r="Y50" s="6"/>
      <c r="Z50" t="s">
        <v>148</v>
      </c>
      <c r="AA50" t="s">
        <v>149</v>
      </c>
      <c r="AC50" t="s">
        <v>150</v>
      </c>
      <c r="AD50" s="6"/>
      <c r="AF50" s="3">
        <v>20070</v>
      </c>
      <c r="AG50">
        <v>71</v>
      </c>
      <c r="AH50" t="b">
        <v>0</v>
      </c>
      <c r="AI50" t="b">
        <v>1</v>
      </c>
      <c r="AJ50" s="6" t="s">
        <v>573</v>
      </c>
      <c r="AK50" s="6" t="s">
        <v>171</v>
      </c>
      <c r="AL50" t="b">
        <v>0</v>
      </c>
      <c r="AM50" s="6"/>
      <c r="AN50" s="6"/>
      <c r="AP50" t="b">
        <v>0</v>
      </c>
      <c r="AQ50" s="6"/>
      <c r="AR50" s="6"/>
      <c r="AT50" t="b">
        <v>0</v>
      </c>
      <c r="AU50" s="6"/>
      <c r="AV50" s="6"/>
      <c r="AX50" t="b">
        <v>0</v>
      </c>
      <c r="AY50" s="6"/>
      <c r="AZ50" s="6"/>
      <c r="BA50" t="b">
        <v>0</v>
      </c>
      <c r="BB50" s="6"/>
      <c r="BC50" t="b">
        <v>0</v>
      </c>
      <c r="BD50" s="6"/>
      <c r="BE50" s="6"/>
      <c r="BF50" t="b">
        <v>0</v>
      </c>
      <c r="BG50" s="6"/>
      <c r="BH50" t="b">
        <v>1</v>
      </c>
      <c r="BI50" s="6" t="s">
        <v>304</v>
      </c>
      <c r="BJ50" t="b">
        <v>1</v>
      </c>
      <c r="BL50" t="b">
        <v>0</v>
      </c>
      <c r="BM50" t="b">
        <v>0</v>
      </c>
      <c r="BN50" t="b">
        <v>0</v>
      </c>
      <c r="BO50" t="b">
        <v>1</v>
      </c>
      <c r="BQ50" t="b">
        <v>0</v>
      </c>
      <c r="BR50" s="6"/>
      <c r="BT50" t="b">
        <v>0</v>
      </c>
      <c r="BU50" t="s">
        <v>503</v>
      </c>
      <c r="BV50" t="s">
        <v>504</v>
      </c>
      <c r="BW50" t="s">
        <v>154</v>
      </c>
      <c r="BX50" t="s">
        <v>305</v>
      </c>
      <c r="BY50" s="6" t="s">
        <v>306</v>
      </c>
      <c r="BZ50">
        <v>1</v>
      </c>
      <c r="CA50" t="s">
        <v>157</v>
      </c>
      <c r="CB50" s="7">
        <v>46315.0537962963</v>
      </c>
    </row>
    <row r="51" spans="1:80">
      <c r="A51" s="6" t="s">
        <v>574</v>
      </c>
      <c r="B51" t="s">
        <v>491</v>
      </c>
      <c r="C51" s="6" t="s">
        <v>492</v>
      </c>
      <c r="D51" s="6"/>
      <c r="E51" t="s">
        <v>493</v>
      </c>
      <c r="F51" t="s">
        <v>494</v>
      </c>
      <c r="G51" s="6">
        <v>14</v>
      </c>
      <c r="H51" s="6"/>
      <c r="I51" t="s">
        <v>491</v>
      </c>
      <c r="J51" s="3">
        <v>46265</v>
      </c>
      <c r="K51" t="s">
        <v>495</v>
      </c>
      <c r="L51" t="s">
        <v>139</v>
      </c>
      <c r="N51" t="s">
        <v>444</v>
      </c>
      <c r="Q51" t="s">
        <v>445</v>
      </c>
      <c r="R51" t="s">
        <v>446</v>
      </c>
      <c r="S51" t="s">
        <v>144</v>
      </c>
      <c r="T51" t="s">
        <v>447</v>
      </c>
      <c r="V51" t="s">
        <v>203</v>
      </c>
      <c r="W51" t="s">
        <v>34</v>
      </c>
      <c r="X51" s="6" t="s">
        <v>448</v>
      </c>
      <c r="Y51" s="6"/>
      <c r="Z51" t="s">
        <v>148</v>
      </c>
      <c r="AA51" t="s">
        <v>149</v>
      </c>
      <c r="AC51" t="s">
        <v>150</v>
      </c>
      <c r="AD51" s="6"/>
      <c r="AF51" s="3">
        <v>19798</v>
      </c>
      <c r="AG51">
        <v>72</v>
      </c>
      <c r="AH51" t="b">
        <v>0</v>
      </c>
      <c r="AI51" t="b">
        <v>1</v>
      </c>
      <c r="AJ51" s="6" t="s">
        <v>449</v>
      </c>
      <c r="AK51" s="6" t="s">
        <v>171</v>
      </c>
      <c r="AL51" t="b">
        <v>0</v>
      </c>
      <c r="AM51" s="6"/>
      <c r="AN51" s="6"/>
      <c r="AP51" t="b">
        <v>0</v>
      </c>
      <c r="AQ51" s="6"/>
      <c r="AR51" s="6"/>
      <c r="AT51" t="b">
        <v>0</v>
      </c>
      <c r="AU51" s="6"/>
      <c r="AV51" s="6"/>
      <c r="AX51" t="b">
        <v>0</v>
      </c>
      <c r="AY51" s="6"/>
      <c r="AZ51" s="6"/>
      <c r="BA51" t="b">
        <v>0</v>
      </c>
      <c r="BB51" s="6"/>
      <c r="BC51" t="b">
        <v>0</v>
      </c>
      <c r="BD51" s="6"/>
      <c r="BE51" s="6"/>
      <c r="BF51" t="b">
        <v>0</v>
      </c>
      <c r="BG51" s="6"/>
      <c r="BH51" t="b">
        <v>1</v>
      </c>
      <c r="BI51" s="6" t="s">
        <v>575</v>
      </c>
      <c r="BJ51" t="b">
        <v>1</v>
      </c>
      <c r="BL51" t="b">
        <v>0</v>
      </c>
      <c r="BM51" t="b">
        <v>0</v>
      </c>
      <c r="BN51" t="b">
        <v>0</v>
      </c>
      <c r="BO51" t="b">
        <v>1</v>
      </c>
      <c r="BQ51" t="b">
        <v>0</v>
      </c>
      <c r="BR51" s="6"/>
      <c r="BT51" t="b">
        <v>0</v>
      </c>
      <c r="BU51" t="s">
        <v>503</v>
      </c>
      <c r="BV51" t="s">
        <v>504</v>
      </c>
      <c r="BW51" t="s">
        <v>171</v>
      </c>
      <c r="BY51" s="6" t="s">
        <v>451</v>
      </c>
      <c r="BZ51">
        <v>1</v>
      </c>
      <c r="CB51" s="7">
        <v>46315.0537962963</v>
      </c>
    </row>
    <row r="52" spans="1:80">
      <c r="A52" s="6" t="s">
        <v>576</v>
      </c>
      <c r="B52" t="s">
        <v>491</v>
      </c>
      <c r="C52" s="6" t="s">
        <v>492</v>
      </c>
      <c r="D52" s="6"/>
      <c r="E52" t="s">
        <v>493</v>
      </c>
      <c r="F52" t="s">
        <v>494</v>
      </c>
      <c r="G52" s="6">
        <v>15</v>
      </c>
      <c r="H52" s="6"/>
      <c r="I52" t="s">
        <v>491</v>
      </c>
      <c r="J52" s="3">
        <v>46265</v>
      </c>
      <c r="K52" t="s">
        <v>495</v>
      </c>
      <c r="L52" t="s">
        <v>139</v>
      </c>
      <c r="N52" t="s">
        <v>468</v>
      </c>
      <c r="Q52" t="s">
        <v>577</v>
      </c>
      <c r="S52" t="s">
        <v>144</v>
      </c>
      <c r="T52" t="s">
        <v>373</v>
      </c>
      <c r="V52" t="s">
        <v>375</v>
      </c>
      <c r="W52" t="s">
        <v>33</v>
      </c>
      <c r="X52" s="6" t="s">
        <v>376</v>
      </c>
      <c r="Y52" s="6"/>
      <c r="Z52" t="s">
        <v>148</v>
      </c>
      <c r="AA52" t="s">
        <v>149</v>
      </c>
      <c r="AC52" t="s">
        <v>150</v>
      </c>
      <c r="AD52" s="6"/>
      <c r="AF52" s="3">
        <v>27744</v>
      </c>
      <c r="AG52">
        <v>50</v>
      </c>
      <c r="AH52" t="b">
        <v>0</v>
      </c>
      <c r="AI52" t="b">
        <v>1</v>
      </c>
      <c r="AJ52" s="6" t="s">
        <v>578</v>
      </c>
      <c r="AK52" s="6" t="s">
        <v>171</v>
      </c>
      <c r="AL52" t="b">
        <v>0</v>
      </c>
      <c r="AM52" s="6"/>
      <c r="AN52" s="6"/>
      <c r="AP52" t="b">
        <v>0</v>
      </c>
      <c r="AQ52" s="6"/>
      <c r="AR52" s="6"/>
      <c r="AT52" t="b">
        <v>0</v>
      </c>
      <c r="AU52" s="6"/>
      <c r="AV52" s="6"/>
      <c r="AX52" t="b">
        <v>0</v>
      </c>
      <c r="AY52" s="6"/>
      <c r="AZ52" s="6"/>
      <c r="BA52" t="b">
        <v>0</v>
      </c>
      <c r="BB52" s="6"/>
      <c r="BC52" t="b">
        <v>0</v>
      </c>
      <c r="BD52" s="6"/>
      <c r="BE52" s="6"/>
      <c r="BF52" t="b">
        <v>0</v>
      </c>
      <c r="BG52" s="6"/>
      <c r="BH52" t="b">
        <v>1</v>
      </c>
      <c r="BI52" s="6" t="s">
        <v>579</v>
      </c>
      <c r="BJ52" t="b">
        <v>1</v>
      </c>
      <c r="BL52" t="b">
        <v>0</v>
      </c>
      <c r="BM52" t="b">
        <v>0</v>
      </c>
      <c r="BN52" t="b">
        <v>0</v>
      </c>
      <c r="BO52" t="b">
        <v>0</v>
      </c>
      <c r="BQ52" t="b">
        <v>0</v>
      </c>
      <c r="BR52" s="6"/>
      <c r="BT52" t="b">
        <v>0</v>
      </c>
      <c r="BU52" t="s">
        <v>503</v>
      </c>
      <c r="BV52" t="s">
        <v>504</v>
      </c>
      <c r="BW52" t="s">
        <v>171</v>
      </c>
      <c r="BY52" s="6" t="s">
        <v>580</v>
      </c>
      <c r="BZ52">
        <v>1</v>
      </c>
      <c r="CB52" s="7">
        <v>46315.0537962963</v>
      </c>
    </row>
    <row r="53" spans="1:80">
      <c r="A53" s="6" t="s">
        <v>581</v>
      </c>
      <c r="B53" t="s">
        <v>491</v>
      </c>
      <c r="C53" s="6" t="s">
        <v>492</v>
      </c>
      <c r="D53" s="6"/>
      <c r="E53" t="s">
        <v>493</v>
      </c>
      <c r="F53" t="s">
        <v>494</v>
      </c>
      <c r="G53" s="6">
        <v>16</v>
      </c>
      <c r="H53" s="6"/>
      <c r="I53" t="s">
        <v>491</v>
      </c>
      <c r="J53" s="3">
        <v>46265</v>
      </c>
      <c r="K53" t="s">
        <v>495</v>
      </c>
      <c r="L53" t="s">
        <v>139</v>
      </c>
      <c r="N53" t="s">
        <v>247</v>
      </c>
      <c r="Q53" t="s">
        <v>248</v>
      </c>
      <c r="S53" t="s">
        <v>144</v>
      </c>
      <c r="T53" t="s">
        <v>250</v>
      </c>
      <c r="V53" t="s">
        <v>251</v>
      </c>
      <c r="W53" t="s">
        <v>39</v>
      </c>
      <c r="X53" s="6" t="s">
        <v>252</v>
      </c>
      <c r="Y53" s="6"/>
      <c r="Z53" t="s">
        <v>148</v>
      </c>
      <c r="AA53" t="s">
        <v>149</v>
      </c>
      <c r="AC53" t="s">
        <v>150</v>
      </c>
      <c r="AD53" s="6"/>
      <c r="AF53" s="3">
        <v>32257</v>
      </c>
      <c r="AG53">
        <v>38</v>
      </c>
      <c r="AH53" t="b">
        <v>0</v>
      </c>
      <c r="AI53" t="b">
        <v>1</v>
      </c>
      <c r="AJ53" s="6" t="s">
        <v>582</v>
      </c>
      <c r="AK53" s="6" t="s">
        <v>171</v>
      </c>
      <c r="AL53" t="b">
        <v>0</v>
      </c>
      <c r="AM53" s="6"/>
      <c r="AN53" s="6"/>
      <c r="AP53" t="b">
        <v>0</v>
      </c>
      <c r="AQ53" s="6"/>
      <c r="AR53" s="6"/>
      <c r="AT53" t="b">
        <v>0</v>
      </c>
      <c r="AU53" s="6"/>
      <c r="AV53" s="6"/>
      <c r="AX53" t="b">
        <v>0</v>
      </c>
      <c r="AY53" s="6"/>
      <c r="AZ53" s="6"/>
      <c r="BA53" t="b">
        <v>0</v>
      </c>
      <c r="BB53" s="6"/>
      <c r="BC53" t="b">
        <v>0</v>
      </c>
      <c r="BD53" s="6"/>
      <c r="BE53" s="6"/>
      <c r="BF53" t="b">
        <v>0</v>
      </c>
      <c r="BG53" s="6"/>
      <c r="BH53" t="b">
        <v>1</v>
      </c>
      <c r="BI53" s="6" t="s">
        <v>253</v>
      </c>
      <c r="BJ53" t="b">
        <v>1</v>
      </c>
      <c r="BL53" t="b">
        <v>0</v>
      </c>
      <c r="BM53" t="b">
        <v>0</v>
      </c>
      <c r="BN53" t="b">
        <v>0</v>
      </c>
      <c r="BO53" t="b">
        <v>1</v>
      </c>
      <c r="BQ53" t="b">
        <v>0</v>
      </c>
      <c r="BR53" s="6"/>
      <c r="BT53" t="b">
        <v>0</v>
      </c>
      <c r="BU53" t="s">
        <v>503</v>
      </c>
      <c r="BV53" t="s">
        <v>504</v>
      </c>
      <c r="BW53" t="s">
        <v>154</v>
      </c>
      <c r="BX53" t="s">
        <v>44</v>
      </c>
      <c r="BY53" s="6" t="s">
        <v>256</v>
      </c>
      <c r="BZ53">
        <v>1</v>
      </c>
      <c r="CA53" t="s">
        <v>157</v>
      </c>
      <c r="CB53" s="7">
        <v>46315.0537962963</v>
      </c>
    </row>
    <row r="54" spans="1:80">
      <c r="A54" s="6" t="s">
        <v>583</v>
      </c>
      <c r="B54" t="s">
        <v>491</v>
      </c>
      <c r="C54" s="6" t="s">
        <v>492</v>
      </c>
      <c r="D54" s="6"/>
      <c r="E54" t="s">
        <v>493</v>
      </c>
      <c r="F54" t="s">
        <v>494</v>
      </c>
      <c r="G54" s="6">
        <v>16</v>
      </c>
      <c r="H54" s="6" t="s">
        <v>581</v>
      </c>
      <c r="I54" t="s">
        <v>491</v>
      </c>
      <c r="J54" s="3">
        <v>46265</v>
      </c>
      <c r="K54" t="s">
        <v>516</v>
      </c>
      <c r="L54" t="s">
        <v>139</v>
      </c>
      <c r="N54" t="s">
        <v>258</v>
      </c>
      <c r="Q54" t="s">
        <v>248</v>
      </c>
      <c r="X54" s="6"/>
      <c r="Y54" s="6"/>
      <c r="Z54" t="s">
        <v>148</v>
      </c>
      <c r="AD54" s="6"/>
      <c r="AF54" s="3">
        <v>43220</v>
      </c>
      <c r="AG54">
        <v>8</v>
      </c>
      <c r="AH54" t="b">
        <v>1</v>
      </c>
      <c r="AI54" t="b">
        <v>0</v>
      </c>
      <c r="AJ54" s="6"/>
      <c r="AK54" s="6"/>
      <c r="AL54" t="b">
        <v>0</v>
      </c>
      <c r="AM54" s="6"/>
      <c r="AN54" s="6"/>
      <c r="AP54" t="b">
        <v>0</v>
      </c>
      <c r="AQ54" s="6"/>
      <c r="AR54" s="6"/>
      <c r="AT54" t="b">
        <v>0</v>
      </c>
      <c r="AU54" s="6"/>
      <c r="AV54" s="6"/>
      <c r="AX54" t="b">
        <v>0</v>
      </c>
      <c r="AY54" s="6"/>
      <c r="AZ54" s="6"/>
      <c r="BA54" t="b">
        <v>0</v>
      </c>
      <c r="BB54" s="6"/>
      <c r="BC54" t="b">
        <v>0</v>
      </c>
      <c r="BD54" s="6"/>
      <c r="BE54" s="6"/>
      <c r="BF54" t="b">
        <v>0</v>
      </c>
      <c r="BG54" s="6"/>
      <c r="BH54" t="b">
        <v>0</v>
      </c>
      <c r="BI54" s="6"/>
      <c r="BJ54" t="b">
        <v>0</v>
      </c>
      <c r="BL54" t="b">
        <v>0</v>
      </c>
      <c r="BM54" t="b">
        <v>0</v>
      </c>
      <c r="BN54" t="b">
        <v>0</v>
      </c>
      <c r="BO54" t="b">
        <v>0</v>
      </c>
      <c r="BQ54" t="b">
        <v>0</v>
      </c>
      <c r="BR54" s="6"/>
      <c r="BT54" t="b">
        <v>0</v>
      </c>
      <c r="BV54" t="s">
        <v>504</v>
      </c>
      <c r="BW54" t="s">
        <v>154</v>
      </c>
      <c r="BX54" t="s">
        <v>261</v>
      </c>
      <c r="BY54" s="6" t="s">
        <v>262</v>
      </c>
      <c r="BZ54">
        <v>1</v>
      </c>
      <c r="CA54" t="s">
        <v>157</v>
      </c>
      <c r="CB54" s="7">
        <v>46315.0537962963</v>
      </c>
    </row>
    <row r="55" spans="1:80">
      <c r="A55" s="6" t="s">
        <v>584</v>
      </c>
      <c r="B55" t="s">
        <v>491</v>
      </c>
      <c r="C55" s="6" t="s">
        <v>492</v>
      </c>
      <c r="D55" s="6"/>
      <c r="E55" t="s">
        <v>493</v>
      </c>
      <c r="F55" t="s">
        <v>494</v>
      </c>
      <c r="G55" s="6">
        <v>16</v>
      </c>
      <c r="H55" s="6" t="s">
        <v>581</v>
      </c>
      <c r="I55" t="s">
        <v>491</v>
      </c>
      <c r="J55" s="3">
        <v>46265</v>
      </c>
      <c r="K55" t="s">
        <v>516</v>
      </c>
      <c r="L55" t="s">
        <v>139</v>
      </c>
      <c r="N55" t="s">
        <v>585</v>
      </c>
      <c r="Q55" t="s">
        <v>248</v>
      </c>
      <c r="X55" s="6"/>
      <c r="Y55" s="6"/>
      <c r="Z55" t="s">
        <v>148</v>
      </c>
      <c r="AD55" s="6"/>
      <c r="AF55" s="3">
        <v>29069</v>
      </c>
      <c r="AG55">
        <v>47</v>
      </c>
      <c r="AH55" t="b">
        <v>0</v>
      </c>
      <c r="AI55" t="b">
        <v>0</v>
      </c>
      <c r="AJ55" s="6"/>
      <c r="AK55" s="6"/>
      <c r="AL55" t="b">
        <v>0</v>
      </c>
      <c r="AM55" s="6"/>
      <c r="AN55" s="6"/>
      <c r="AP55" t="b">
        <v>0</v>
      </c>
      <c r="AQ55" s="6"/>
      <c r="AR55" s="6"/>
      <c r="AT55" t="b">
        <v>0</v>
      </c>
      <c r="AU55" s="6"/>
      <c r="AV55" s="6"/>
      <c r="AX55" t="b">
        <v>0</v>
      </c>
      <c r="AY55" s="6"/>
      <c r="AZ55" s="6"/>
      <c r="BA55" t="b">
        <v>0</v>
      </c>
      <c r="BB55" s="6"/>
      <c r="BC55" t="b">
        <v>0</v>
      </c>
      <c r="BD55" s="6"/>
      <c r="BE55" s="6"/>
      <c r="BF55" t="b">
        <v>0</v>
      </c>
      <c r="BG55" s="6"/>
      <c r="BH55" t="b">
        <v>0</v>
      </c>
      <c r="BI55" s="6"/>
      <c r="BJ55" t="b">
        <v>0</v>
      </c>
      <c r="BL55" t="b">
        <v>0</v>
      </c>
      <c r="BM55" t="b">
        <v>0</v>
      </c>
      <c r="BN55" t="b">
        <v>0</v>
      </c>
      <c r="BO55" t="b">
        <v>0</v>
      </c>
      <c r="BQ55" t="b">
        <v>0</v>
      </c>
      <c r="BR55" s="6"/>
      <c r="BT55" t="b">
        <v>0</v>
      </c>
      <c r="BV55" t="s">
        <v>504</v>
      </c>
      <c r="BW55" t="s">
        <v>171</v>
      </c>
      <c r="BY55" s="6" t="s">
        <v>586</v>
      </c>
      <c r="BZ55">
        <v>1</v>
      </c>
      <c r="CB55" s="7">
        <v>46315.0537962963</v>
      </c>
    </row>
    <row r="56" spans="1:80">
      <c r="A56" s="6" t="s">
        <v>587</v>
      </c>
      <c r="B56" t="s">
        <v>491</v>
      </c>
      <c r="C56" s="6" t="s">
        <v>492</v>
      </c>
      <c r="D56" s="6"/>
      <c r="E56" t="s">
        <v>493</v>
      </c>
      <c r="F56" t="s">
        <v>494</v>
      </c>
      <c r="G56" s="6">
        <v>17</v>
      </c>
      <c r="H56" s="6"/>
      <c r="I56" t="s">
        <v>491</v>
      </c>
      <c r="J56" s="3">
        <v>46265</v>
      </c>
      <c r="K56" t="s">
        <v>495</v>
      </c>
      <c r="L56" t="s">
        <v>139</v>
      </c>
      <c r="N56" t="s">
        <v>223</v>
      </c>
      <c r="Q56" t="s">
        <v>225</v>
      </c>
      <c r="S56" t="s">
        <v>144</v>
      </c>
      <c r="T56" t="s">
        <v>226</v>
      </c>
      <c r="V56" t="s">
        <v>227</v>
      </c>
      <c r="W56" t="s">
        <v>37</v>
      </c>
      <c r="X56" s="6" t="s">
        <v>228</v>
      </c>
      <c r="Y56" s="6"/>
      <c r="Z56" t="s">
        <v>148</v>
      </c>
      <c r="AA56" t="s">
        <v>149</v>
      </c>
      <c r="AC56" t="s">
        <v>150</v>
      </c>
      <c r="AD56" s="6"/>
      <c r="AF56" s="3">
        <v>24202</v>
      </c>
      <c r="AG56">
        <v>60</v>
      </c>
      <c r="AH56" t="b">
        <v>0</v>
      </c>
      <c r="AI56" t="b">
        <v>1</v>
      </c>
      <c r="AJ56" s="6" t="s">
        <v>588</v>
      </c>
      <c r="AK56" s="6" t="s">
        <v>171</v>
      </c>
      <c r="AL56" t="b">
        <v>0</v>
      </c>
      <c r="AM56" s="6"/>
      <c r="AN56" s="6"/>
      <c r="AP56" t="b">
        <v>0</v>
      </c>
      <c r="AQ56" s="6"/>
      <c r="AR56" s="6"/>
      <c r="AT56" t="b">
        <v>0</v>
      </c>
      <c r="AU56" s="6"/>
      <c r="AV56" s="6"/>
      <c r="AX56" t="b">
        <v>0</v>
      </c>
      <c r="AY56" s="6"/>
      <c r="AZ56" s="6"/>
      <c r="BA56" t="b">
        <v>0</v>
      </c>
      <c r="BB56" s="6"/>
      <c r="BC56" t="b">
        <v>0</v>
      </c>
      <c r="BD56" s="6"/>
      <c r="BE56" s="6"/>
      <c r="BF56" t="b">
        <v>0</v>
      </c>
      <c r="BG56" s="6"/>
      <c r="BH56" t="b">
        <v>1</v>
      </c>
      <c r="BI56" s="6" t="s">
        <v>229</v>
      </c>
      <c r="BJ56" t="b">
        <v>1</v>
      </c>
      <c r="BL56" t="b">
        <v>0</v>
      </c>
      <c r="BM56" t="b">
        <v>0</v>
      </c>
      <c r="BN56" t="b">
        <v>0</v>
      </c>
      <c r="BO56" t="b">
        <v>1</v>
      </c>
      <c r="BQ56" t="b">
        <v>0</v>
      </c>
      <c r="BR56" s="6"/>
      <c r="BT56" t="b">
        <v>0</v>
      </c>
      <c r="BU56" t="s">
        <v>503</v>
      </c>
      <c r="BV56" t="s">
        <v>504</v>
      </c>
      <c r="BW56" t="s">
        <v>171</v>
      </c>
      <c r="BY56" s="6" t="s">
        <v>230</v>
      </c>
      <c r="BZ56">
        <v>1</v>
      </c>
      <c r="CB56" s="7">
        <v>46315.0537962963</v>
      </c>
    </row>
    <row r="57" spans="1:80">
      <c r="A57" s="6" t="s">
        <v>589</v>
      </c>
      <c r="B57" t="s">
        <v>491</v>
      </c>
      <c r="C57" s="6" t="s">
        <v>492</v>
      </c>
      <c r="D57" s="6"/>
      <c r="E57" t="s">
        <v>493</v>
      </c>
      <c r="F57" t="s">
        <v>494</v>
      </c>
      <c r="G57" s="6">
        <v>18</v>
      </c>
      <c r="H57" s="6"/>
      <c r="I57" t="s">
        <v>491</v>
      </c>
      <c r="J57" s="3">
        <v>46265</v>
      </c>
      <c r="K57" t="s">
        <v>495</v>
      </c>
      <c r="L57" t="s">
        <v>139</v>
      </c>
      <c r="N57" t="s">
        <v>141</v>
      </c>
      <c r="Q57" t="s">
        <v>143</v>
      </c>
      <c r="S57" t="s">
        <v>144</v>
      </c>
      <c r="T57" t="s">
        <v>145</v>
      </c>
      <c r="V57" t="s">
        <v>146</v>
      </c>
      <c r="W57" t="s">
        <v>33</v>
      </c>
      <c r="X57" s="6" t="s">
        <v>147</v>
      </c>
      <c r="Y57" s="6"/>
      <c r="Z57" t="s">
        <v>148</v>
      </c>
      <c r="AA57" t="s">
        <v>149</v>
      </c>
      <c r="AC57" t="s">
        <v>150</v>
      </c>
      <c r="AD57" s="6"/>
      <c r="AF57" s="3">
        <v>26808</v>
      </c>
      <c r="AG57">
        <v>53</v>
      </c>
      <c r="AH57" t="b">
        <v>0</v>
      </c>
      <c r="AI57" t="b">
        <v>1</v>
      </c>
      <c r="AJ57" s="6" t="s">
        <v>590</v>
      </c>
      <c r="AK57" s="6" t="s">
        <v>171</v>
      </c>
      <c r="AL57" t="b">
        <v>0</v>
      </c>
      <c r="AM57" s="6"/>
      <c r="AN57" s="6"/>
      <c r="AP57" t="b">
        <v>0</v>
      </c>
      <c r="AQ57" s="6"/>
      <c r="AR57" s="6"/>
      <c r="AT57" t="b">
        <v>0</v>
      </c>
      <c r="AU57" s="6"/>
      <c r="AV57" s="6"/>
      <c r="AX57" t="b">
        <v>0</v>
      </c>
      <c r="AY57" s="6"/>
      <c r="AZ57" s="6"/>
      <c r="BA57" t="b">
        <v>0</v>
      </c>
      <c r="BB57" s="6"/>
      <c r="BC57" t="b">
        <v>0</v>
      </c>
      <c r="BD57" s="6"/>
      <c r="BE57" s="6"/>
      <c r="BF57" t="b">
        <v>0</v>
      </c>
      <c r="BG57" s="6"/>
      <c r="BH57" t="b">
        <v>1</v>
      </c>
      <c r="BI57" s="6" t="s">
        <v>151</v>
      </c>
      <c r="BJ57" t="b">
        <v>1</v>
      </c>
      <c r="BL57" t="b">
        <v>0</v>
      </c>
      <c r="BM57" t="b">
        <v>0</v>
      </c>
      <c r="BN57" t="b">
        <v>0</v>
      </c>
      <c r="BO57" t="b">
        <v>1</v>
      </c>
      <c r="BQ57" t="b">
        <v>0</v>
      </c>
      <c r="BR57" s="6"/>
      <c r="BT57" t="b">
        <v>0</v>
      </c>
      <c r="BU57" t="s">
        <v>503</v>
      </c>
      <c r="BV57" t="s">
        <v>504</v>
      </c>
      <c r="BW57" t="s">
        <v>154</v>
      </c>
      <c r="BX57" t="s">
        <v>44</v>
      </c>
      <c r="BY57" s="6" t="s">
        <v>156</v>
      </c>
      <c r="BZ57">
        <v>1</v>
      </c>
      <c r="CA57" t="s">
        <v>157</v>
      </c>
      <c r="CB57" s="7">
        <v>46315.0537962963</v>
      </c>
    </row>
    <row r="58" spans="1:80">
      <c r="A58" s="6" t="s">
        <v>591</v>
      </c>
      <c r="B58" t="s">
        <v>491</v>
      </c>
      <c r="C58" s="6" t="s">
        <v>492</v>
      </c>
      <c r="D58" s="6"/>
      <c r="E58" t="s">
        <v>493</v>
      </c>
      <c r="F58" t="s">
        <v>494</v>
      </c>
      <c r="G58" s="6">
        <v>19</v>
      </c>
      <c r="H58" s="6"/>
      <c r="I58" t="s">
        <v>491</v>
      </c>
      <c r="J58" s="3">
        <v>46265</v>
      </c>
      <c r="K58" t="s">
        <v>495</v>
      </c>
      <c r="L58" t="s">
        <v>139</v>
      </c>
      <c r="N58" t="s">
        <v>592</v>
      </c>
      <c r="Q58" t="s">
        <v>593</v>
      </c>
      <c r="S58" t="s">
        <v>144</v>
      </c>
      <c r="T58" t="s">
        <v>594</v>
      </c>
      <c r="V58" t="s">
        <v>595</v>
      </c>
      <c r="W58" t="s">
        <v>37</v>
      </c>
      <c r="X58" s="6" t="s">
        <v>596</v>
      </c>
      <c r="Y58" s="6"/>
      <c r="Z58" t="s">
        <v>148</v>
      </c>
      <c r="AA58" t="s">
        <v>205</v>
      </c>
      <c r="AC58" t="s">
        <v>150</v>
      </c>
      <c r="AD58" s="6"/>
      <c r="AF58" s="3">
        <v>37086</v>
      </c>
      <c r="AG58">
        <v>25</v>
      </c>
      <c r="AH58" t="b">
        <v>0</v>
      </c>
      <c r="AI58" t="b">
        <v>1</v>
      </c>
      <c r="AJ58" s="6" t="s">
        <v>597</v>
      </c>
      <c r="AK58" s="6" t="s">
        <v>171</v>
      </c>
      <c r="AL58" t="b">
        <v>0</v>
      </c>
      <c r="AM58" s="6"/>
      <c r="AN58" s="6"/>
      <c r="AP58" t="b">
        <v>0</v>
      </c>
      <c r="AQ58" s="6"/>
      <c r="AR58" s="6"/>
      <c r="AT58" t="b">
        <v>0</v>
      </c>
      <c r="AU58" s="6"/>
      <c r="AV58" s="6"/>
      <c r="AX58" t="b">
        <v>0</v>
      </c>
      <c r="AY58" s="6"/>
      <c r="AZ58" s="6"/>
      <c r="BA58" t="b">
        <v>0</v>
      </c>
      <c r="BB58" s="6"/>
      <c r="BC58" t="b">
        <v>0</v>
      </c>
      <c r="BD58" s="6"/>
      <c r="BE58" s="6"/>
      <c r="BF58" t="b">
        <v>0</v>
      </c>
      <c r="BG58" s="6"/>
      <c r="BH58" t="b">
        <v>1</v>
      </c>
      <c r="BI58" s="6" t="s">
        <v>598</v>
      </c>
      <c r="BJ58" t="b">
        <v>1</v>
      </c>
      <c r="BL58" t="b">
        <v>0</v>
      </c>
      <c r="BM58" t="b">
        <v>0</v>
      </c>
      <c r="BN58" t="b">
        <v>0</v>
      </c>
      <c r="BO58" t="b">
        <v>1</v>
      </c>
      <c r="BQ58" t="b">
        <v>0</v>
      </c>
      <c r="BR58" s="6"/>
      <c r="BT58" t="b">
        <v>0</v>
      </c>
      <c r="BU58" t="s">
        <v>503</v>
      </c>
      <c r="BV58" t="s">
        <v>504</v>
      </c>
      <c r="BW58" t="s">
        <v>154</v>
      </c>
      <c r="BX58" t="s">
        <v>43</v>
      </c>
      <c r="BY58" s="6" t="s">
        <v>599</v>
      </c>
      <c r="BZ58">
        <v>1</v>
      </c>
      <c r="CA58" t="s">
        <v>157</v>
      </c>
      <c r="CB58" s="7">
        <v>46315.0537962963</v>
      </c>
    </row>
    <row r="59" spans="1:80">
      <c r="A59" s="6" t="s">
        <v>600</v>
      </c>
      <c r="B59" t="s">
        <v>491</v>
      </c>
      <c r="C59" s="6" t="s">
        <v>492</v>
      </c>
      <c r="D59" s="6"/>
      <c r="E59" t="s">
        <v>493</v>
      </c>
      <c r="F59" t="s">
        <v>494</v>
      </c>
      <c r="G59" s="6">
        <v>20</v>
      </c>
      <c r="H59" s="6"/>
      <c r="I59" t="s">
        <v>491</v>
      </c>
      <c r="J59" s="3">
        <v>46265</v>
      </c>
      <c r="K59" t="s">
        <v>495</v>
      </c>
      <c r="L59" t="s">
        <v>139</v>
      </c>
      <c r="N59" t="s">
        <v>188</v>
      </c>
      <c r="Q59" t="s">
        <v>601</v>
      </c>
      <c r="S59" t="s">
        <v>144</v>
      </c>
      <c r="T59" t="s">
        <v>602</v>
      </c>
      <c r="V59" t="s">
        <v>603</v>
      </c>
      <c r="W59" t="s">
        <v>40</v>
      </c>
      <c r="X59" s="6" t="s">
        <v>604</v>
      </c>
      <c r="Y59" s="6"/>
      <c r="Z59" t="s">
        <v>148</v>
      </c>
      <c r="AA59" t="s">
        <v>149</v>
      </c>
      <c r="AC59" t="s">
        <v>150</v>
      </c>
      <c r="AD59" s="6"/>
      <c r="AF59" s="3">
        <v>27588</v>
      </c>
      <c r="AG59">
        <v>51</v>
      </c>
      <c r="AH59" t="b">
        <v>0</v>
      </c>
      <c r="AI59" t="b">
        <v>1</v>
      </c>
      <c r="AJ59" s="6" t="s">
        <v>605</v>
      </c>
      <c r="AK59" s="6" t="s">
        <v>171</v>
      </c>
      <c r="AL59" t="b">
        <v>0</v>
      </c>
      <c r="AM59" s="6"/>
      <c r="AN59" s="6"/>
      <c r="AP59" t="b">
        <v>0</v>
      </c>
      <c r="AQ59" s="6"/>
      <c r="AR59" s="6"/>
      <c r="AT59" t="b">
        <v>0</v>
      </c>
      <c r="AU59" s="6"/>
      <c r="AV59" s="6"/>
      <c r="AX59" t="b">
        <v>0</v>
      </c>
      <c r="AY59" s="6"/>
      <c r="AZ59" s="6"/>
      <c r="BA59" t="b">
        <v>0</v>
      </c>
      <c r="BB59" s="6"/>
      <c r="BC59" t="b">
        <v>0</v>
      </c>
      <c r="BD59" s="6"/>
      <c r="BE59" s="6"/>
      <c r="BF59" t="b">
        <v>0</v>
      </c>
      <c r="BG59" s="6"/>
      <c r="BH59" t="b">
        <v>1</v>
      </c>
      <c r="BI59" s="6" t="s">
        <v>606</v>
      </c>
      <c r="BJ59" t="b">
        <v>1</v>
      </c>
      <c r="BL59" t="b">
        <v>0</v>
      </c>
      <c r="BM59" t="b">
        <v>0</v>
      </c>
      <c r="BN59" t="b">
        <v>0</v>
      </c>
      <c r="BO59" t="b">
        <v>1</v>
      </c>
      <c r="BQ59" t="b">
        <v>0</v>
      </c>
      <c r="BR59" s="6"/>
      <c r="BT59" t="b">
        <v>0</v>
      </c>
      <c r="BU59" t="s">
        <v>503</v>
      </c>
      <c r="BV59" t="s">
        <v>504</v>
      </c>
      <c r="BW59" t="s">
        <v>171</v>
      </c>
      <c r="BY59" s="6" t="s">
        <v>607</v>
      </c>
      <c r="BZ59">
        <v>1</v>
      </c>
      <c r="CB59" s="7">
        <v>46315.0537962963</v>
      </c>
    </row>
    <row r="60" spans="1:80">
      <c r="A60" s="6" t="s">
        <v>608</v>
      </c>
      <c r="B60" t="s">
        <v>491</v>
      </c>
      <c r="C60" s="6" t="s">
        <v>492</v>
      </c>
      <c r="D60" s="6"/>
      <c r="E60" t="s">
        <v>493</v>
      </c>
      <c r="F60" t="s">
        <v>494</v>
      </c>
      <c r="G60" s="6">
        <v>21</v>
      </c>
      <c r="H60" s="6"/>
      <c r="I60" t="s">
        <v>491</v>
      </c>
      <c r="J60" s="3">
        <v>46265</v>
      </c>
      <c r="K60" t="s">
        <v>495</v>
      </c>
      <c r="L60" t="s">
        <v>139</v>
      </c>
      <c r="N60" t="s">
        <v>177</v>
      </c>
      <c r="Q60" t="s">
        <v>179</v>
      </c>
      <c r="S60" t="s">
        <v>144</v>
      </c>
      <c r="T60" t="s">
        <v>180</v>
      </c>
      <c r="V60" t="s">
        <v>181</v>
      </c>
      <c r="W60" t="s">
        <v>40</v>
      </c>
      <c r="X60" s="6" t="s">
        <v>182</v>
      </c>
      <c r="Y60" s="6"/>
      <c r="Z60" t="s">
        <v>148</v>
      </c>
      <c r="AA60" t="s">
        <v>149</v>
      </c>
      <c r="AC60" t="s">
        <v>150</v>
      </c>
      <c r="AD60" s="6"/>
      <c r="AF60" s="3">
        <v>31930</v>
      </c>
      <c r="AG60">
        <v>39</v>
      </c>
      <c r="AH60" t="b">
        <v>0</v>
      </c>
      <c r="AI60" t="b">
        <v>1</v>
      </c>
      <c r="AJ60" s="6" t="s">
        <v>387</v>
      </c>
      <c r="AK60" s="6" t="s">
        <v>171</v>
      </c>
      <c r="AL60" t="b">
        <v>0</v>
      </c>
      <c r="AM60" s="6"/>
      <c r="AN60" s="6"/>
      <c r="AP60" t="b">
        <v>0</v>
      </c>
      <c r="AQ60" s="6"/>
      <c r="AR60" s="6"/>
      <c r="AT60" t="b">
        <v>0</v>
      </c>
      <c r="AU60" s="6"/>
      <c r="AV60" s="6"/>
      <c r="AX60" t="b">
        <v>0</v>
      </c>
      <c r="AY60" s="6"/>
      <c r="AZ60" s="6"/>
      <c r="BA60" t="b">
        <v>0</v>
      </c>
      <c r="BB60" s="6"/>
      <c r="BC60" t="b">
        <v>0</v>
      </c>
      <c r="BD60" s="6"/>
      <c r="BE60" s="6"/>
      <c r="BF60" t="b">
        <v>0</v>
      </c>
      <c r="BG60" s="6"/>
      <c r="BH60" t="b">
        <v>1</v>
      </c>
      <c r="BI60" s="6" t="s">
        <v>183</v>
      </c>
      <c r="BJ60" t="b">
        <v>1</v>
      </c>
      <c r="BL60" t="b">
        <v>0</v>
      </c>
      <c r="BM60" t="b">
        <v>0</v>
      </c>
      <c r="BN60" t="b">
        <v>0</v>
      </c>
      <c r="BO60" t="b">
        <v>1</v>
      </c>
      <c r="BQ60" t="b">
        <v>0</v>
      </c>
      <c r="BR60" s="6"/>
      <c r="BT60" t="b">
        <v>0</v>
      </c>
      <c r="BU60" t="s">
        <v>503</v>
      </c>
      <c r="BV60" t="s">
        <v>504</v>
      </c>
      <c r="BW60" t="s">
        <v>171</v>
      </c>
      <c r="BY60" s="6" t="s">
        <v>184</v>
      </c>
      <c r="BZ60">
        <v>1</v>
      </c>
      <c r="CB60" s="7">
        <v>46315.0537962963</v>
      </c>
    </row>
    <row r="61" spans="1:80">
      <c r="A61" s="6" t="s">
        <v>609</v>
      </c>
      <c r="B61" t="s">
        <v>491</v>
      </c>
      <c r="C61" s="6" t="s">
        <v>492</v>
      </c>
      <c r="D61" s="6"/>
      <c r="E61" t="s">
        <v>493</v>
      </c>
      <c r="F61" t="s">
        <v>494</v>
      </c>
      <c r="G61" s="6">
        <v>22</v>
      </c>
      <c r="H61" s="6"/>
      <c r="I61" t="s">
        <v>491</v>
      </c>
      <c r="J61" s="3">
        <v>46265</v>
      </c>
      <c r="K61" t="s">
        <v>495</v>
      </c>
      <c r="L61" t="s">
        <v>139</v>
      </c>
      <c r="N61" t="s">
        <v>610</v>
      </c>
      <c r="Q61" t="s">
        <v>611</v>
      </c>
      <c r="S61" t="s">
        <v>144</v>
      </c>
      <c r="T61" t="s">
        <v>612</v>
      </c>
      <c r="U61" t="s">
        <v>613</v>
      </c>
      <c r="V61" t="s">
        <v>614</v>
      </c>
      <c r="W61" t="s">
        <v>39</v>
      </c>
      <c r="X61" s="6" t="s">
        <v>615</v>
      </c>
      <c r="Y61" s="6"/>
      <c r="Z61" t="s">
        <v>148</v>
      </c>
      <c r="AA61" t="s">
        <v>205</v>
      </c>
      <c r="AC61" t="s">
        <v>150</v>
      </c>
      <c r="AD61" s="6"/>
      <c r="AF61" s="3">
        <v>28350</v>
      </c>
      <c r="AG61">
        <v>49</v>
      </c>
      <c r="AH61" t="b">
        <v>0</v>
      </c>
      <c r="AI61" t="b">
        <v>1</v>
      </c>
      <c r="AJ61" s="6" t="s">
        <v>616</v>
      </c>
      <c r="AK61" s="6" t="s">
        <v>171</v>
      </c>
      <c r="AL61" t="b">
        <v>0</v>
      </c>
      <c r="AM61" s="6"/>
      <c r="AN61" s="6"/>
      <c r="AP61" t="b">
        <v>0</v>
      </c>
      <c r="AQ61" s="6"/>
      <c r="AR61" s="6"/>
      <c r="AT61" t="b">
        <v>0</v>
      </c>
      <c r="AU61" s="6"/>
      <c r="AV61" s="6"/>
      <c r="AX61" t="b">
        <v>0</v>
      </c>
      <c r="AY61" s="6"/>
      <c r="AZ61" s="6"/>
      <c r="BA61" t="b">
        <v>0</v>
      </c>
      <c r="BB61" s="6"/>
      <c r="BC61" t="b">
        <v>0</v>
      </c>
      <c r="BD61" s="6"/>
      <c r="BE61" s="6"/>
      <c r="BF61" t="b">
        <v>0</v>
      </c>
      <c r="BG61" s="6"/>
      <c r="BH61" t="b">
        <v>1</v>
      </c>
      <c r="BI61" s="6" t="s">
        <v>617</v>
      </c>
      <c r="BJ61" t="b">
        <v>1</v>
      </c>
      <c r="BL61" t="b">
        <v>0</v>
      </c>
      <c r="BM61" t="b">
        <v>0</v>
      </c>
      <c r="BN61" t="b">
        <v>0</v>
      </c>
      <c r="BO61" t="b">
        <v>1</v>
      </c>
      <c r="BQ61" t="b">
        <v>0</v>
      </c>
      <c r="BR61" s="6"/>
      <c r="BT61" t="b">
        <v>0</v>
      </c>
      <c r="BU61" t="s">
        <v>503</v>
      </c>
      <c r="BV61" t="s">
        <v>504</v>
      </c>
      <c r="BW61" t="s">
        <v>154</v>
      </c>
      <c r="BX61" t="s">
        <v>618</v>
      </c>
      <c r="BY61" s="6" t="s">
        <v>619</v>
      </c>
      <c r="BZ61">
        <v>1</v>
      </c>
      <c r="CA61" t="s">
        <v>157</v>
      </c>
      <c r="CB61" s="7">
        <v>46315.0537962963</v>
      </c>
    </row>
    <row r="62" spans="1:80">
      <c r="A62" s="6" t="s">
        <v>620</v>
      </c>
      <c r="B62" t="s">
        <v>491</v>
      </c>
      <c r="C62" s="6" t="s">
        <v>492</v>
      </c>
      <c r="D62" s="6"/>
      <c r="E62" t="s">
        <v>493</v>
      </c>
      <c r="F62" t="s">
        <v>494</v>
      </c>
      <c r="G62" s="6">
        <v>22</v>
      </c>
      <c r="H62" s="6" t="s">
        <v>609</v>
      </c>
      <c r="I62" t="s">
        <v>491</v>
      </c>
      <c r="J62" s="3">
        <v>46265</v>
      </c>
      <c r="K62" t="s">
        <v>516</v>
      </c>
      <c r="L62" t="s">
        <v>139</v>
      </c>
      <c r="N62" t="s">
        <v>621</v>
      </c>
      <c r="Q62" t="s">
        <v>611</v>
      </c>
      <c r="X62" s="6"/>
      <c r="Y62" s="6"/>
      <c r="Z62" t="s">
        <v>148</v>
      </c>
      <c r="AD62" s="6"/>
      <c r="AF62" s="3">
        <v>38496</v>
      </c>
      <c r="AG62">
        <v>21</v>
      </c>
      <c r="AH62" t="b">
        <v>0</v>
      </c>
      <c r="AI62" t="b">
        <v>0</v>
      </c>
      <c r="AJ62" s="6"/>
      <c r="AK62" s="6"/>
      <c r="AL62" t="b">
        <v>0</v>
      </c>
      <c r="AM62" s="6"/>
      <c r="AN62" s="6"/>
      <c r="AP62" t="b">
        <v>0</v>
      </c>
      <c r="AQ62" s="6"/>
      <c r="AR62" s="6"/>
      <c r="AT62" t="b">
        <v>0</v>
      </c>
      <c r="AU62" s="6"/>
      <c r="AV62" s="6"/>
      <c r="AX62" t="b">
        <v>0</v>
      </c>
      <c r="AY62" s="6"/>
      <c r="AZ62" s="6"/>
      <c r="BA62" t="b">
        <v>0</v>
      </c>
      <c r="BB62" s="6"/>
      <c r="BC62" t="b">
        <v>0</v>
      </c>
      <c r="BD62" s="6"/>
      <c r="BE62" s="6"/>
      <c r="BF62" t="b">
        <v>0</v>
      </c>
      <c r="BG62" s="6"/>
      <c r="BH62" t="b">
        <v>0</v>
      </c>
      <c r="BI62" s="6"/>
      <c r="BJ62" t="b">
        <v>0</v>
      </c>
      <c r="BL62" t="b">
        <v>0</v>
      </c>
      <c r="BM62" t="b">
        <v>0</v>
      </c>
      <c r="BN62" t="b">
        <v>0</v>
      </c>
      <c r="BO62" t="b">
        <v>0</v>
      </c>
      <c r="BQ62" t="b">
        <v>0</v>
      </c>
      <c r="BR62" s="6"/>
      <c r="BT62" t="b">
        <v>0</v>
      </c>
      <c r="BV62" t="s">
        <v>504</v>
      </c>
      <c r="BW62" t="s">
        <v>171</v>
      </c>
      <c r="BY62" s="6" t="s">
        <v>622</v>
      </c>
      <c r="BZ62">
        <v>1</v>
      </c>
      <c r="CB62" s="7">
        <v>46315.0537962963</v>
      </c>
    </row>
    <row r="63" spans="1:80">
      <c r="A63" s="6" t="s">
        <v>623</v>
      </c>
      <c r="B63" t="s">
        <v>491</v>
      </c>
      <c r="C63" s="6" t="s">
        <v>492</v>
      </c>
      <c r="D63" s="6"/>
      <c r="E63" t="s">
        <v>493</v>
      </c>
      <c r="F63" t="s">
        <v>494</v>
      </c>
      <c r="G63" s="6">
        <v>22</v>
      </c>
      <c r="H63" s="6" t="s">
        <v>609</v>
      </c>
      <c r="I63" t="s">
        <v>491</v>
      </c>
      <c r="J63" s="3">
        <v>46265</v>
      </c>
      <c r="K63" t="s">
        <v>516</v>
      </c>
      <c r="L63" t="s">
        <v>139</v>
      </c>
      <c r="N63" t="s">
        <v>624</v>
      </c>
      <c r="Q63" t="s">
        <v>611</v>
      </c>
      <c r="X63" s="6"/>
      <c r="Y63" s="6"/>
      <c r="Z63" t="s">
        <v>148</v>
      </c>
      <c r="AD63" s="6"/>
      <c r="AF63" s="3">
        <v>38434</v>
      </c>
      <c r="AG63">
        <v>21</v>
      </c>
      <c r="AH63" t="b">
        <v>0</v>
      </c>
      <c r="AI63" t="b">
        <v>0</v>
      </c>
      <c r="AJ63" s="6"/>
      <c r="AK63" s="6"/>
      <c r="AL63" t="b">
        <v>0</v>
      </c>
      <c r="AM63" s="6"/>
      <c r="AN63" s="6"/>
      <c r="AP63" t="b">
        <v>0</v>
      </c>
      <c r="AQ63" s="6"/>
      <c r="AR63" s="6"/>
      <c r="AT63" t="b">
        <v>0</v>
      </c>
      <c r="AU63" s="6"/>
      <c r="AV63" s="6"/>
      <c r="AX63" t="b">
        <v>0</v>
      </c>
      <c r="AY63" s="6"/>
      <c r="AZ63" s="6"/>
      <c r="BA63" t="b">
        <v>0</v>
      </c>
      <c r="BB63" s="6"/>
      <c r="BC63" t="b">
        <v>0</v>
      </c>
      <c r="BD63" s="6"/>
      <c r="BE63" s="6"/>
      <c r="BF63" t="b">
        <v>0</v>
      </c>
      <c r="BG63" s="6"/>
      <c r="BH63" t="b">
        <v>0</v>
      </c>
      <c r="BI63" s="6"/>
      <c r="BJ63" t="b">
        <v>0</v>
      </c>
      <c r="BL63" t="b">
        <v>0</v>
      </c>
      <c r="BM63" t="b">
        <v>0</v>
      </c>
      <c r="BN63" t="b">
        <v>0</v>
      </c>
      <c r="BO63" t="b">
        <v>0</v>
      </c>
      <c r="BQ63" t="b">
        <v>0</v>
      </c>
      <c r="BR63" s="6"/>
      <c r="BT63" t="b">
        <v>0</v>
      </c>
      <c r="BV63" t="s">
        <v>504</v>
      </c>
      <c r="BW63" t="s">
        <v>171</v>
      </c>
      <c r="BY63" s="6" t="s">
        <v>625</v>
      </c>
      <c r="BZ63">
        <v>1</v>
      </c>
      <c r="CB63" s="7">
        <v>46315.0537962963</v>
      </c>
    </row>
    <row r="64" spans="1:80">
      <c r="A64" s="6" t="s">
        <v>626</v>
      </c>
      <c r="B64" t="s">
        <v>491</v>
      </c>
      <c r="C64" s="6" t="s">
        <v>492</v>
      </c>
      <c r="D64" s="6"/>
      <c r="E64" t="s">
        <v>493</v>
      </c>
      <c r="F64" t="s">
        <v>494</v>
      </c>
      <c r="G64" s="6">
        <v>23</v>
      </c>
      <c r="H64" s="6"/>
      <c r="I64" t="s">
        <v>491</v>
      </c>
      <c r="J64" s="3">
        <v>46265</v>
      </c>
      <c r="K64" t="s">
        <v>495</v>
      </c>
      <c r="L64" t="s">
        <v>139</v>
      </c>
      <c r="N64" t="s">
        <v>281</v>
      </c>
      <c r="Q64" t="s">
        <v>282</v>
      </c>
      <c r="S64" t="s">
        <v>144</v>
      </c>
      <c r="T64" t="s">
        <v>283</v>
      </c>
      <c r="V64" t="s">
        <v>284</v>
      </c>
      <c r="W64" t="s">
        <v>39</v>
      </c>
      <c r="X64" s="6" t="s">
        <v>627</v>
      </c>
      <c r="Y64" s="6"/>
      <c r="Z64" t="s">
        <v>148</v>
      </c>
      <c r="AA64" t="s">
        <v>149</v>
      </c>
      <c r="AC64" t="s">
        <v>150</v>
      </c>
      <c r="AD64" s="6"/>
      <c r="AF64" s="3">
        <v>25182</v>
      </c>
      <c r="AG64">
        <v>57</v>
      </c>
      <c r="AH64" t="b">
        <v>0</v>
      </c>
      <c r="AI64" t="b">
        <v>1</v>
      </c>
      <c r="AJ64" s="6" t="s">
        <v>628</v>
      </c>
      <c r="AK64" s="6" t="s">
        <v>171</v>
      </c>
      <c r="AL64" t="b">
        <v>0</v>
      </c>
      <c r="AM64" s="6"/>
      <c r="AN64" s="6"/>
      <c r="AP64" t="b">
        <v>0</v>
      </c>
      <c r="AQ64" s="6"/>
      <c r="AR64" s="6"/>
      <c r="AT64" t="b">
        <v>0</v>
      </c>
      <c r="AU64" s="6"/>
      <c r="AV64" s="6"/>
      <c r="AX64" t="b">
        <v>0</v>
      </c>
      <c r="AY64" s="6"/>
      <c r="AZ64" s="6"/>
      <c r="BA64" t="b">
        <v>0</v>
      </c>
      <c r="BB64" s="6"/>
      <c r="BC64" t="b">
        <v>0</v>
      </c>
      <c r="BD64" s="6"/>
      <c r="BE64" s="6"/>
      <c r="BF64" t="b">
        <v>0</v>
      </c>
      <c r="BG64" s="6"/>
      <c r="BH64" t="b">
        <v>1</v>
      </c>
      <c r="BI64" s="6" t="s">
        <v>287</v>
      </c>
      <c r="BJ64" t="b">
        <v>1</v>
      </c>
      <c r="BL64" t="b">
        <v>0</v>
      </c>
      <c r="BM64" t="b">
        <v>0</v>
      </c>
      <c r="BN64" t="b">
        <v>0</v>
      </c>
      <c r="BO64" t="b">
        <v>1</v>
      </c>
      <c r="BQ64" t="b">
        <v>0</v>
      </c>
      <c r="BR64" s="6"/>
      <c r="BT64" t="b">
        <v>0</v>
      </c>
      <c r="BU64" t="s">
        <v>503</v>
      </c>
      <c r="BV64" t="s">
        <v>504</v>
      </c>
      <c r="BW64" t="s">
        <v>171</v>
      </c>
      <c r="BY64" s="6" t="s">
        <v>291</v>
      </c>
      <c r="BZ64">
        <v>0.9</v>
      </c>
      <c r="CB64" s="7">
        <v>46315.0537962963</v>
      </c>
    </row>
    <row r="65" spans="1:80">
      <c r="A65" s="6" t="s">
        <v>629</v>
      </c>
      <c r="B65" t="s">
        <v>491</v>
      </c>
      <c r="C65" s="6" t="s">
        <v>492</v>
      </c>
      <c r="D65" s="6"/>
      <c r="E65" t="s">
        <v>493</v>
      </c>
      <c r="F65" t="s">
        <v>494</v>
      </c>
      <c r="G65" s="6">
        <v>24</v>
      </c>
      <c r="H65" s="6"/>
      <c r="I65" t="s">
        <v>491</v>
      </c>
      <c r="J65" s="3">
        <v>46265</v>
      </c>
      <c r="K65" t="s">
        <v>495</v>
      </c>
      <c r="L65" t="s">
        <v>139</v>
      </c>
      <c r="N65" t="s">
        <v>371</v>
      </c>
      <c r="Q65" t="s">
        <v>372</v>
      </c>
      <c r="S65" t="s">
        <v>144</v>
      </c>
      <c r="T65" t="s">
        <v>373</v>
      </c>
      <c r="U65" t="s">
        <v>374</v>
      </c>
      <c r="V65" t="s">
        <v>375</v>
      </c>
      <c r="W65" t="s">
        <v>33</v>
      </c>
      <c r="X65" s="6" t="s">
        <v>376</v>
      </c>
      <c r="Y65" s="6"/>
      <c r="Z65" t="s">
        <v>148</v>
      </c>
      <c r="AA65" t="s">
        <v>149</v>
      </c>
      <c r="AC65" t="s">
        <v>150</v>
      </c>
      <c r="AD65" s="6"/>
      <c r="AF65" s="3">
        <v>23557</v>
      </c>
      <c r="AG65">
        <v>62</v>
      </c>
      <c r="AH65" t="b">
        <v>0</v>
      </c>
      <c r="AI65" t="b">
        <v>1</v>
      </c>
      <c r="AJ65" s="6" t="s">
        <v>379</v>
      </c>
      <c r="AK65" s="6" t="s">
        <v>171</v>
      </c>
      <c r="AL65" t="b">
        <v>0</v>
      </c>
      <c r="AM65" s="6"/>
      <c r="AN65" s="6"/>
      <c r="AP65" t="b">
        <v>0</v>
      </c>
      <c r="AQ65" s="6"/>
      <c r="AR65" s="6"/>
      <c r="AT65" t="b">
        <v>0</v>
      </c>
      <c r="AU65" s="6"/>
      <c r="AV65" s="6"/>
      <c r="AX65" t="b">
        <v>0</v>
      </c>
      <c r="AY65" s="6"/>
      <c r="AZ65" s="6"/>
      <c r="BA65" t="b">
        <v>0</v>
      </c>
      <c r="BB65" s="6"/>
      <c r="BC65" t="b">
        <v>0</v>
      </c>
      <c r="BD65" s="6"/>
      <c r="BE65" s="6"/>
      <c r="BF65" t="b">
        <v>0</v>
      </c>
      <c r="BG65" s="6"/>
      <c r="BH65" t="b">
        <v>1</v>
      </c>
      <c r="BI65" s="6" t="s">
        <v>630</v>
      </c>
      <c r="BJ65" t="b">
        <v>1</v>
      </c>
      <c r="BL65" t="b">
        <v>0</v>
      </c>
      <c r="BM65" t="b">
        <v>0</v>
      </c>
      <c r="BN65" t="b">
        <v>0</v>
      </c>
      <c r="BO65" t="b">
        <v>1</v>
      </c>
      <c r="BQ65" t="b">
        <v>0</v>
      </c>
      <c r="BR65" s="6"/>
      <c r="BT65" t="b">
        <v>0</v>
      </c>
      <c r="BU65" t="s">
        <v>503</v>
      </c>
      <c r="BV65" t="s">
        <v>504</v>
      </c>
      <c r="BW65" t="s">
        <v>171</v>
      </c>
      <c r="BX65" t="s">
        <v>50</v>
      </c>
      <c r="BY65" s="6" t="s">
        <v>382</v>
      </c>
      <c r="BZ65">
        <v>1</v>
      </c>
      <c r="CB65" s="7">
        <v>46315.0537962963</v>
      </c>
    </row>
    <row r="66" spans="1:80">
      <c r="A66" s="6" t="s">
        <v>631</v>
      </c>
      <c r="B66" t="s">
        <v>491</v>
      </c>
      <c r="C66" s="6" t="s">
        <v>492</v>
      </c>
      <c r="D66" s="6"/>
      <c r="E66" t="s">
        <v>493</v>
      </c>
      <c r="F66" t="s">
        <v>494</v>
      </c>
      <c r="G66" s="6">
        <v>25</v>
      </c>
      <c r="H66" s="6"/>
      <c r="I66" t="s">
        <v>491</v>
      </c>
      <c r="J66" s="3">
        <v>46265</v>
      </c>
      <c r="K66" t="s">
        <v>495</v>
      </c>
      <c r="L66" t="s">
        <v>139</v>
      </c>
      <c r="N66" t="s">
        <v>199</v>
      </c>
      <c r="Q66" t="s">
        <v>200</v>
      </c>
      <c r="R66" t="s">
        <v>201</v>
      </c>
      <c r="S66" t="s">
        <v>144</v>
      </c>
      <c r="T66" t="s">
        <v>202</v>
      </c>
      <c r="V66" t="s">
        <v>203</v>
      </c>
      <c r="W66" t="s">
        <v>34</v>
      </c>
      <c r="X66" s="6" t="s">
        <v>204</v>
      </c>
      <c r="Y66" s="6"/>
      <c r="Z66" t="s">
        <v>148</v>
      </c>
      <c r="AA66" t="s">
        <v>205</v>
      </c>
      <c r="AC66" t="s">
        <v>150</v>
      </c>
      <c r="AD66" s="6"/>
      <c r="AF66" s="3">
        <v>36152</v>
      </c>
      <c r="AG66">
        <v>27</v>
      </c>
      <c r="AH66" t="b">
        <v>0</v>
      </c>
      <c r="AI66" t="b">
        <v>1</v>
      </c>
      <c r="AJ66" s="6" t="s">
        <v>632</v>
      </c>
      <c r="AK66" s="6" t="s">
        <v>171</v>
      </c>
      <c r="AL66" t="b">
        <v>0</v>
      </c>
      <c r="AM66" s="6"/>
      <c r="AN66" s="6"/>
      <c r="AP66" t="b">
        <v>0</v>
      </c>
      <c r="AQ66" s="6"/>
      <c r="AR66" s="6"/>
      <c r="AT66" t="b">
        <v>0</v>
      </c>
      <c r="AU66" s="6"/>
      <c r="AV66" s="6"/>
      <c r="AX66" t="b">
        <v>0</v>
      </c>
      <c r="AY66" s="6"/>
      <c r="AZ66" s="6"/>
      <c r="BA66" t="b">
        <v>0</v>
      </c>
      <c r="BB66" s="6"/>
      <c r="BC66" t="b">
        <v>0</v>
      </c>
      <c r="BD66" s="6"/>
      <c r="BE66" s="6"/>
      <c r="BF66" t="b">
        <v>0</v>
      </c>
      <c r="BG66" s="6"/>
      <c r="BH66" t="b">
        <v>1</v>
      </c>
      <c r="BI66" s="6" t="s">
        <v>206</v>
      </c>
      <c r="BJ66" t="b">
        <v>1</v>
      </c>
      <c r="BL66" t="b">
        <v>0</v>
      </c>
      <c r="BM66" t="b">
        <v>0</v>
      </c>
      <c r="BN66" t="b">
        <v>0</v>
      </c>
      <c r="BO66" t="b">
        <v>1</v>
      </c>
      <c r="BQ66" t="b">
        <v>0</v>
      </c>
      <c r="BR66" s="6"/>
      <c r="BT66" t="b">
        <v>0</v>
      </c>
      <c r="BU66" t="s">
        <v>503</v>
      </c>
      <c r="BV66" t="s">
        <v>504</v>
      </c>
      <c r="BW66" t="s">
        <v>154</v>
      </c>
      <c r="BX66" t="s">
        <v>43</v>
      </c>
      <c r="BY66" s="6" t="s">
        <v>207</v>
      </c>
      <c r="BZ66">
        <v>1</v>
      </c>
      <c r="CA66" t="s">
        <v>157</v>
      </c>
      <c r="CB66" s="7">
        <v>46315.0537962963</v>
      </c>
    </row>
    <row r="67" spans="1:80">
      <c r="A67" s="6" t="s">
        <v>633</v>
      </c>
      <c r="B67" t="s">
        <v>491</v>
      </c>
      <c r="C67" s="6" t="s">
        <v>492</v>
      </c>
      <c r="D67" s="6"/>
      <c r="E67" t="s">
        <v>493</v>
      </c>
      <c r="F67" t="s">
        <v>494</v>
      </c>
      <c r="G67" s="6">
        <v>26</v>
      </c>
      <c r="H67" s="6"/>
      <c r="I67" t="s">
        <v>491</v>
      </c>
      <c r="J67" s="3">
        <v>46265</v>
      </c>
      <c r="K67" t="s">
        <v>495</v>
      </c>
      <c r="L67" t="s">
        <v>139</v>
      </c>
      <c r="N67" t="s">
        <v>407</v>
      </c>
      <c r="Q67" t="s">
        <v>408</v>
      </c>
      <c r="S67" t="s">
        <v>144</v>
      </c>
      <c r="T67" t="s">
        <v>409</v>
      </c>
      <c r="V67" t="s">
        <v>410</v>
      </c>
      <c r="W67" t="s">
        <v>39</v>
      </c>
      <c r="X67" s="6" t="s">
        <v>411</v>
      </c>
      <c r="Y67" s="6"/>
      <c r="Z67" t="s">
        <v>148</v>
      </c>
      <c r="AA67" t="s">
        <v>149</v>
      </c>
      <c r="AC67" t="s">
        <v>150</v>
      </c>
      <c r="AD67" s="6"/>
      <c r="AF67" s="3">
        <v>20473</v>
      </c>
      <c r="AG67">
        <v>70</v>
      </c>
      <c r="AH67" t="b">
        <v>0</v>
      </c>
      <c r="AI67" t="b">
        <v>1</v>
      </c>
      <c r="AJ67" s="6" t="s">
        <v>413</v>
      </c>
      <c r="AK67" s="6" t="s">
        <v>171</v>
      </c>
      <c r="AL67" t="b">
        <v>0</v>
      </c>
      <c r="AM67" s="6"/>
      <c r="AN67" s="6"/>
      <c r="AP67" t="b">
        <v>0</v>
      </c>
      <c r="AQ67" s="6"/>
      <c r="AR67" s="6"/>
      <c r="AT67" t="b">
        <v>0</v>
      </c>
      <c r="AU67" s="6"/>
      <c r="AV67" s="6"/>
      <c r="AX67" t="b">
        <v>0</v>
      </c>
      <c r="AY67" s="6"/>
      <c r="AZ67" s="6"/>
      <c r="BA67" t="b">
        <v>0</v>
      </c>
      <c r="BB67" s="6"/>
      <c r="BC67" t="b">
        <v>0</v>
      </c>
      <c r="BD67" s="6"/>
      <c r="BE67" s="6"/>
      <c r="BF67" t="b">
        <v>0</v>
      </c>
      <c r="BG67" s="6"/>
      <c r="BH67" t="b">
        <v>1</v>
      </c>
      <c r="BI67" s="6" t="s">
        <v>634</v>
      </c>
      <c r="BJ67" t="b">
        <v>1</v>
      </c>
      <c r="BL67" t="b">
        <v>0</v>
      </c>
      <c r="BM67" t="b">
        <v>0</v>
      </c>
      <c r="BN67" t="b">
        <v>0</v>
      </c>
      <c r="BO67" t="b">
        <v>1</v>
      </c>
      <c r="BQ67" t="b">
        <v>0</v>
      </c>
      <c r="BR67" s="6"/>
      <c r="BT67" t="b">
        <v>0</v>
      </c>
      <c r="BU67" t="s">
        <v>503</v>
      </c>
      <c r="BV67" t="s">
        <v>504</v>
      </c>
      <c r="BW67" t="s">
        <v>171</v>
      </c>
      <c r="BY67" s="6" t="s">
        <v>416</v>
      </c>
      <c r="BZ67">
        <v>1</v>
      </c>
      <c r="CB67" s="7">
        <v>46315.0537962963</v>
      </c>
    </row>
    <row r="68" spans="1:80">
      <c r="A68" s="6" t="s">
        <v>635</v>
      </c>
      <c r="B68" t="s">
        <v>491</v>
      </c>
      <c r="C68" s="6" t="s">
        <v>492</v>
      </c>
      <c r="D68" s="6"/>
      <c r="E68" t="s">
        <v>493</v>
      </c>
      <c r="F68" t="s">
        <v>494</v>
      </c>
      <c r="G68" s="6">
        <v>27</v>
      </c>
      <c r="H68" s="6"/>
      <c r="I68" t="s">
        <v>491</v>
      </c>
      <c r="J68" s="3">
        <v>46265</v>
      </c>
      <c r="K68" t="s">
        <v>495</v>
      </c>
      <c r="L68" t="s">
        <v>139</v>
      </c>
      <c r="N68" t="s">
        <v>266</v>
      </c>
      <c r="Q68" t="s">
        <v>268</v>
      </c>
      <c r="S68" t="s">
        <v>144</v>
      </c>
      <c r="T68" t="s">
        <v>269</v>
      </c>
      <c r="V68" t="s">
        <v>636</v>
      </c>
      <c r="W68" t="s">
        <v>33</v>
      </c>
      <c r="X68" s="6" t="s">
        <v>271</v>
      </c>
      <c r="Y68" s="6"/>
      <c r="Z68" t="s">
        <v>148</v>
      </c>
      <c r="AA68" t="s">
        <v>149</v>
      </c>
      <c r="AC68" t="s">
        <v>150</v>
      </c>
      <c r="AD68" s="6"/>
      <c r="AF68" s="3">
        <v>24084</v>
      </c>
      <c r="AG68">
        <v>60</v>
      </c>
      <c r="AH68" t="b">
        <v>0</v>
      </c>
      <c r="AI68" t="b">
        <v>1</v>
      </c>
      <c r="AJ68" s="6" t="s">
        <v>637</v>
      </c>
      <c r="AK68" s="6" t="s">
        <v>171</v>
      </c>
      <c r="AL68" t="b">
        <v>0</v>
      </c>
      <c r="AM68" s="6"/>
      <c r="AN68" s="6"/>
      <c r="AP68" t="b">
        <v>0</v>
      </c>
      <c r="AQ68" s="6"/>
      <c r="AR68" s="6"/>
      <c r="AT68" t="b">
        <v>0</v>
      </c>
      <c r="AU68" s="6"/>
      <c r="AV68" s="6"/>
      <c r="AX68" t="b">
        <v>0</v>
      </c>
      <c r="AY68" s="6"/>
      <c r="AZ68" s="6"/>
      <c r="BA68" t="b">
        <v>0</v>
      </c>
      <c r="BB68" s="6"/>
      <c r="BC68" t="b">
        <v>0</v>
      </c>
      <c r="BD68" s="6"/>
      <c r="BE68" s="6"/>
      <c r="BF68" t="b">
        <v>0</v>
      </c>
      <c r="BG68" s="6"/>
      <c r="BH68" t="b">
        <v>1</v>
      </c>
      <c r="BI68" s="6" t="s">
        <v>274</v>
      </c>
      <c r="BJ68" t="b">
        <v>1</v>
      </c>
      <c r="BL68" t="b">
        <v>0</v>
      </c>
      <c r="BM68" t="b">
        <v>0</v>
      </c>
      <c r="BN68" t="b">
        <v>0</v>
      </c>
      <c r="BO68" t="b">
        <v>1</v>
      </c>
      <c r="BQ68" t="b">
        <v>0</v>
      </c>
      <c r="BR68" s="6"/>
      <c r="BT68" t="b">
        <v>0</v>
      </c>
      <c r="BU68" t="s">
        <v>503</v>
      </c>
      <c r="BV68" t="s">
        <v>504</v>
      </c>
      <c r="BW68" t="s">
        <v>154</v>
      </c>
      <c r="BX68" t="s">
        <v>44</v>
      </c>
      <c r="BY68" s="6" t="s">
        <v>277</v>
      </c>
      <c r="BZ68">
        <v>1</v>
      </c>
      <c r="CA68" t="s">
        <v>157</v>
      </c>
      <c r="CB68" s="7">
        <v>46315.0537962963</v>
      </c>
    </row>
    <row r="69" spans="1:80">
      <c r="A69" s="6" t="s">
        <v>638</v>
      </c>
      <c r="B69" t="s">
        <v>491</v>
      </c>
      <c r="C69" s="6" t="s">
        <v>492</v>
      </c>
      <c r="D69" s="6"/>
      <c r="E69" t="s">
        <v>493</v>
      </c>
      <c r="F69" t="s">
        <v>494</v>
      </c>
      <c r="G69" s="6">
        <v>27</v>
      </c>
      <c r="H69" s="6" t="s">
        <v>635</v>
      </c>
      <c r="I69" t="s">
        <v>491</v>
      </c>
      <c r="J69" s="3">
        <v>46265</v>
      </c>
      <c r="K69" t="s">
        <v>516</v>
      </c>
      <c r="L69" t="s">
        <v>139</v>
      </c>
      <c r="N69" t="s">
        <v>639</v>
      </c>
      <c r="Q69" t="s">
        <v>268</v>
      </c>
      <c r="X69" s="6"/>
      <c r="Y69" s="6"/>
      <c r="Z69" t="s">
        <v>148</v>
      </c>
      <c r="AD69" s="6"/>
      <c r="AF69" s="3">
        <v>42762</v>
      </c>
      <c r="AG69">
        <v>9</v>
      </c>
      <c r="AH69" t="b">
        <v>1</v>
      </c>
      <c r="AI69" t="b">
        <v>0</v>
      </c>
      <c r="AJ69" s="6"/>
      <c r="AK69" s="6"/>
      <c r="AL69" t="b">
        <v>0</v>
      </c>
      <c r="AM69" s="6"/>
      <c r="AN69" s="6"/>
      <c r="AP69" t="b">
        <v>0</v>
      </c>
      <c r="AQ69" s="6"/>
      <c r="AR69" s="6"/>
      <c r="AT69" t="b">
        <v>0</v>
      </c>
      <c r="AU69" s="6"/>
      <c r="AV69" s="6"/>
      <c r="AX69" t="b">
        <v>0</v>
      </c>
      <c r="AY69" s="6"/>
      <c r="AZ69" s="6"/>
      <c r="BA69" t="b">
        <v>0</v>
      </c>
      <c r="BB69" s="6"/>
      <c r="BC69" t="b">
        <v>0</v>
      </c>
      <c r="BD69" s="6"/>
      <c r="BE69" s="6"/>
      <c r="BF69" t="b">
        <v>0</v>
      </c>
      <c r="BG69" s="6"/>
      <c r="BH69" t="b">
        <v>0</v>
      </c>
      <c r="BI69" s="6"/>
      <c r="BJ69" t="b">
        <v>0</v>
      </c>
      <c r="BL69" t="b">
        <v>0</v>
      </c>
      <c r="BM69" t="b">
        <v>0</v>
      </c>
      <c r="BN69" t="b">
        <v>0</v>
      </c>
      <c r="BO69" t="b">
        <v>0</v>
      </c>
      <c r="BQ69" t="b">
        <v>0</v>
      </c>
      <c r="BR69" s="6"/>
      <c r="BT69" t="b">
        <v>0</v>
      </c>
      <c r="BV69" t="s">
        <v>504</v>
      </c>
      <c r="BW69" t="s">
        <v>154</v>
      </c>
      <c r="BX69" t="s">
        <v>261</v>
      </c>
      <c r="BY69" s="6" t="s">
        <v>640</v>
      </c>
      <c r="BZ69">
        <v>1</v>
      </c>
      <c r="CA69" t="s">
        <v>157</v>
      </c>
      <c r="CB69" s="7">
        <v>46315.0537962963</v>
      </c>
    </row>
    <row r="70" spans="1:80">
      <c r="A70" s="6" t="s">
        <v>641</v>
      </c>
      <c r="B70" t="s">
        <v>491</v>
      </c>
      <c r="C70" s="6" t="s">
        <v>492</v>
      </c>
      <c r="D70" s="6"/>
      <c r="E70" t="s">
        <v>493</v>
      </c>
      <c r="F70" t="s">
        <v>494</v>
      </c>
      <c r="G70" s="6">
        <v>27</v>
      </c>
      <c r="H70" s="6" t="s">
        <v>635</v>
      </c>
      <c r="I70" t="s">
        <v>491</v>
      </c>
      <c r="J70" s="3">
        <v>46265</v>
      </c>
      <c r="K70" t="s">
        <v>516</v>
      </c>
      <c r="L70" t="s">
        <v>139</v>
      </c>
      <c r="N70" t="s">
        <v>642</v>
      </c>
      <c r="Q70" t="s">
        <v>268</v>
      </c>
      <c r="X70" s="6"/>
      <c r="Y70" s="6"/>
      <c r="Z70" t="s">
        <v>148</v>
      </c>
      <c r="AD70" s="6"/>
      <c r="AF70" s="3">
        <v>45244</v>
      </c>
      <c r="AG70">
        <v>2</v>
      </c>
      <c r="AH70" t="b">
        <v>1</v>
      </c>
      <c r="AI70" t="b">
        <v>0</v>
      </c>
      <c r="AJ70" s="6"/>
      <c r="AK70" s="6"/>
      <c r="AL70" t="b">
        <v>0</v>
      </c>
      <c r="AM70" s="6"/>
      <c r="AN70" s="6"/>
      <c r="AP70" t="b">
        <v>0</v>
      </c>
      <c r="AQ70" s="6"/>
      <c r="AR70" s="6"/>
      <c r="AT70" t="b">
        <v>0</v>
      </c>
      <c r="AU70" s="6"/>
      <c r="AV70" s="6"/>
      <c r="AX70" t="b">
        <v>0</v>
      </c>
      <c r="AY70" s="6"/>
      <c r="AZ70" s="6"/>
      <c r="BA70" t="b">
        <v>0</v>
      </c>
      <c r="BB70" s="6"/>
      <c r="BC70" t="b">
        <v>0</v>
      </c>
      <c r="BD70" s="6"/>
      <c r="BE70" s="6"/>
      <c r="BF70" t="b">
        <v>0</v>
      </c>
      <c r="BG70" s="6"/>
      <c r="BH70" t="b">
        <v>0</v>
      </c>
      <c r="BI70" s="6"/>
      <c r="BJ70" t="b">
        <v>0</v>
      </c>
      <c r="BL70" t="b">
        <v>0</v>
      </c>
      <c r="BM70" t="b">
        <v>0</v>
      </c>
      <c r="BN70" t="b">
        <v>0</v>
      </c>
      <c r="BO70" t="b">
        <v>0</v>
      </c>
      <c r="BQ70" t="b">
        <v>0</v>
      </c>
      <c r="BR70" s="6"/>
      <c r="BT70" t="b">
        <v>0</v>
      </c>
      <c r="BV70" t="s">
        <v>504</v>
      </c>
      <c r="BW70" t="s">
        <v>154</v>
      </c>
      <c r="BX70" t="s">
        <v>261</v>
      </c>
      <c r="BY70" s="6" t="s">
        <v>643</v>
      </c>
      <c r="BZ70">
        <v>1</v>
      </c>
      <c r="CA70" t="s">
        <v>157</v>
      </c>
      <c r="CB70" s="7">
        <v>46315.0537962963</v>
      </c>
    </row>
    <row r="71" spans="1:80">
      <c r="A71" s="6" t="s">
        <v>644</v>
      </c>
      <c r="B71" t="s">
        <v>491</v>
      </c>
      <c r="C71" s="6" t="s">
        <v>492</v>
      </c>
      <c r="D71" s="6"/>
      <c r="E71" t="s">
        <v>493</v>
      </c>
      <c r="F71" t="s">
        <v>494</v>
      </c>
      <c r="G71" s="6">
        <v>28</v>
      </c>
      <c r="H71" s="6"/>
      <c r="I71" t="s">
        <v>491</v>
      </c>
      <c r="J71" s="3">
        <v>46265</v>
      </c>
      <c r="K71" t="s">
        <v>495</v>
      </c>
      <c r="L71" t="s">
        <v>139</v>
      </c>
      <c r="N71" t="s">
        <v>422</v>
      </c>
      <c r="Q71" t="s">
        <v>423</v>
      </c>
      <c r="S71" t="s">
        <v>144</v>
      </c>
      <c r="T71" t="s">
        <v>645</v>
      </c>
      <c r="V71" t="s">
        <v>646</v>
      </c>
      <c r="W71" t="s">
        <v>40</v>
      </c>
      <c r="X71" s="6" t="s">
        <v>647</v>
      </c>
      <c r="Y71" s="6"/>
      <c r="Z71" t="s">
        <v>148</v>
      </c>
      <c r="AA71" t="s">
        <v>149</v>
      </c>
      <c r="AC71" t="s">
        <v>150</v>
      </c>
      <c r="AD71" s="6"/>
      <c r="AF71" s="3">
        <v>24586</v>
      </c>
      <c r="AG71">
        <v>59</v>
      </c>
      <c r="AH71" t="b">
        <v>0</v>
      </c>
      <c r="AI71" t="b">
        <v>1</v>
      </c>
      <c r="AJ71" s="6" t="s">
        <v>427</v>
      </c>
      <c r="AK71" s="6" t="s">
        <v>171</v>
      </c>
      <c r="AL71" t="b">
        <v>0</v>
      </c>
      <c r="AM71" s="6"/>
      <c r="AN71" s="6"/>
      <c r="AP71" t="b">
        <v>0</v>
      </c>
      <c r="AQ71" s="6"/>
      <c r="AR71" s="6"/>
      <c r="AT71" t="b">
        <v>0</v>
      </c>
      <c r="AU71" s="6"/>
      <c r="AV71" s="6"/>
      <c r="AX71" t="b">
        <v>0</v>
      </c>
      <c r="AY71" s="6"/>
      <c r="AZ71" s="6"/>
      <c r="BA71" t="b">
        <v>0</v>
      </c>
      <c r="BB71" s="6"/>
      <c r="BC71" t="b">
        <v>0</v>
      </c>
      <c r="BD71" s="6"/>
      <c r="BE71" s="6"/>
      <c r="BF71" t="b">
        <v>0</v>
      </c>
      <c r="BG71" s="6"/>
      <c r="BH71" t="b">
        <v>1</v>
      </c>
      <c r="BI71" s="6" t="s">
        <v>648</v>
      </c>
      <c r="BJ71" t="b">
        <v>1</v>
      </c>
      <c r="BL71" t="b">
        <v>0</v>
      </c>
      <c r="BM71" t="b">
        <v>0</v>
      </c>
      <c r="BN71" t="b">
        <v>0</v>
      </c>
      <c r="BO71" t="b">
        <v>1</v>
      </c>
      <c r="BQ71" t="b">
        <v>0</v>
      </c>
      <c r="BR71" s="6"/>
      <c r="BT71" t="b">
        <v>0</v>
      </c>
      <c r="BU71" t="s">
        <v>503</v>
      </c>
      <c r="BV71" t="s">
        <v>504</v>
      </c>
      <c r="BW71" t="s">
        <v>171</v>
      </c>
      <c r="BY71" s="6" t="s">
        <v>429</v>
      </c>
      <c r="BZ71">
        <v>1</v>
      </c>
      <c r="CB71" s="7">
        <v>46315.0537962963</v>
      </c>
    </row>
    <row r="72" spans="1:80">
      <c r="A72" s="6" t="s">
        <v>649</v>
      </c>
      <c r="B72" t="s">
        <v>491</v>
      </c>
      <c r="C72" s="6" t="s">
        <v>492</v>
      </c>
      <c r="D72" s="6"/>
      <c r="E72" t="s">
        <v>493</v>
      </c>
      <c r="F72" t="s">
        <v>494</v>
      </c>
      <c r="G72" s="6">
        <v>29</v>
      </c>
      <c r="H72" s="6"/>
      <c r="I72" t="s">
        <v>491</v>
      </c>
      <c r="J72" s="3">
        <v>46265</v>
      </c>
      <c r="K72" t="s">
        <v>495</v>
      </c>
      <c r="L72" t="s">
        <v>139</v>
      </c>
      <c r="N72" t="s">
        <v>188</v>
      </c>
      <c r="Q72" t="s">
        <v>650</v>
      </c>
      <c r="S72" t="s">
        <v>144</v>
      </c>
      <c r="T72" t="s">
        <v>651</v>
      </c>
      <c r="V72" t="s">
        <v>652</v>
      </c>
      <c r="W72" t="s">
        <v>40</v>
      </c>
      <c r="X72" s="6" t="s">
        <v>653</v>
      </c>
      <c r="Y72" s="6"/>
      <c r="Z72" t="s">
        <v>148</v>
      </c>
      <c r="AA72" t="s">
        <v>205</v>
      </c>
      <c r="AC72" t="s">
        <v>150</v>
      </c>
      <c r="AD72" s="6"/>
      <c r="AF72" s="3">
        <v>24129</v>
      </c>
      <c r="AG72">
        <v>60</v>
      </c>
      <c r="AH72" t="b">
        <v>0</v>
      </c>
      <c r="AI72" t="b">
        <v>1</v>
      </c>
      <c r="AJ72" s="6" t="s">
        <v>654</v>
      </c>
      <c r="AK72" s="6" t="s">
        <v>171</v>
      </c>
      <c r="AL72" t="b">
        <v>0</v>
      </c>
      <c r="AM72" s="6"/>
      <c r="AN72" s="6"/>
      <c r="AP72" t="b">
        <v>0</v>
      </c>
      <c r="AQ72" s="6"/>
      <c r="AR72" s="6"/>
      <c r="AT72" t="b">
        <v>0</v>
      </c>
      <c r="AU72" s="6"/>
      <c r="AV72" s="6"/>
      <c r="AX72" t="b">
        <v>0</v>
      </c>
      <c r="AY72" s="6"/>
      <c r="AZ72" s="6"/>
      <c r="BA72" t="b">
        <v>0</v>
      </c>
      <c r="BB72" s="6"/>
      <c r="BC72" t="b">
        <v>0</v>
      </c>
      <c r="BD72" s="6"/>
      <c r="BE72" s="6"/>
      <c r="BF72" t="b">
        <v>0</v>
      </c>
      <c r="BG72" s="6"/>
      <c r="BH72" t="b">
        <v>1</v>
      </c>
      <c r="BI72" s="6" t="s">
        <v>655</v>
      </c>
      <c r="BJ72" t="b">
        <v>1</v>
      </c>
      <c r="BL72" t="b">
        <v>0</v>
      </c>
      <c r="BM72" t="b">
        <v>0</v>
      </c>
      <c r="BN72" t="b">
        <v>0</v>
      </c>
      <c r="BO72" t="b">
        <v>0</v>
      </c>
      <c r="BQ72" t="b">
        <v>0</v>
      </c>
      <c r="BR72" s="6"/>
      <c r="BT72" t="b">
        <v>0</v>
      </c>
      <c r="BU72" t="s">
        <v>503</v>
      </c>
      <c r="BV72" t="s">
        <v>504</v>
      </c>
      <c r="BW72" t="s">
        <v>154</v>
      </c>
      <c r="BX72" t="s">
        <v>43</v>
      </c>
      <c r="BY72" s="6" t="s">
        <v>656</v>
      </c>
      <c r="BZ72">
        <v>1</v>
      </c>
      <c r="CA72" t="s">
        <v>157</v>
      </c>
      <c r="CB72" s="7">
        <v>46315.0537962963</v>
      </c>
    </row>
    <row r="73" spans="1:80">
      <c r="A73" s="6" t="s">
        <v>657</v>
      </c>
      <c r="B73" t="s">
        <v>491</v>
      </c>
      <c r="C73" s="6" t="s">
        <v>492</v>
      </c>
      <c r="D73" s="6"/>
      <c r="E73" t="s">
        <v>493</v>
      </c>
      <c r="F73" t="s">
        <v>494</v>
      </c>
      <c r="G73" s="6">
        <v>30</v>
      </c>
      <c r="H73" s="6"/>
      <c r="I73" t="s">
        <v>491</v>
      </c>
      <c r="J73" s="3">
        <v>46265</v>
      </c>
      <c r="K73" t="s">
        <v>495</v>
      </c>
      <c r="L73" t="s">
        <v>139</v>
      </c>
      <c r="N73" t="s">
        <v>658</v>
      </c>
      <c r="Q73" t="s">
        <v>659</v>
      </c>
      <c r="S73" t="s">
        <v>144</v>
      </c>
      <c r="T73" t="s">
        <v>660</v>
      </c>
      <c r="V73" t="s">
        <v>661</v>
      </c>
      <c r="W73" t="s">
        <v>34</v>
      </c>
      <c r="X73" s="6" t="s">
        <v>662</v>
      </c>
      <c r="Y73" s="6"/>
      <c r="Z73" t="s">
        <v>148</v>
      </c>
      <c r="AA73" t="s">
        <v>149</v>
      </c>
      <c r="AC73" t="s">
        <v>150</v>
      </c>
      <c r="AD73" s="6"/>
      <c r="AF73" s="3">
        <v>25165</v>
      </c>
      <c r="AG73">
        <v>57</v>
      </c>
      <c r="AH73" t="b">
        <v>0</v>
      </c>
      <c r="AI73" t="b">
        <v>1</v>
      </c>
      <c r="AJ73" s="6" t="s">
        <v>663</v>
      </c>
      <c r="AK73" s="6" t="s">
        <v>171</v>
      </c>
      <c r="AL73" t="b">
        <v>0</v>
      </c>
      <c r="AM73" s="6"/>
      <c r="AN73" s="6"/>
      <c r="AP73" t="b">
        <v>0</v>
      </c>
      <c r="AQ73" s="6"/>
      <c r="AR73" s="6"/>
      <c r="AT73" t="b">
        <v>0</v>
      </c>
      <c r="AU73" s="6"/>
      <c r="AV73" s="6"/>
      <c r="AX73" t="b">
        <v>0</v>
      </c>
      <c r="AY73" s="6"/>
      <c r="AZ73" s="6"/>
      <c r="BA73" t="b">
        <v>0</v>
      </c>
      <c r="BB73" s="6"/>
      <c r="BC73" t="b">
        <v>0</v>
      </c>
      <c r="BD73" s="6"/>
      <c r="BE73" s="6"/>
      <c r="BF73" t="b">
        <v>0</v>
      </c>
      <c r="BG73" s="6"/>
      <c r="BH73" t="b">
        <v>1</v>
      </c>
      <c r="BI73" s="6" t="s">
        <v>664</v>
      </c>
      <c r="BJ73" t="b">
        <v>1</v>
      </c>
      <c r="BL73" t="b">
        <v>0</v>
      </c>
      <c r="BM73" t="b">
        <v>0</v>
      </c>
      <c r="BN73" t="b">
        <v>0</v>
      </c>
      <c r="BO73" t="b">
        <v>0</v>
      </c>
      <c r="BQ73" t="b">
        <v>0</v>
      </c>
      <c r="BR73" s="6"/>
      <c r="BT73" t="b">
        <v>0</v>
      </c>
      <c r="BU73" t="s">
        <v>503</v>
      </c>
      <c r="BV73" t="s">
        <v>504</v>
      </c>
      <c r="BW73" t="s">
        <v>171</v>
      </c>
      <c r="BY73" s="6" t="s">
        <v>665</v>
      </c>
      <c r="BZ73">
        <v>1</v>
      </c>
      <c r="CB73" s="7">
        <v>46315.0537962963</v>
      </c>
    </row>
    <row r="74" spans="1:80">
      <c r="A74" s="6" t="s">
        <v>666</v>
      </c>
      <c r="B74" t="s">
        <v>491</v>
      </c>
      <c r="C74" s="6" t="s">
        <v>492</v>
      </c>
      <c r="D74" s="6"/>
      <c r="E74" t="s">
        <v>493</v>
      </c>
      <c r="F74" t="s">
        <v>494</v>
      </c>
      <c r="G74" s="6">
        <v>31</v>
      </c>
      <c r="H74" s="6"/>
      <c r="I74" t="s">
        <v>491</v>
      </c>
      <c r="J74" s="3">
        <v>46265</v>
      </c>
      <c r="K74" t="s">
        <v>495</v>
      </c>
      <c r="L74" t="s">
        <v>139</v>
      </c>
      <c r="N74" t="s">
        <v>667</v>
      </c>
      <c r="Q74" t="s">
        <v>668</v>
      </c>
      <c r="S74" t="s">
        <v>144</v>
      </c>
      <c r="T74" t="s">
        <v>669</v>
      </c>
      <c r="U74" t="s">
        <v>670</v>
      </c>
      <c r="V74" t="s">
        <v>671</v>
      </c>
      <c r="W74" t="s">
        <v>39</v>
      </c>
      <c r="X74" s="6" t="s">
        <v>672</v>
      </c>
      <c r="Y74" s="6"/>
      <c r="Z74" t="s">
        <v>148</v>
      </c>
      <c r="AA74" t="s">
        <v>149</v>
      </c>
      <c r="AC74" t="s">
        <v>150</v>
      </c>
      <c r="AD74" s="6"/>
      <c r="AF74" s="3">
        <v>35083</v>
      </c>
      <c r="AG74">
        <v>30</v>
      </c>
      <c r="AH74" t="b">
        <v>0</v>
      </c>
      <c r="AI74" t="b">
        <v>1</v>
      </c>
      <c r="AJ74" s="6" t="s">
        <v>673</v>
      </c>
      <c r="AK74" s="6" t="s">
        <v>171</v>
      </c>
      <c r="AL74" t="b">
        <v>0</v>
      </c>
      <c r="AM74" s="6"/>
      <c r="AN74" s="6"/>
      <c r="AP74" t="b">
        <v>0</v>
      </c>
      <c r="AQ74" s="6"/>
      <c r="AR74" s="6"/>
      <c r="AT74" t="b">
        <v>0</v>
      </c>
      <c r="AU74" s="6"/>
      <c r="AV74" s="6"/>
      <c r="AX74" t="b">
        <v>0</v>
      </c>
      <c r="AY74" s="6"/>
      <c r="AZ74" s="6"/>
      <c r="BA74" t="b">
        <v>0</v>
      </c>
      <c r="BB74" s="6"/>
      <c r="BC74" t="b">
        <v>0</v>
      </c>
      <c r="BD74" s="6"/>
      <c r="BE74" s="6"/>
      <c r="BF74" t="b">
        <v>0</v>
      </c>
      <c r="BG74" s="6"/>
      <c r="BH74" t="b">
        <v>1</v>
      </c>
      <c r="BI74" s="6" t="s">
        <v>674</v>
      </c>
      <c r="BJ74" t="b">
        <v>1</v>
      </c>
      <c r="BL74" t="b">
        <v>0</v>
      </c>
      <c r="BM74" t="b">
        <v>0</v>
      </c>
      <c r="BN74" t="b">
        <v>0</v>
      </c>
      <c r="BO74" t="b">
        <v>1</v>
      </c>
      <c r="BQ74" t="b">
        <v>0</v>
      </c>
      <c r="BR74" s="6"/>
      <c r="BT74" t="b">
        <v>0</v>
      </c>
      <c r="BU74" t="s">
        <v>503</v>
      </c>
      <c r="BV74" t="s">
        <v>504</v>
      </c>
      <c r="BW74" t="s">
        <v>171</v>
      </c>
      <c r="BX74" t="s">
        <v>675</v>
      </c>
      <c r="BY74" s="6" t="s">
        <v>676</v>
      </c>
      <c r="BZ74">
        <v>1</v>
      </c>
      <c r="CB74" s="7">
        <v>46315.0537962963</v>
      </c>
    </row>
    <row r="75" spans="1:80">
      <c r="A75" s="6" t="s">
        <v>677</v>
      </c>
      <c r="B75" t="s">
        <v>491</v>
      </c>
      <c r="C75" s="6" t="s">
        <v>492</v>
      </c>
      <c r="D75" s="6"/>
      <c r="E75" t="s">
        <v>493</v>
      </c>
      <c r="F75" t="s">
        <v>494</v>
      </c>
      <c r="G75" s="6">
        <v>32</v>
      </c>
      <c r="H75" s="6"/>
      <c r="I75" t="s">
        <v>491</v>
      </c>
      <c r="J75" s="3">
        <v>46265</v>
      </c>
      <c r="K75" t="s">
        <v>495</v>
      </c>
      <c r="L75" t="s">
        <v>139</v>
      </c>
      <c r="N75" t="s">
        <v>678</v>
      </c>
      <c r="Q75" t="s">
        <v>469</v>
      </c>
      <c r="S75" t="s">
        <v>144</v>
      </c>
      <c r="T75" t="s">
        <v>470</v>
      </c>
      <c r="V75" t="s">
        <v>471</v>
      </c>
      <c r="W75" t="s">
        <v>38</v>
      </c>
      <c r="X75" s="6" t="s">
        <v>472</v>
      </c>
      <c r="Y75" s="6"/>
      <c r="Z75" t="s">
        <v>148</v>
      </c>
      <c r="AA75" t="s">
        <v>149</v>
      </c>
      <c r="AC75" t="s">
        <v>150</v>
      </c>
      <c r="AD75" s="6"/>
      <c r="AF75" s="3">
        <v>35924</v>
      </c>
      <c r="AG75">
        <v>28</v>
      </c>
      <c r="AH75" t="b">
        <v>0</v>
      </c>
      <c r="AI75" t="b">
        <v>1</v>
      </c>
      <c r="AJ75" s="6" t="s">
        <v>679</v>
      </c>
      <c r="AK75" s="6" t="s">
        <v>171</v>
      </c>
      <c r="AL75" t="b">
        <v>0</v>
      </c>
      <c r="AM75" s="6"/>
      <c r="AN75" s="6"/>
      <c r="AP75" t="b">
        <v>0</v>
      </c>
      <c r="AQ75" s="6"/>
      <c r="AR75" s="6"/>
      <c r="AT75" t="b">
        <v>0</v>
      </c>
      <c r="AU75" s="6"/>
      <c r="AV75" s="6"/>
      <c r="AX75" t="b">
        <v>0</v>
      </c>
      <c r="AY75" s="6"/>
      <c r="AZ75" s="6"/>
      <c r="BA75" t="b">
        <v>0</v>
      </c>
      <c r="BB75" s="6"/>
      <c r="BC75" t="b">
        <v>0</v>
      </c>
      <c r="BD75" s="6"/>
      <c r="BE75" s="6"/>
      <c r="BF75" t="b">
        <v>0</v>
      </c>
      <c r="BG75" s="6"/>
      <c r="BH75" t="b">
        <v>1</v>
      </c>
      <c r="BI75" s="6" t="s">
        <v>680</v>
      </c>
      <c r="BJ75" t="b">
        <v>1</v>
      </c>
      <c r="BL75" t="b">
        <v>0</v>
      </c>
      <c r="BM75" t="b">
        <v>0</v>
      </c>
      <c r="BN75" t="b">
        <v>0</v>
      </c>
      <c r="BO75" t="b">
        <v>1</v>
      </c>
      <c r="BQ75" t="b">
        <v>0</v>
      </c>
      <c r="BR75" s="6"/>
      <c r="BT75" t="b">
        <v>0</v>
      </c>
      <c r="BU75" t="s">
        <v>503</v>
      </c>
      <c r="BV75" t="s">
        <v>504</v>
      </c>
      <c r="BW75" t="s">
        <v>154</v>
      </c>
      <c r="BX75" t="s">
        <v>44</v>
      </c>
      <c r="BY75" s="6" t="s">
        <v>681</v>
      </c>
      <c r="BZ75">
        <v>1</v>
      </c>
      <c r="CA75" t="s">
        <v>157</v>
      </c>
      <c r="CB75" s="7">
        <v>46315.0537962963</v>
      </c>
    </row>
    <row r="76" spans="1:80">
      <c r="A76" s="6" t="s">
        <v>682</v>
      </c>
      <c r="B76" t="s">
        <v>491</v>
      </c>
      <c r="C76" s="6" t="s">
        <v>492</v>
      </c>
      <c r="D76" s="6"/>
      <c r="E76" t="s">
        <v>493</v>
      </c>
      <c r="F76" t="s">
        <v>494</v>
      </c>
      <c r="G76" s="6">
        <v>33</v>
      </c>
      <c r="H76" s="6"/>
      <c r="I76" t="s">
        <v>491</v>
      </c>
      <c r="J76" s="3">
        <v>46265</v>
      </c>
      <c r="K76" t="s">
        <v>495</v>
      </c>
      <c r="L76" t="s">
        <v>139</v>
      </c>
      <c r="N76" t="s">
        <v>468</v>
      </c>
      <c r="Q76" t="s">
        <v>469</v>
      </c>
      <c r="S76" t="s">
        <v>144</v>
      </c>
      <c r="T76" t="s">
        <v>470</v>
      </c>
      <c r="V76" t="s">
        <v>471</v>
      </c>
      <c r="W76" t="s">
        <v>38</v>
      </c>
      <c r="X76" s="6" t="s">
        <v>472</v>
      </c>
      <c r="Y76" s="6"/>
      <c r="Z76" t="s">
        <v>148</v>
      </c>
      <c r="AA76" t="s">
        <v>149</v>
      </c>
      <c r="AC76" t="s">
        <v>150</v>
      </c>
      <c r="AD76" s="6"/>
      <c r="AF76" s="3">
        <v>35923</v>
      </c>
      <c r="AG76">
        <v>28</v>
      </c>
      <c r="AH76" t="b">
        <v>0</v>
      </c>
      <c r="AI76" t="b">
        <v>1</v>
      </c>
      <c r="AJ76" s="6" t="s">
        <v>473</v>
      </c>
      <c r="AK76" s="6" t="s">
        <v>171</v>
      </c>
      <c r="AL76" t="b">
        <v>0</v>
      </c>
      <c r="AM76" s="6"/>
      <c r="AN76" s="6"/>
      <c r="AP76" t="b">
        <v>0</v>
      </c>
      <c r="AQ76" s="6"/>
      <c r="AR76" s="6"/>
      <c r="AT76" t="b">
        <v>0</v>
      </c>
      <c r="AU76" s="6"/>
      <c r="AV76" s="6"/>
      <c r="AX76" t="b">
        <v>0</v>
      </c>
      <c r="AY76" s="6"/>
      <c r="AZ76" s="6"/>
      <c r="BA76" t="b">
        <v>0</v>
      </c>
      <c r="BB76" s="6"/>
      <c r="BC76" t="b">
        <v>0</v>
      </c>
      <c r="BD76" s="6"/>
      <c r="BE76" s="6"/>
      <c r="BF76" t="b">
        <v>0</v>
      </c>
      <c r="BG76" s="6"/>
      <c r="BH76" t="b">
        <v>1</v>
      </c>
      <c r="BI76" s="6" t="s">
        <v>683</v>
      </c>
      <c r="BJ76" t="b">
        <v>1</v>
      </c>
      <c r="BL76" t="b">
        <v>0</v>
      </c>
      <c r="BM76" t="b">
        <v>0</v>
      </c>
      <c r="BN76" t="b">
        <v>0</v>
      </c>
      <c r="BO76" t="b">
        <v>1</v>
      </c>
      <c r="BQ76" t="b">
        <v>0</v>
      </c>
      <c r="BR76" s="6"/>
      <c r="BT76" t="b">
        <v>0</v>
      </c>
      <c r="BU76" t="s">
        <v>503</v>
      </c>
      <c r="BV76" t="s">
        <v>504</v>
      </c>
      <c r="BW76" t="s">
        <v>171</v>
      </c>
      <c r="BY76" s="6" t="s">
        <v>475</v>
      </c>
      <c r="BZ76">
        <v>1</v>
      </c>
      <c r="CB76" s="7">
        <v>46315.0537962963</v>
      </c>
    </row>
    <row r="77" spans="1:80">
      <c r="A77" s="6" t="s">
        <v>684</v>
      </c>
      <c r="B77" t="s">
        <v>491</v>
      </c>
      <c r="C77" s="6" t="s">
        <v>492</v>
      </c>
      <c r="D77" s="6"/>
      <c r="E77" t="s">
        <v>493</v>
      </c>
      <c r="F77" t="s">
        <v>494</v>
      </c>
      <c r="G77" s="6">
        <v>34</v>
      </c>
      <c r="H77" s="6"/>
      <c r="I77" t="s">
        <v>491</v>
      </c>
      <c r="J77" s="3">
        <v>46265</v>
      </c>
      <c r="K77" t="s">
        <v>495</v>
      </c>
      <c r="L77" t="s">
        <v>139</v>
      </c>
      <c r="N77" t="s">
        <v>685</v>
      </c>
      <c r="Q77" t="s">
        <v>686</v>
      </c>
      <c r="S77" t="s">
        <v>144</v>
      </c>
      <c r="T77" t="s">
        <v>687</v>
      </c>
      <c r="V77" t="s">
        <v>688</v>
      </c>
      <c r="W77" t="s">
        <v>38</v>
      </c>
      <c r="X77" s="6" t="s">
        <v>689</v>
      </c>
      <c r="Y77" s="6"/>
      <c r="Z77" t="s">
        <v>148</v>
      </c>
      <c r="AA77" t="s">
        <v>205</v>
      </c>
      <c r="AC77" t="s">
        <v>150</v>
      </c>
      <c r="AD77" s="6"/>
      <c r="AF77" s="3">
        <v>21687</v>
      </c>
      <c r="AG77">
        <v>67</v>
      </c>
      <c r="AH77" t="b">
        <v>0</v>
      </c>
      <c r="AI77" t="b">
        <v>1</v>
      </c>
      <c r="AJ77" s="6" t="s">
        <v>690</v>
      </c>
      <c r="AK77" s="6" t="s">
        <v>171</v>
      </c>
      <c r="AL77" t="b">
        <v>0</v>
      </c>
      <c r="AM77" s="6"/>
      <c r="AN77" s="6"/>
      <c r="AP77" t="b">
        <v>0</v>
      </c>
      <c r="AQ77" s="6"/>
      <c r="AR77" s="6"/>
      <c r="AT77" t="b">
        <v>0</v>
      </c>
      <c r="AU77" s="6"/>
      <c r="AV77" s="6"/>
      <c r="AX77" t="b">
        <v>0</v>
      </c>
      <c r="AY77" s="6"/>
      <c r="AZ77" s="6"/>
      <c r="BA77" t="b">
        <v>0</v>
      </c>
      <c r="BB77" s="6"/>
      <c r="BC77" t="b">
        <v>0</v>
      </c>
      <c r="BD77" s="6"/>
      <c r="BE77" s="6"/>
      <c r="BF77" t="b">
        <v>0</v>
      </c>
      <c r="BG77" s="6"/>
      <c r="BH77" t="b">
        <v>1</v>
      </c>
      <c r="BI77" s="6" t="s">
        <v>691</v>
      </c>
      <c r="BJ77" t="b">
        <v>1</v>
      </c>
      <c r="BL77" t="b">
        <v>0</v>
      </c>
      <c r="BM77" t="b">
        <v>0</v>
      </c>
      <c r="BN77" t="b">
        <v>0</v>
      </c>
      <c r="BO77" t="b">
        <v>1</v>
      </c>
      <c r="BQ77" t="b">
        <v>0</v>
      </c>
      <c r="BR77" s="6"/>
      <c r="BT77" t="b">
        <v>0</v>
      </c>
      <c r="BU77" t="s">
        <v>503</v>
      </c>
      <c r="BV77" t="s">
        <v>504</v>
      </c>
      <c r="BW77" t="s">
        <v>154</v>
      </c>
      <c r="BX77" t="s">
        <v>43</v>
      </c>
      <c r="BY77" s="6" t="s">
        <v>692</v>
      </c>
      <c r="BZ77">
        <v>1</v>
      </c>
      <c r="CA77" t="s">
        <v>157</v>
      </c>
      <c r="CB77" s="7">
        <v>46315.0537962963</v>
      </c>
    </row>
    <row r="78" spans="1:80">
      <c r="A78" s="6" t="s">
        <v>693</v>
      </c>
      <c r="B78" t="s">
        <v>491</v>
      </c>
      <c r="C78" s="6" t="s">
        <v>492</v>
      </c>
      <c r="D78" s="6"/>
      <c r="E78" t="s">
        <v>493</v>
      </c>
      <c r="F78" t="s">
        <v>494</v>
      </c>
      <c r="G78" s="6">
        <v>35</v>
      </c>
      <c r="H78" s="6"/>
      <c r="I78" t="s">
        <v>491</v>
      </c>
      <c r="J78" s="3">
        <v>46265</v>
      </c>
      <c r="K78" t="s">
        <v>495</v>
      </c>
      <c r="L78" t="s">
        <v>139</v>
      </c>
      <c r="N78" t="s">
        <v>694</v>
      </c>
      <c r="Q78" t="s">
        <v>695</v>
      </c>
      <c r="S78" t="s">
        <v>144</v>
      </c>
      <c r="T78" t="s">
        <v>696</v>
      </c>
      <c r="V78" t="s">
        <v>697</v>
      </c>
      <c r="W78" t="s">
        <v>40</v>
      </c>
      <c r="X78" s="6" t="s">
        <v>698</v>
      </c>
      <c r="Y78" s="6"/>
      <c r="Z78" t="s">
        <v>148</v>
      </c>
      <c r="AA78" t="s">
        <v>149</v>
      </c>
      <c r="AC78" t="s">
        <v>150</v>
      </c>
      <c r="AD78" s="6"/>
      <c r="AF78" s="3">
        <v>25058</v>
      </c>
      <c r="AG78">
        <v>58</v>
      </c>
      <c r="AH78" t="b">
        <v>0</v>
      </c>
      <c r="AI78" t="b">
        <v>1</v>
      </c>
      <c r="AJ78" s="6" t="s">
        <v>699</v>
      </c>
      <c r="AK78" s="6" t="s">
        <v>171</v>
      </c>
      <c r="AL78" t="b">
        <v>0</v>
      </c>
      <c r="AM78" s="6"/>
      <c r="AN78" s="6"/>
      <c r="AP78" t="b">
        <v>0</v>
      </c>
      <c r="AQ78" s="6"/>
      <c r="AR78" s="6"/>
      <c r="AT78" t="b">
        <v>0</v>
      </c>
      <c r="AU78" s="6"/>
      <c r="AV78" s="6"/>
      <c r="AX78" t="b">
        <v>0</v>
      </c>
      <c r="AY78" s="6"/>
      <c r="AZ78" s="6"/>
      <c r="BA78" t="b">
        <v>0</v>
      </c>
      <c r="BB78" s="6"/>
      <c r="BC78" t="b">
        <v>0</v>
      </c>
      <c r="BD78" s="6"/>
      <c r="BE78" s="6"/>
      <c r="BF78" t="b">
        <v>0</v>
      </c>
      <c r="BG78" s="6"/>
      <c r="BH78" t="b">
        <v>1</v>
      </c>
      <c r="BI78" s="6" t="s">
        <v>700</v>
      </c>
      <c r="BJ78" t="b">
        <v>1</v>
      </c>
      <c r="BL78" t="b">
        <v>0</v>
      </c>
      <c r="BM78" t="b">
        <v>0</v>
      </c>
      <c r="BN78" t="b">
        <v>0</v>
      </c>
      <c r="BO78" t="b">
        <v>1</v>
      </c>
      <c r="BQ78" t="b">
        <v>0</v>
      </c>
      <c r="BR78" s="6"/>
      <c r="BT78" t="b">
        <v>0</v>
      </c>
      <c r="BU78" t="s">
        <v>503</v>
      </c>
      <c r="BV78" t="s">
        <v>504</v>
      </c>
      <c r="BW78" t="s">
        <v>171</v>
      </c>
      <c r="BY78" s="6" t="s">
        <v>701</v>
      </c>
      <c r="BZ78">
        <v>1</v>
      </c>
      <c r="CB78" s="7">
        <v>46315.0537962963</v>
      </c>
    </row>
    <row r="79" spans="1:80">
      <c r="A79" s="6" t="s">
        <v>702</v>
      </c>
      <c r="B79" t="s">
        <v>491</v>
      </c>
      <c r="C79" s="6" t="s">
        <v>492</v>
      </c>
      <c r="D79" s="6"/>
      <c r="E79" t="s">
        <v>493</v>
      </c>
      <c r="F79" t="s">
        <v>494</v>
      </c>
      <c r="G79" s="6">
        <v>36</v>
      </c>
      <c r="H79" s="6"/>
      <c r="I79" t="s">
        <v>491</v>
      </c>
      <c r="J79" s="3">
        <v>46265</v>
      </c>
      <c r="K79" t="s">
        <v>495</v>
      </c>
      <c r="L79" t="s">
        <v>139</v>
      </c>
      <c r="N79" t="s">
        <v>507</v>
      </c>
      <c r="Q79" t="s">
        <v>703</v>
      </c>
      <c r="S79" t="s">
        <v>144</v>
      </c>
      <c r="T79" t="s">
        <v>704</v>
      </c>
      <c r="V79" t="s">
        <v>705</v>
      </c>
      <c r="W79" t="s">
        <v>36</v>
      </c>
      <c r="X79" s="6" t="s">
        <v>706</v>
      </c>
      <c r="Y79" s="6"/>
      <c r="Z79" t="s">
        <v>148</v>
      </c>
      <c r="AA79" t="s">
        <v>149</v>
      </c>
      <c r="AC79" t="s">
        <v>150</v>
      </c>
      <c r="AD79" s="6"/>
      <c r="AF79" s="3">
        <v>23873</v>
      </c>
      <c r="AG79">
        <v>61</v>
      </c>
      <c r="AH79" t="b">
        <v>0</v>
      </c>
      <c r="AI79" t="b">
        <v>1</v>
      </c>
      <c r="AJ79" s="6" t="s">
        <v>707</v>
      </c>
      <c r="AK79" s="6" t="s">
        <v>171</v>
      </c>
      <c r="AL79" t="b">
        <v>0</v>
      </c>
      <c r="AM79" s="6"/>
      <c r="AN79" s="6"/>
      <c r="AP79" t="b">
        <v>0</v>
      </c>
      <c r="AQ79" s="6"/>
      <c r="AR79" s="6"/>
      <c r="AT79" t="b">
        <v>0</v>
      </c>
      <c r="AU79" s="6"/>
      <c r="AV79" s="6"/>
      <c r="AX79" t="b">
        <v>0</v>
      </c>
      <c r="AY79" s="6"/>
      <c r="AZ79" s="6"/>
      <c r="BA79" t="b">
        <v>0</v>
      </c>
      <c r="BB79" s="6"/>
      <c r="BC79" t="b">
        <v>0</v>
      </c>
      <c r="BD79" s="6"/>
      <c r="BE79" s="6"/>
      <c r="BF79" t="b">
        <v>0</v>
      </c>
      <c r="BG79" s="6"/>
      <c r="BH79" t="b">
        <v>1</v>
      </c>
      <c r="BI79" s="6" t="s">
        <v>708</v>
      </c>
      <c r="BJ79" t="b">
        <v>1</v>
      </c>
      <c r="BL79" t="b">
        <v>0</v>
      </c>
      <c r="BM79" t="b">
        <v>0</v>
      </c>
      <c r="BN79" t="b">
        <v>0</v>
      </c>
      <c r="BO79" t="b">
        <v>1</v>
      </c>
      <c r="BQ79" t="b">
        <v>0</v>
      </c>
      <c r="BR79" s="6"/>
      <c r="BT79" t="b">
        <v>0</v>
      </c>
      <c r="BU79" t="s">
        <v>503</v>
      </c>
      <c r="BV79" t="s">
        <v>504</v>
      </c>
      <c r="BW79" t="s">
        <v>154</v>
      </c>
      <c r="BX79" t="s">
        <v>47</v>
      </c>
      <c r="BY79" s="6" t="s">
        <v>709</v>
      </c>
      <c r="BZ79">
        <v>1</v>
      </c>
      <c r="CA79" t="s">
        <v>157</v>
      </c>
      <c r="CB79" s="7">
        <v>46315.0537962963</v>
      </c>
    </row>
    <row r="80" spans="1:80">
      <c r="A80" s="6" t="s">
        <v>710</v>
      </c>
      <c r="B80" t="s">
        <v>491</v>
      </c>
      <c r="C80" s="6" t="s">
        <v>492</v>
      </c>
      <c r="D80" s="6"/>
      <c r="E80" t="s">
        <v>493</v>
      </c>
      <c r="F80" t="s">
        <v>494</v>
      </c>
      <c r="G80" s="6">
        <v>37</v>
      </c>
      <c r="H80" s="6"/>
      <c r="I80" t="s">
        <v>491</v>
      </c>
      <c r="J80" s="3">
        <v>46265</v>
      </c>
      <c r="K80" t="s">
        <v>495</v>
      </c>
      <c r="L80" t="s">
        <v>139</v>
      </c>
      <c r="N80" t="s">
        <v>331</v>
      </c>
      <c r="Q80" t="s">
        <v>332</v>
      </c>
      <c r="S80" t="s">
        <v>144</v>
      </c>
      <c r="T80" t="s">
        <v>333</v>
      </c>
      <c r="V80" t="s">
        <v>334</v>
      </c>
      <c r="W80" t="s">
        <v>33</v>
      </c>
      <c r="X80" s="6" t="s">
        <v>335</v>
      </c>
      <c r="Y80" s="6"/>
      <c r="Z80" t="s">
        <v>148</v>
      </c>
      <c r="AA80" t="s">
        <v>149</v>
      </c>
      <c r="AC80" t="s">
        <v>150</v>
      </c>
      <c r="AD80" s="6"/>
      <c r="AF80" s="3">
        <v>31194</v>
      </c>
      <c r="AG80">
        <v>41</v>
      </c>
      <c r="AH80" t="b">
        <v>0</v>
      </c>
      <c r="AI80" t="b">
        <v>1</v>
      </c>
      <c r="AJ80" s="6" t="s">
        <v>348</v>
      </c>
      <c r="AK80" s="6" t="s">
        <v>171</v>
      </c>
      <c r="AL80" t="b">
        <v>0</v>
      </c>
      <c r="AM80" s="6"/>
      <c r="AN80" s="6"/>
      <c r="AP80" t="b">
        <v>0</v>
      </c>
      <c r="AQ80" s="6"/>
      <c r="AR80" s="6"/>
      <c r="AT80" t="b">
        <v>0</v>
      </c>
      <c r="AU80" s="6"/>
      <c r="AV80" s="6"/>
      <c r="AX80" t="b">
        <v>0</v>
      </c>
      <c r="AY80" s="6"/>
      <c r="AZ80" s="6"/>
      <c r="BA80" t="b">
        <v>0</v>
      </c>
      <c r="BB80" s="6"/>
      <c r="BC80" t="b">
        <v>0</v>
      </c>
      <c r="BD80" s="6"/>
      <c r="BE80" s="6"/>
      <c r="BF80" t="b">
        <v>0</v>
      </c>
      <c r="BG80" s="6"/>
      <c r="BH80" t="b">
        <v>1</v>
      </c>
      <c r="BI80" s="6" t="s">
        <v>711</v>
      </c>
      <c r="BJ80" t="b">
        <v>1</v>
      </c>
      <c r="BL80" t="b">
        <v>0</v>
      </c>
      <c r="BM80" t="b">
        <v>0</v>
      </c>
      <c r="BN80" t="b">
        <v>0</v>
      </c>
      <c r="BO80" t="b">
        <v>1</v>
      </c>
      <c r="BQ80" t="b">
        <v>0</v>
      </c>
      <c r="BR80" s="6"/>
      <c r="BT80" t="b">
        <v>0</v>
      </c>
      <c r="BU80" t="s">
        <v>503</v>
      </c>
      <c r="BV80" t="s">
        <v>504</v>
      </c>
      <c r="BW80" t="s">
        <v>171</v>
      </c>
      <c r="BY80" s="6" t="s">
        <v>336</v>
      </c>
      <c r="BZ80">
        <v>1</v>
      </c>
      <c r="CB80" s="7">
        <v>46315.0537962963</v>
      </c>
    </row>
    <row r="81" spans="1:80">
      <c r="A81" s="6" t="s">
        <v>712</v>
      </c>
      <c r="B81" t="s">
        <v>491</v>
      </c>
      <c r="C81" s="6" t="s">
        <v>492</v>
      </c>
      <c r="D81" s="6"/>
      <c r="E81" t="s">
        <v>493</v>
      </c>
      <c r="F81" t="s">
        <v>494</v>
      </c>
      <c r="G81" s="6">
        <v>38</v>
      </c>
      <c r="H81" s="6"/>
      <c r="I81" t="s">
        <v>491</v>
      </c>
      <c r="J81" s="3">
        <v>46265</v>
      </c>
      <c r="K81" t="s">
        <v>495</v>
      </c>
      <c r="L81" t="s">
        <v>139</v>
      </c>
      <c r="N81" t="s">
        <v>234</v>
      </c>
      <c r="Q81" t="s">
        <v>236</v>
      </c>
      <c r="S81" t="s">
        <v>144</v>
      </c>
      <c r="T81" t="s">
        <v>237</v>
      </c>
      <c r="V81" t="s">
        <v>238</v>
      </c>
      <c r="W81" t="s">
        <v>37</v>
      </c>
      <c r="X81" s="6" t="s">
        <v>239</v>
      </c>
      <c r="Y81" s="6"/>
      <c r="Z81" t="s">
        <v>148</v>
      </c>
      <c r="AA81" t="s">
        <v>149</v>
      </c>
      <c r="AC81" t="s">
        <v>150</v>
      </c>
      <c r="AD81" s="6"/>
      <c r="AF81" s="3">
        <v>19844</v>
      </c>
      <c r="AG81">
        <v>72</v>
      </c>
      <c r="AH81" t="b">
        <v>0</v>
      </c>
      <c r="AI81" t="b">
        <v>1</v>
      </c>
      <c r="AJ81" s="6" t="s">
        <v>713</v>
      </c>
      <c r="AK81" s="6" t="s">
        <v>171</v>
      </c>
      <c r="AL81" t="b">
        <v>0</v>
      </c>
      <c r="AM81" s="6"/>
      <c r="AN81" s="6"/>
      <c r="AP81" t="b">
        <v>0</v>
      </c>
      <c r="AQ81" s="6"/>
      <c r="AR81" s="6"/>
      <c r="AT81" t="b">
        <v>0</v>
      </c>
      <c r="AU81" s="6"/>
      <c r="AV81" s="6"/>
      <c r="AX81" t="b">
        <v>0</v>
      </c>
      <c r="AY81" s="6"/>
      <c r="AZ81" s="6"/>
      <c r="BA81" t="b">
        <v>0</v>
      </c>
      <c r="BB81" s="6"/>
      <c r="BC81" t="b">
        <v>0</v>
      </c>
      <c r="BD81" s="6"/>
      <c r="BE81" s="6"/>
      <c r="BF81" t="b">
        <v>0</v>
      </c>
      <c r="BG81" s="6"/>
      <c r="BH81" t="b">
        <v>1</v>
      </c>
      <c r="BI81" s="6" t="s">
        <v>240</v>
      </c>
      <c r="BJ81" t="b">
        <v>1</v>
      </c>
      <c r="BL81" t="b">
        <v>0</v>
      </c>
      <c r="BM81" t="b">
        <v>0</v>
      </c>
      <c r="BN81" t="b">
        <v>0</v>
      </c>
      <c r="BO81" t="b">
        <v>1</v>
      </c>
      <c r="BQ81" t="b">
        <v>0</v>
      </c>
      <c r="BR81" s="6"/>
      <c r="BT81" t="b">
        <v>0</v>
      </c>
      <c r="BU81" t="s">
        <v>503</v>
      </c>
      <c r="BV81" t="s">
        <v>504</v>
      </c>
      <c r="BW81" t="s">
        <v>154</v>
      </c>
      <c r="BX81" t="s">
        <v>44</v>
      </c>
      <c r="BY81" s="6" t="s">
        <v>241</v>
      </c>
      <c r="BZ81">
        <v>1</v>
      </c>
      <c r="CA81" t="s">
        <v>157</v>
      </c>
      <c r="CB81" s="7">
        <v>46315.0537962963</v>
      </c>
    </row>
    <row r="82" spans="1:80">
      <c r="A82" s="6" t="s">
        <v>714</v>
      </c>
      <c r="B82" t="s">
        <v>491</v>
      </c>
      <c r="C82" s="6" t="s">
        <v>492</v>
      </c>
      <c r="D82" s="6"/>
      <c r="E82" t="s">
        <v>493</v>
      </c>
      <c r="F82" t="s">
        <v>494</v>
      </c>
      <c r="G82" s="6">
        <v>39</v>
      </c>
      <c r="H82" s="6"/>
      <c r="I82" t="s">
        <v>491</v>
      </c>
      <c r="J82" s="3">
        <v>46265</v>
      </c>
      <c r="K82" t="s">
        <v>495</v>
      </c>
      <c r="L82" t="s">
        <v>139</v>
      </c>
      <c r="N82" t="s">
        <v>188</v>
      </c>
      <c r="Q82" t="s">
        <v>190</v>
      </c>
      <c r="S82" t="s">
        <v>144</v>
      </c>
      <c r="T82" t="s">
        <v>191</v>
      </c>
      <c r="V82" t="s">
        <v>192</v>
      </c>
      <c r="W82" t="s">
        <v>38</v>
      </c>
      <c r="X82" s="6" t="s">
        <v>193</v>
      </c>
      <c r="Y82" s="6"/>
      <c r="Z82" t="s">
        <v>148</v>
      </c>
      <c r="AA82" t="s">
        <v>149</v>
      </c>
      <c r="AC82" t="s">
        <v>150</v>
      </c>
      <c r="AD82" s="6"/>
      <c r="AF82" s="3">
        <v>27063</v>
      </c>
      <c r="AG82">
        <v>52</v>
      </c>
      <c r="AH82" t="b">
        <v>0</v>
      </c>
      <c r="AI82" t="b">
        <v>1</v>
      </c>
      <c r="AJ82" s="6" t="s">
        <v>715</v>
      </c>
      <c r="AK82" s="6" t="s">
        <v>171</v>
      </c>
      <c r="AL82" t="b">
        <v>0</v>
      </c>
      <c r="AM82" s="6"/>
      <c r="AN82" s="6"/>
      <c r="AP82" t="b">
        <v>0</v>
      </c>
      <c r="AQ82" s="6"/>
      <c r="AR82" s="6"/>
      <c r="AT82" t="b">
        <v>0</v>
      </c>
      <c r="AU82" s="6"/>
      <c r="AV82" s="6"/>
      <c r="AX82" t="b">
        <v>0</v>
      </c>
      <c r="AY82" s="6"/>
      <c r="AZ82" s="6"/>
      <c r="BA82" t="b">
        <v>0</v>
      </c>
      <c r="BB82" s="6"/>
      <c r="BC82" t="b">
        <v>0</v>
      </c>
      <c r="BD82" s="6"/>
      <c r="BE82" s="6"/>
      <c r="BF82" t="b">
        <v>0</v>
      </c>
      <c r="BG82" s="6"/>
      <c r="BH82" t="b">
        <v>1</v>
      </c>
      <c r="BI82" s="6" t="s">
        <v>194</v>
      </c>
      <c r="BJ82" t="b">
        <v>1</v>
      </c>
      <c r="BL82" t="b">
        <v>0</v>
      </c>
      <c r="BM82" t="b">
        <v>0</v>
      </c>
      <c r="BN82" t="b">
        <v>0</v>
      </c>
      <c r="BO82" t="b">
        <v>1</v>
      </c>
      <c r="BQ82" t="b">
        <v>0</v>
      </c>
      <c r="BR82" s="6"/>
      <c r="BT82" t="b">
        <v>0</v>
      </c>
      <c r="BU82" t="s">
        <v>503</v>
      </c>
      <c r="BV82" t="s">
        <v>504</v>
      </c>
      <c r="BW82" t="s">
        <v>171</v>
      </c>
      <c r="BY82" s="6" t="s">
        <v>195</v>
      </c>
      <c r="BZ82">
        <v>1</v>
      </c>
      <c r="CB82" s="7">
        <v>46315.0537962963</v>
      </c>
    </row>
    <row r="83" spans="1:80">
      <c r="A83" s="6" t="s">
        <v>716</v>
      </c>
      <c r="B83" t="s">
        <v>491</v>
      </c>
      <c r="C83" s="6" t="s">
        <v>492</v>
      </c>
      <c r="D83" s="6"/>
      <c r="E83" t="s">
        <v>493</v>
      </c>
      <c r="F83" t="s">
        <v>494</v>
      </c>
      <c r="G83" s="6">
        <v>40</v>
      </c>
      <c r="H83" s="6"/>
      <c r="I83" t="s">
        <v>491</v>
      </c>
      <c r="J83" s="3">
        <v>46265</v>
      </c>
      <c r="K83" t="s">
        <v>495</v>
      </c>
      <c r="L83" t="s">
        <v>139</v>
      </c>
      <c r="N83" t="s">
        <v>162</v>
      </c>
      <c r="Q83" t="s">
        <v>717</v>
      </c>
      <c r="R83" t="s">
        <v>214</v>
      </c>
      <c r="S83" t="s">
        <v>144</v>
      </c>
      <c r="T83" t="s">
        <v>718</v>
      </c>
      <c r="V83" t="s">
        <v>719</v>
      </c>
      <c r="W83" t="s">
        <v>36</v>
      </c>
      <c r="X83" s="6" t="s">
        <v>720</v>
      </c>
      <c r="Y83" s="6"/>
      <c r="Z83" t="s">
        <v>148</v>
      </c>
      <c r="AA83" t="s">
        <v>205</v>
      </c>
      <c r="AC83" t="s">
        <v>150</v>
      </c>
      <c r="AD83" s="6"/>
      <c r="AF83" s="3">
        <v>18989</v>
      </c>
      <c r="AG83">
        <v>74</v>
      </c>
      <c r="AH83" t="b">
        <v>0</v>
      </c>
      <c r="AI83" t="b">
        <v>1</v>
      </c>
      <c r="AJ83" s="6" t="s">
        <v>721</v>
      </c>
      <c r="AK83" s="6" t="s">
        <v>171</v>
      </c>
      <c r="AL83" t="b">
        <v>0</v>
      </c>
      <c r="AM83" s="6"/>
      <c r="AN83" s="6"/>
      <c r="AP83" t="b">
        <v>0</v>
      </c>
      <c r="AQ83" s="6"/>
      <c r="AR83" s="6"/>
      <c r="AT83" t="b">
        <v>0</v>
      </c>
      <c r="AU83" s="6"/>
      <c r="AV83" s="6"/>
      <c r="AX83" t="b">
        <v>0</v>
      </c>
      <c r="AY83" s="6"/>
      <c r="AZ83" s="6"/>
      <c r="BA83" t="b">
        <v>0</v>
      </c>
      <c r="BB83" s="6"/>
      <c r="BC83" t="b">
        <v>0</v>
      </c>
      <c r="BD83" s="6"/>
      <c r="BE83" s="6"/>
      <c r="BF83" t="b">
        <v>0</v>
      </c>
      <c r="BG83" s="6"/>
      <c r="BH83" t="b">
        <v>1</v>
      </c>
      <c r="BI83" s="6" t="s">
        <v>722</v>
      </c>
      <c r="BJ83" t="b">
        <v>1</v>
      </c>
      <c r="BL83" t="b">
        <v>0</v>
      </c>
      <c r="BM83" t="b">
        <v>0</v>
      </c>
      <c r="BN83" t="b">
        <v>0</v>
      </c>
      <c r="BO83" t="b">
        <v>0</v>
      </c>
      <c r="BQ83" t="b">
        <v>0</v>
      </c>
      <c r="BR83" s="6"/>
      <c r="BT83" t="b">
        <v>0</v>
      </c>
      <c r="BU83" t="s">
        <v>503</v>
      </c>
      <c r="BV83" t="s">
        <v>504</v>
      </c>
      <c r="BW83" t="s">
        <v>154</v>
      </c>
      <c r="BX83" t="s">
        <v>723</v>
      </c>
      <c r="BY83" s="6" t="s">
        <v>724</v>
      </c>
      <c r="BZ83">
        <v>1</v>
      </c>
      <c r="CA83" t="s">
        <v>157</v>
      </c>
      <c r="CB83" s="7">
        <v>46315.0537962963</v>
      </c>
    </row>
    <row r="84" spans="1:80">
      <c r="A84" s="6" t="s">
        <v>725</v>
      </c>
      <c r="B84" t="s">
        <v>491</v>
      </c>
      <c r="C84" s="6" t="s">
        <v>492</v>
      </c>
      <c r="D84" s="6"/>
      <c r="E84" t="s">
        <v>493</v>
      </c>
      <c r="F84" t="s">
        <v>494</v>
      </c>
      <c r="G84" s="6">
        <v>41</v>
      </c>
      <c r="H84" s="6"/>
      <c r="I84" t="s">
        <v>491</v>
      </c>
      <c r="J84" s="3">
        <v>46265</v>
      </c>
      <c r="K84" t="s">
        <v>495</v>
      </c>
      <c r="L84" t="s">
        <v>139</v>
      </c>
      <c r="N84" t="s">
        <v>726</v>
      </c>
      <c r="Q84" t="s">
        <v>727</v>
      </c>
      <c r="S84" t="s">
        <v>144</v>
      </c>
      <c r="T84" t="s">
        <v>728</v>
      </c>
      <c r="V84" t="s">
        <v>729</v>
      </c>
      <c r="W84" t="s">
        <v>40</v>
      </c>
      <c r="X84" s="6" t="s">
        <v>730</v>
      </c>
      <c r="Y84" s="6"/>
      <c r="Z84" t="s">
        <v>148</v>
      </c>
      <c r="AA84" t="s">
        <v>205</v>
      </c>
      <c r="AC84" t="s">
        <v>150</v>
      </c>
      <c r="AD84" s="6"/>
      <c r="AF84" s="3">
        <v>38583</v>
      </c>
      <c r="AG84">
        <v>21</v>
      </c>
      <c r="AH84" t="b">
        <v>0</v>
      </c>
      <c r="AI84" t="b">
        <v>1</v>
      </c>
      <c r="AJ84" s="6" t="s">
        <v>731</v>
      </c>
      <c r="AK84" s="6" t="s">
        <v>171</v>
      </c>
      <c r="AL84" t="b">
        <v>0</v>
      </c>
      <c r="AM84" s="6"/>
      <c r="AN84" s="6"/>
      <c r="AP84" t="b">
        <v>0</v>
      </c>
      <c r="AQ84" s="6"/>
      <c r="AR84" s="6"/>
      <c r="AT84" t="b">
        <v>0</v>
      </c>
      <c r="AU84" s="6"/>
      <c r="AV84" s="6"/>
      <c r="AX84" t="b">
        <v>0</v>
      </c>
      <c r="AY84" s="6"/>
      <c r="AZ84" s="6"/>
      <c r="BA84" t="b">
        <v>0</v>
      </c>
      <c r="BB84" s="6"/>
      <c r="BC84" t="b">
        <v>0</v>
      </c>
      <c r="BD84" s="6"/>
      <c r="BE84" s="6"/>
      <c r="BF84" t="b">
        <v>0</v>
      </c>
      <c r="BG84" s="6"/>
      <c r="BH84" t="b">
        <v>1</v>
      </c>
      <c r="BI84" s="6" t="s">
        <v>732</v>
      </c>
      <c r="BJ84" t="b">
        <v>1</v>
      </c>
      <c r="BL84" t="b">
        <v>0</v>
      </c>
      <c r="BM84" t="b">
        <v>0</v>
      </c>
      <c r="BN84" t="b">
        <v>0</v>
      </c>
      <c r="BO84" t="b">
        <v>0</v>
      </c>
      <c r="BQ84" t="b">
        <v>0</v>
      </c>
      <c r="BR84" s="6"/>
      <c r="BT84" t="b">
        <v>0</v>
      </c>
      <c r="BU84" t="s">
        <v>503</v>
      </c>
      <c r="BV84" t="s">
        <v>504</v>
      </c>
      <c r="BW84" t="s">
        <v>154</v>
      </c>
      <c r="BX84" t="s">
        <v>43</v>
      </c>
      <c r="BY84" s="6" t="s">
        <v>733</v>
      </c>
      <c r="BZ84">
        <v>1</v>
      </c>
      <c r="CA84" t="s">
        <v>157</v>
      </c>
      <c r="CB84" s="7">
        <v>46315.0537962963</v>
      </c>
    </row>
    <row r="85" spans="1:80">
      <c r="A85" s="6" t="s">
        <v>734</v>
      </c>
      <c r="B85" t="s">
        <v>491</v>
      </c>
      <c r="C85" s="6" t="s">
        <v>735</v>
      </c>
      <c r="D85" s="6"/>
      <c r="E85" t="s">
        <v>736</v>
      </c>
      <c r="F85" t="s">
        <v>737</v>
      </c>
      <c r="G85" s="6">
        <v>2</v>
      </c>
      <c r="H85" s="6"/>
      <c r="I85" t="s">
        <v>491</v>
      </c>
      <c r="J85" s="3">
        <v>46234</v>
      </c>
      <c r="K85" t="s">
        <v>738</v>
      </c>
      <c r="L85" t="s">
        <v>139</v>
      </c>
      <c r="N85" t="s">
        <v>739</v>
      </c>
      <c r="Q85" t="s">
        <v>740</v>
      </c>
      <c r="S85" t="s">
        <v>144</v>
      </c>
      <c r="T85" t="s">
        <v>741</v>
      </c>
      <c r="V85" t="s">
        <v>742</v>
      </c>
      <c r="W85" t="s">
        <v>40</v>
      </c>
      <c r="X85" s="6" t="s">
        <v>743</v>
      </c>
      <c r="Y85" s="6"/>
      <c r="Z85" t="s">
        <v>148</v>
      </c>
      <c r="AA85" t="s">
        <v>205</v>
      </c>
      <c r="AC85" t="s">
        <v>150</v>
      </c>
      <c r="AD85" s="6" t="s">
        <v>744</v>
      </c>
      <c r="AF85" s="3"/>
      <c r="AH85" t="b">
        <v>0</v>
      </c>
      <c r="AI85" t="b">
        <v>0</v>
      </c>
      <c r="AJ85" s="6"/>
      <c r="AK85" s="6"/>
      <c r="AL85" t="b">
        <v>0</v>
      </c>
      <c r="AM85" s="6"/>
      <c r="AN85" s="6"/>
      <c r="AP85" t="b">
        <v>0</v>
      </c>
      <c r="AQ85" s="6"/>
      <c r="AR85" s="6"/>
      <c r="AT85" t="b">
        <v>0</v>
      </c>
      <c r="AU85" s="6"/>
      <c r="AV85" s="6"/>
      <c r="AX85" t="b">
        <v>0</v>
      </c>
      <c r="AY85" s="6"/>
      <c r="AZ85" s="6"/>
      <c r="BA85" t="b">
        <v>0</v>
      </c>
      <c r="BB85" s="6"/>
      <c r="BC85" t="b">
        <v>1</v>
      </c>
      <c r="BD85" s="6" t="s">
        <v>745</v>
      </c>
      <c r="BE85" s="6" t="s">
        <v>746</v>
      </c>
      <c r="BF85" t="b">
        <v>0</v>
      </c>
      <c r="BG85" s="6"/>
      <c r="BH85" t="b">
        <v>0</v>
      </c>
      <c r="BI85" s="6"/>
      <c r="BJ85" t="b">
        <v>0</v>
      </c>
      <c r="BL85" t="b">
        <v>0</v>
      </c>
      <c r="BM85" t="b">
        <v>0</v>
      </c>
      <c r="BN85" t="b">
        <v>0</v>
      </c>
      <c r="BO85" t="b">
        <v>0</v>
      </c>
      <c r="BQ85" t="b">
        <v>0</v>
      </c>
      <c r="BR85" s="6"/>
      <c r="BT85" t="b">
        <v>0</v>
      </c>
      <c r="BU85" t="s">
        <v>747</v>
      </c>
      <c r="BV85" t="s">
        <v>504</v>
      </c>
      <c r="BW85" t="s">
        <v>289</v>
      </c>
      <c r="BX85" t="s">
        <v>748</v>
      </c>
      <c r="BY85" s="6" t="s">
        <v>749</v>
      </c>
      <c r="BZ85">
        <v>1</v>
      </c>
      <c r="CA85" t="s">
        <v>157</v>
      </c>
      <c r="CB85" s="7">
        <v>46315.0537962963</v>
      </c>
    </row>
    <row r="86" spans="1:80">
      <c r="A86" s="6" t="s">
        <v>750</v>
      </c>
      <c r="B86" t="s">
        <v>491</v>
      </c>
      <c r="C86" s="6" t="s">
        <v>735</v>
      </c>
      <c r="D86" s="6"/>
      <c r="E86" t="s">
        <v>736</v>
      </c>
      <c r="F86" t="s">
        <v>737</v>
      </c>
      <c r="G86" s="6">
        <v>3</v>
      </c>
      <c r="H86" s="6"/>
      <c r="I86" t="s">
        <v>491</v>
      </c>
      <c r="J86" s="3">
        <v>46234</v>
      </c>
      <c r="K86" t="s">
        <v>738</v>
      </c>
      <c r="L86" t="s">
        <v>139</v>
      </c>
      <c r="N86" t="s">
        <v>751</v>
      </c>
      <c r="Q86" t="s">
        <v>752</v>
      </c>
      <c r="S86" t="s">
        <v>144</v>
      </c>
      <c r="T86" t="s">
        <v>753</v>
      </c>
      <c r="V86" t="s">
        <v>754</v>
      </c>
      <c r="W86" t="s">
        <v>33</v>
      </c>
      <c r="X86" s="6" t="s">
        <v>755</v>
      </c>
      <c r="Y86" s="6"/>
      <c r="Z86" t="s">
        <v>148</v>
      </c>
      <c r="AA86" t="s">
        <v>205</v>
      </c>
      <c r="AC86" t="s">
        <v>150</v>
      </c>
      <c r="AD86" s="6" t="s">
        <v>756</v>
      </c>
      <c r="AF86" s="3"/>
      <c r="AH86" t="b">
        <v>0</v>
      </c>
      <c r="AI86" t="b">
        <v>0</v>
      </c>
      <c r="AJ86" s="6"/>
      <c r="AK86" s="6"/>
      <c r="AL86" t="b">
        <v>0</v>
      </c>
      <c r="AM86" s="6"/>
      <c r="AN86" s="6"/>
      <c r="AP86" t="b">
        <v>0</v>
      </c>
      <c r="AQ86" s="6"/>
      <c r="AR86" s="6"/>
      <c r="AT86" t="b">
        <v>0</v>
      </c>
      <c r="AU86" s="6"/>
      <c r="AV86" s="6"/>
      <c r="AX86" t="b">
        <v>0</v>
      </c>
      <c r="AY86" s="6"/>
      <c r="AZ86" s="6"/>
      <c r="BA86" t="b">
        <v>0</v>
      </c>
      <c r="BB86" s="6"/>
      <c r="BC86" t="b">
        <v>1</v>
      </c>
      <c r="BD86" s="6" t="s">
        <v>757</v>
      </c>
      <c r="BE86" s="6" t="s">
        <v>758</v>
      </c>
      <c r="BF86" t="b">
        <v>0</v>
      </c>
      <c r="BG86" s="6"/>
      <c r="BH86" t="b">
        <v>0</v>
      </c>
      <c r="BI86" s="6"/>
      <c r="BJ86" t="b">
        <v>0</v>
      </c>
      <c r="BL86" t="b">
        <v>0</v>
      </c>
      <c r="BM86" t="b">
        <v>0</v>
      </c>
      <c r="BN86" t="b">
        <v>0</v>
      </c>
      <c r="BO86" t="b">
        <v>0</v>
      </c>
      <c r="BQ86" t="b">
        <v>0</v>
      </c>
      <c r="BR86" s="6"/>
      <c r="BT86" t="b">
        <v>0</v>
      </c>
      <c r="BU86" t="s">
        <v>747</v>
      </c>
      <c r="BV86" t="s">
        <v>504</v>
      </c>
      <c r="BW86" t="s">
        <v>154</v>
      </c>
      <c r="BX86" t="s">
        <v>759</v>
      </c>
      <c r="BY86" s="6" t="s">
        <v>760</v>
      </c>
      <c r="BZ86">
        <v>1</v>
      </c>
      <c r="CA86" t="s">
        <v>157</v>
      </c>
      <c r="CB86" s="7">
        <v>46315.0537962963</v>
      </c>
    </row>
    <row r="87" spans="1:80">
      <c r="A87" s="6" t="s">
        <v>761</v>
      </c>
      <c r="B87" t="s">
        <v>491</v>
      </c>
      <c r="C87" s="6" t="s">
        <v>735</v>
      </c>
      <c r="D87" s="6"/>
      <c r="E87" t="s">
        <v>736</v>
      </c>
      <c r="F87" t="s">
        <v>737</v>
      </c>
      <c r="G87" s="6">
        <v>4</v>
      </c>
      <c r="H87" s="6"/>
      <c r="I87" t="s">
        <v>491</v>
      </c>
      <c r="J87" s="3">
        <v>46234</v>
      </c>
      <c r="K87" t="s">
        <v>738</v>
      </c>
      <c r="L87" t="s">
        <v>139</v>
      </c>
      <c r="N87" t="s">
        <v>762</v>
      </c>
      <c r="Q87" t="s">
        <v>763</v>
      </c>
      <c r="S87" t="s">
        <v>144</v>
      </c>
      <c r="T87" t="s">
        <v>764</v>
      </c>
      <c r="V87" t="s">
        <v>603</v>
      </c>
      <c r="W87" t="s">
        <v>39</v>
      </c>
      <c r="X87" s="6" t="s">
        <v>765</v>
      </c>
      <c r="Y87" s="6"/>
      <c r="Z87" t="s">
        <v>148</v>
      </c>
      <c r="AA87" t="s">
        <v>205</v>
      </c>
      <c r="AC87" t="s">
        <v>150</v>
      </c>
      <c r="AD87" s="6" t="s">
        <v>766</v>
      </c>
      <c r="AF87" s="3"/>
      <c r="AH87" t="b">
        <v>0</v>
      </c>
      <c r="AI87" t="b">
        <v>0</v>
      </c>
      <c r="AJ87" s="6"/>
      <c r="AK87" s="6"/>
      <c r="AL87" t="b">
        <v>0</v>
      </c>
      <c r="AM87" s="6"/>
      <c r="AN87" s="6"/>
      <c r="AP87" t="b">
        <v>0</v>
      </c>
      <c r="AQ87" s="6"/>
      <c r="AR87" s="6"/>
      <c r="AT87" t="b">
        <v>0</v>
      </c>
      <c r="AU87" s="6"/>
      <c r="AV87" s="6"/>
      <c r="AX87" t="b">
        <v>0</v>
      </c>
      <c r="AY87" s="6"/>
      <c r="AZ87" s="6"/>
      <c r="BA87" t="b">
        <v>0</v>
      </c>
      <c r="BB87" s="6"/>
      <c r="BC87" t="b">
        <v>1</v>
      </c>
      <c r="BD87" s="6" t="s">
        <v>767</v>
      </c>
      <c r="BE87" s="6" t="s">
        <v>171</v>
      </c>
      <c r="BF87" t="b">
        <v>0</v>
      </c>
      <c r="BG87" s="6"/>
      <c r="BH87" t="b">
        <v>0</v>
      </c>
      <c r="BI87" s="6"/>
      <c r="BJ87" t="b">
        <v>0</v>
      </c>
      <c r="BL87" t="b">
        <v>0</v>
      </c>
      <c r="BM87" t="b">
        <v>0</v>
      </c>
      <c r="BN87" t="b">
        <v>0</v>
      </c>
      <c r="BO87" t="b">
        <v>0</v>
      </c>
      <c r="BQ87" t="b">
        <v>0</v>
      </c>
      <c r="BR87" s="6"/>
      <c r="BT87" t="b">
        <v>0</v>
      </c>
      <c r="BU87" t="s">
        <v>747</v>
      </c>
      <c r="BV87" t="s">
        <v>504</v>
      </c>
      <c r="BW87" t="s">
        <v>154</v>
      </c>
      <c r="BX87" t="s">
        <v>43</v>
      </c>
      <c r="BY87" s="6" t="s">
        <v>768</v>
      </c>
      <c r="BZ87">
        <v>1</v>
      </c>
      <c r="CA87" t="s">
        <v>157</v>
      </c>
      <c r="CB87" s="7">
        <v>46315.0537962963</v>
      </c>
    </row>
    <row r="88" spans="1:80">
      <c r="A88" s="6" t="s">
        <v>769</v>
      </c>
      <c r="B88" t="s">
        <v>491</v>
      </c>
      <c r="C88" s="6" t="s">
        <v>735</v>
      </c>
      <c r="D88" s="6"/>
      <c r="E88" t="s">
        <v>736</v>
      </c>
      <c r="F88" t="s">
        <v>737</v>
      </c>
      <c r="G88" s="6">
        <v>5</v>
      </c>
      <c r="H88" s="6"/>
      <c r="I88" t="s">
        <v>491</v>
      </c>
      <c r="J88" s="3">
        <v>46234</v>
      </c>
      <c r="K88" t="s">
        <v>738</v>
      </c>
      <c r="L88" t="s">
        <v>139</v>
      </c>
      <c r="N88" t="s">
        <v>610</v>
      </c>
      <c r="Q88" t="s">
        <v>611</v>
      </c>
      <c r="S88" t="s">
        <v>144</v>
      </c>
      <c r="T88" t="s">
        <v>612</v>
      </c>
      <c r="U88" t="s">
        <v>613</v>
      </c>
      <c r="V88" t="s">
        <v>614</v>
      </c>
      <c r="W88" t="s">
        <v>39</v>
      </c>
      <c r="X88" s="6" t="s">
        <v>615</v>
      </c>
      <c r="Y88" s="6"/>
      <c r="Z88" t="s">
        <v>148</v>
      </c>
      <c r="AA88" t="s">
        <v>205</v>
      </c>
      <c r="AC88" t="s">
        <v>150</v>
      </c>
      <c r="AD88" s="6" t="s">
        <v>770</v>
      </c>
      <c r="AF88" s="3"/>
      <c r="AH88" t="b">
        <v>0</v>
      </c>
      <c r="AI88" t="b">
        <v>0</v>
      </c>
      <c r="AJ88" s="6"/>
      <c r="AK88" s="6"/>
      <c r="AL88" t="b">
        <v>0</v>
      </c>
      <c r="AM88" s="6"/>
      <c r="AN88" s="6"/>
      <c r="AP88" t="b">
        <v>0</v>
      </c>
      <c r="AQ88" s="6"/>
      <c r="AR88" s="6"/>
      <c r="AT88" t="b">
        <v>0</v>
      </c>
      <c r="AU88" s="6"/>
      <c r="AV88" s="6"/>
      <c r="AX88" t="b">
        <v>0</v>
      </c>
      <c r="AY88" s="6"/>
      <c r="AZ88" s="6"/>
      <c r="BA88" t="b">
        <v>0</v>
      </c>
      <c r="BB88" s="6"/>
      <c r="BC88" t="b">
        <v>1</v>
      </c>
      <c r="BD88" s="6" t="s">
        <v>771</v>
      </c>
      <c r="BE88" s="6" t="s">
        <v>171</v>
      </c>
      <c r="BF88" t="b">
        <v>0</v>
      </c>
      <c r="BG88" s="6"/>
      <c r="BH88" t="b">
        <v>0</v>
      </c>
      <c r="BI88" s="6"/>
      <c r="BJ88" t="b">
        <v>0</v>
      </c>
      <c r="BL88" t="b">
        <v>0</v>
      </c>
      <c r="BM88" t="b">
        <v>0</v>
      </c>
      <c r="BN88" t="b">
        <v>0</v>
      </c>
      <c r="BO88" t="b">
        <v>0</v>
      </c>
      <c r="BQ88" t="b">
        <v>0</v>
      </c>
      <c r="BR88" s="6"/>
      <c r="BT88" t="b">
        <v>0</v>
      </c>
      <c r="BU88" t="s">
        <v>747</v>
      </c>
      <c r="BV88" t="s">
        <v>504</v>
      </c>
      <c r="BW88" t="s">
        <v>154</v>
      </c>
      <c r="BX88" t="s">
        <v>618</v>
      </c>
      <c r="BY88" s="6" t="s">
        <v>619</v>
      </c>
      <c r="BZ88">
        <v>1</v>
      </c>
      <c r="CA88" t="s">
        <v>157</v>
      </c>
      <c r="CB88" s="7">
        <v>46315.0537962963</v>
      </c>
    </row>
    <row r="89" spans="1:80">
      <c r="A89" s="6" t="s">
        <v>772</v>
      </c>
      <c r="B89" t="s">
        <v>491</v>
      </c>
      <c r="C89" s="6" t="s">
        <v>735</v>
      </c>
      <c r="D89" s="6"/>
      <c r="E89" t="s">
        <v>736</v>
      </c>
      <c r="F89" t="s">
        <v>737</v>
      </c>
      <c r="G89" s="6">
        <v>6</v>
      </c>
      <c r="H89" s="6"/>
      <c r="I89" t="s">
        <v>491</v>
      </c>
      <c r="J89" s="3">
        <v>46234</v>
      </c>
      <c r="K89" t="s">
        <v>738</v>
      </c>
      <c r="L89" t="s">
        <v>139</v>
      </c>
      <c r="N89" t="s">
        <v>479</v>
      </c>
      <c r="Q89" t="s">
        <v>423</v>
      </c>
      <c r="S89" t="s">
        <v>144</v>
      </c>
      <c r="T89" t="s">
        <v>480</v>
      </c>
      <c r="V89" t="s">
        <v>481</v>
      </c>
      <c r="W89" t="s">
        <v>39</v>
      </c>
      <c r="X89" s="6" t="s">
        <v>482</v>
      </c>
      <c r="Y89" s="6"/>
      <c r="Z89" t="s">
        <v>148</v>
      </c>
      <c r="AA89" t="s">
        <v>149</v>
      </c>
      <c r="AC89" t="s">
        <v>150</v>
      </c>
      <c r="AD89" s="6" t="s">
        <v>773</v>
      </c>
      <c r="AF89" s="3"/>
      <c r="AH89" t="b">
        <v>0</v>
      </c>
      <c r="AI89" t="b">
        <v>0</v>
      </c>
      <c r="AJ89" s="6"/>
      <c r="AK89" s="6"/>
      <c r="AL89" t="b">
        <v>0</v>
      </c>
      <c r="AM89" s="6"/>
      <c r="AN89" s="6"/>
      <c r="AP89" t="b">
        <v>0</v>
      </c>
      <c r="AQ89" s="6"/>
      <c r="AR89" s="6"/>
      <c r="AT89" t="b">
        <v>0</v>
      </c>
      <c r="AU89" s="6"/>
      <c r="AV89" s="6"/>
      <c r="AX89" t="b">
        <v>0</v>
      </c>
      <c r="AY89" s="6"/>
      <c r="AZ89" s="6"/>
      <c r="BA89" t="b">
        <v>0</v>
      </c>
      <c r="BB89" s="6"/>
      <c r="BC89" t="b">
        <v>1</v>
      </c>
      <c r="BD89" s="6" t="s">
        <v>774</v>
      </c>
      <c r="BE89" s="6" t="s">
        <v>171</v>
      </c>
      <c r="BF89" t="b">
        <v>0</v>
      </c>
      <c r="BG89" s="6"/>
      <c r="BH89" t="b">
        <v>0</v>
      </c>
      <c r="BI89" s="6"/>
      <c r="BJ89" t="b">
        <v>0</v>
      </c>
      <c r="BL89" t="b">
        <v>0</v>
      </c>
      <c r="BM89" t="b">
        <v>0</v>
      </c>
      <c r="BN89" t="b">
        <v>0</v>
      </c>
      <c r="BO89" t="b">
        <v>0</v>
      </c>
      <c r="BQ89" t="b">
        <v>0</v>
      </c>
      <c r="BR89" s="6"/>
      <c r="BT89" t="b">
        <v>0</v>
      </c>
      <c r="BU89" t="s">
        <v>747</v>
      </c>
      <c r="BV89" t="s">
        <v>504</v>
      </c>
      <c r="BW89" t="s">
        <v>171</v>
      </c>
      <c r="BY89" s="6" t="s">
        <v>485</v>
      </c>
      <c r="BZ89">
        <v>1</v>
      </c>
      <c r="CB89" s="7">
        <v>46315.0537962963</v>
      </c>
    </row>
    <row r="90" spans="1:80">
      <c r="A90" s="6" t="s">
        <v>775</v>
      </c>
      <c r="B90" t="s">
        <v>491</v>
      </c>
      <c r="C90" s="6" t="s">
        <v>735</v>
      </c>
      <c r="D90" s="6"/>
      <c r="E90" t="s">
        <v>736</v>
      </c>
      <c r="F90" t="s">
        <v>737</v>
      </c>
      <c r="G90" s="6">
        <v>7</v>
      </c>
      <c r="H90" s="6"/>
      <c r="I90" t="s">
        <v>491</v>
      </c>
      <c r="J90" s="3">
        <v>46234</v>
      </c>
      <c r="K90" t="s">
        <v>738</v>
      </c>
      <c r="L90" t="s">
        <v>139</v>
      </c>
      <c r="N90" t="s">
        <v>776</v>
      </c>
      <c r="Q90" t="s">
        <v>777</v>
      </c>
      <c r="S90" t="s">
        <v>144</v>
      </c>
      <c r="T90" t="s">
        <v>778</v>
      </c>
      <c r="V90" t="s">
        <v>779</v>
      </c>
      <c r="W90" t="s">
        <v>36</v>
      </c>
      <c r="X90" s="6" t="s">
        <v>780</v>
      </c>
      <c r="Y90" s="6"/>
      <c r="Z90" t="s">
        <v>148</v>
      </c>
      <c r="AA90" t="s">
        <v>149</v>
      </c>
      <c r="AC90" t="s">
        <v>150</v>
      </c>
      <c r="AD90" s="6" t="s">
        <v>781</v>
      </c>
      <c r="AF90" s="3"/>
      <c r="AH90" t="b">
        <v>0</v>
      </c>
      <c r="AI90" t="b">
        <v>0</v>
      </c>
      <c r="AJ90" s="6"/>
      <c r="AK90" s="6"/>
      <c r="AL90" t="b">
        <v>0</v>
      </c>
      <c r="AM90" s="6"/>
      <c r="AN90" s="6"/>
      <c r="AP90" t="b">
        <v>0</v>
      </c>
      <c r="AQ90" s="6"/>
      <c r="AR90" s="6"/>
      <c r="AT90" t="b">
        <v>0</v>
      </c>
      <c r="AU90" s="6"/>
      <c r="AV90" s="6"/>
      <c r="AX90" t="b">
        <v>0</v>
      </c>
      <c r="AY90" s="6"/>
      <c r="AZ90" s="6"/>
      <c r="BA90" t="b">
        <v>0</v>
      </c>
      <c r="BB90" s="6"/>
      <c r="BC90" t="b">
        <v>1</v>
      </c>
      <c r="BD90" s="6" t="s">
        <v>782</v>
      </c>
      <c r="BE90" s="6" t="s">
        <v>171</v>
      </c>
      <c r="BF90" t="b">
        <v>0</v>
      </c>
      <c r="BG90" s="6"/>
      <c r="BH90" t="b">
        <v>0</v>
      </c>
      <c r="BI90" s="6"/>
      <c r="BJ90" t="b">
        <v>0</v>
      </c>
      <c r="BL90" t="b">
        <v>0</v>
      </c>
      <c r="BM90" t="b">
        <v>0</v>
      </c>
      <c r="BN90" t="b">
        <v>0</v>
      </c>
      <c r="BO90" t="b">
        <v>0</v>
      </c>
      <c r="BQ90" t="b">
        <v>0</v>
      </c>
      <c r="BR90" s="6"/>
      <c r="BT90" t="b">
        <v>0</v>
      </c>
      <c r="BU90" t="s">
        <v>747</v>
      </c>
      <c r="BV90" t="s">
        <v>504</v>
      </c>
      <c r="BW90" t="s">
        <v>154</v>
      </c>
      <c r="BX90" t="s">
        <v>47</v>
      </c>
      <c r="BY90" s="6" t="s">
        <v>783</v>
      </c>
      <c r="BZ90">
        <v>1</v>
      </c>
      <c r="CA90" t="s">
        <v>157</v>
      </c>
      <c r="CB90" s="7">
        <v>46315.0537962963</v>
      </c>
    </row>
    <row r="91" spans="1:80">
      <c r="A91" s="6" t="s">
        <v>784</v>
      </c>
      <c r="B91" t="s">
        <v>491</v>
      </c>
      <c r="C91" s="6" t="s">
        <v>735</v>
      </c>
      <c r="D91" s="6"/>
      <c r="E91" t="s">
        <v>736</v>
      </c>
      <c r="F91" t="s">
        <v>737</v>
      </c>
      <c r="G91" s="6">
        <v>8</v>
      </c>
      <c r="H91" s="6"/>
      <c r="I91" t="s">
        <v>491</v>
      </c>
      <c r="J91" s="3">
        <v>46234</v>
      </c>
      <c r="K91" t="s">
        <v>738</v>
      </c>
      <c r="L91" t="s">
        <v>139</v>
      </c>
      <c r="N91" t="s">
        <v>785</v>
      </c>
      <c r="Q91" t="s">
        <v>786</v>
      </c>
      <c r="S91" t="s">
        <v>144</v>
      </c>
      <c r="T91" t="s">
        <v>787</v>
      </c>
      <c r="V91" t="s">
        <v>788</v>
      </c>
      <c r="W91" t="s">
        <v>33</v>
      </c>
      <c r="X91" s="6" t="s">
        <v>789</v>
      </c>
      <c r="Y91" s="6"/>
      <c r="Z91" t="s">
        <v>148</v>
      </c>
      <c r="AA91" t="s">
        <v>205</v>
      </c>
      <c r="AC91" t="s">
        <v>150</v>
      </c>
      <c r="AD91" s="6" t="s">
        <v>790</v>
      </c>
      <c r="AF91" s="3"/>
      <c r="AH91" t="b">
        <v>0</v>
      </c>
      <c r="AI91" t="b">
        <v>0</v>
      </c>
      <c r="AJ91" s="6"/>
      <c r="AK91" s="6"/>
      <c r="AL91" t="b">
        <v>0</v>
      </c>
      <c r="AM91" s="6"/>
      <c r="AN91" s="6"/>
      <c r="AP91" t="b">
        <v>0</v>
      </c>
      <c r="AQ91" s="6"/>
      <c r="AR91" s="6"/>
      <c r="AT91" t="b">
        <v>0</v>
      </c>
      <c r="AU91" s="6"/>
      <c r="AV91" s="6"/>
      <c r="AX91" t="b">
        <v>0</v>
      </c>
      <c r="AY91" s="6"/>
      <c r="AZ91" s="6"/>
      <c r="BA91" t="b">
        <v>0</v>
      </c>
      <c r="BB91" s="6"/>
      <c r="BC91" t="b">
        <v>1</v>
      </c>
      <c r="BD91" s="6" t="s">
        <v>791</v>
      </c>
      <c r="BE91" s="6" t="s">
        <v>171</v>
      </c>
      <c r="BF91" t="b">
        <v>0</v>
      </c>
      <c r="BG91" s="6"/>
      <c r="BH91" t="b">
        <v>0</v>
      </c>
      <c r="BI91" s="6"/>
      <c r="BJ91" t="b">
        <v>0</v>
      </c>
      <c r="BL91" t="b">
        <v>0</v>
      </c>
      <c r="BM91" t="b">
        <v>0</v>
      </c>
      <c r="BN91" t="b">
        <v>0</v>
      </c>
      <c r="BO91" t="b">
        <v>0</v>
      </c>
      <c r="BQ91" t="b">
        <v>0</v>
      </c>
      <c r="BR91" s="6"/>
      <c r="BT91" t="b">
        <v>0</v>
      </c>
      <c r="BU91" t="s">
        <v>747</v>
      </c>
      <c r="BV91" t="s">
        <v>504</v>
      </c>
      <c r="BW91" t="s">
        <v>154</v>
      </c>
      <c r="BX91" t="s">
        <v>792</v>
      </c>
      <c r="BY91" s="6" t="s">
        <v>793</v>
      </c>
      <c r="BZ91">
        <v>1</v>
      </c>
      <c r="CA91" t="s">
        <v>157</v>
      </c>
      <c r="CB91" s="7">
        <v>46315.0537962963</v>
      </c>
    </row>
    <row r="92" spans="1:80">
      <c r="A92" s="6" t="s">
        <v>794</v>
      </c>
      <c r="B92" t="s">
        <v>491</v>
      </c>
      <c r="C92" s="6" t="s">
        <v>735</v>
      </c>
      <c r="D92" s="6"/>
      <c r="E92" t="s">
        <v>736</v>
      </c>
      <c r="F92" t="s">
        <v>737</v>
      </c>
      <c r="G92" s="6">
        <v>9</v>
      </c>
      <c r="H92" s="6"/>
      <c r="I92" t="s">
        <v>491</v>
      </c>
      <c r="J92" s="3">
        <v>46234</v>
      </c>
      <c r="K92" t="s">
        <v>738</v>
      </c>
      <c r="L92" t="s">
        <v>139</v>
      </c>
      <c r="N92" t="s">
        <v>795</v>
      </c>
      <c r="Q92" t="s">
        <v>435</v>
      </c>
      <c r="S92" t="s">
        <v>144</v>
      </c>
      <c r="T92" t="s">
        <v>436</v>
      </c>
      <c r="V92" t="s">
        <v>437</v>
      </c>
      <c r="W92" t="s">
        <v>40</v>
      </c>
      <c r="X92" s="6" t="s">
        <v>438</v>
      </c>
      <c r="Y92" s="6"/>
      <c r="Z92" t="s">
        <v>148</v>
      </c>
      <c r="AA92" t="s">
        <v>149</v>
      </c>
      <c r="AC92" t="s">
        <v>150</v>
      </c>
      <c r="AD92" s="6" t="s">
        <v>796</v>
      </c>
      <c r="AF92" s="3"/>
      <c r="AH92" t="b">
        <v>0</v>
      </c>
      <c r="AI92" t="b">
        <v>0</v>
      </c>
      <c r="AJ92" s="6"/>
      <c r="AK92" s="6"/>
      <c r="AL92" t="b">
        <v>0</v>
      </c>
      <c r="AM92" s="6"/>
      <c r="AN92" s="6"/>
      <c r="AP92" t="b">
        <v>0</v>
      </c>
      <c r="AQ92" s="6"/>
      <c r="AR92" s="6"/>
      <c r="AT92" t="b">
        <v>0</v>
      </c>
      <c r="AU92" s="6"/>
      <c r="AV92" s="6"/>
      <c r="AX92" t="b">
        <v>0</v>
      </c>
      <c r="AY92" s="6"/>
      <c r="AZ92" s="6"/>
      <c r="BA92" t="b">
        <v>0</v>
      </c>
      <c r="BB92" s="6"/>
      <c r="BC92" t="b">
        <v>1</v>
      </c>
      <c r="BD92" s="6" t="s">
        <v>797</v>
      </c>
      <c r="BE92" s="6" t="s">
        <v>171</v>
      </c>
      <c r="BF92" t="b">
        <v>0</v>
      </c>
      <c r="BG92" s="6"/>
      <c r="BH92" t="b">
        <v>0</v>
      </c>
      <c r="BI92" s="6"/>
      <c r="BJ92" t="b">
        <v>0</v>
      </c>
      <c r="BL92" t="b">
        <v>0</v>
      </c>
      <c r="BM92" t="b">
        <v>0</v>
      </c>
      <c r="BN92" t="b">
        <v>0</v>
      </c>
      <c r="BO92" t="b">
        <v>0</v>
      </c>
      <c r="BQ92" t="b">
        <v>0</v>
      </c>
      <c r="BR92" s="6"/>
      <c r="BT92" t="b">
        <v>0</v>
      </c>
      <c r="BU92" t="s">
        <v>747</v>
      </c>
      <c r="BV92" t="s">
        <v>504</v>
      </c>
      <c r="BW92" t="s">
        <v>154</v>
      </c>
      <c r="BX92" t="s">
        <v>44</v>
      </c>
      <c r="BY92" s="6" t="s">
        <v>440</v>
      </c>
      <c r="BZ92">
        <v>1</v>
      </c>
      <c r="CA92" t="s">
        <v>157</v>
      </c>
      <c r="CB92" s="7">
        <v>46315.0537962963</v>
      </c>
    </row>
    <row r="93" spans="1:80">
      <c r="A93" s="6" t="s">
        <v>798</v>
      </c>
      <c r="B93" t="s">
        <v>491</v>
      </c>
      <c r="C93" s="6" t="s">
        <v>735</v>
      </c>
      <c r="D93" s="6"/>
      <c r="E93" t="s">
        <v>736</v>
      </c>
      <c r="F93" t="s">
        <v>737</v>
      </c>
      <c r="G93" s="6">
        <v>10</v>
      </c>
      <c r="H93" s="6"/>
      <c r="I93" t="s">
        <v>491</v>
      </c>
      <c r="J93" s="3">
        <v>46234</v>
      </c>
      <c r="K93" t="s">
        <v>738</v>
      </c>
      <c r="L93" t="s">
        <v>139</v>
      </c>
      <c r="N93" t="s">
        <v>799</v>
      </c>
      <c r="Q93" t="s">
        <v>593</v>
      </c>
      <c r="S93" t="s">
        <v>144</v>
      </c>
      <c r="T93" t="s">
        <v>800</v>
      </c>
      <c r="V93" t="s">
        <v>801</v>
      </c>
      <c r="W93" t="s">
        <v>33</v>
      </c>
      <c r="X93" s="6" t="s">
        <v>802</v>
      </c>
      <c r="Y93" s="6"/>
      <c r="Z93" t="s">
        <v>148</v>
      </c>
      <c r="AA93" t="s">
        <v>149</v>
      </c>
      <c r="AC93" t="s">
        <v>150</v>
      </c>
      <c r="AD93" s="6" t="s">
        <v>803</v>
      </c>
      <c r="AF93" s="3"/>
      <c r="AH93" t="b">
        <v>0</v>
      </c>
      <c r="AI93" t="b">
        <v>0</v>
      </c>
      <c r="AJ93" s="6"/>
      <c r="AK93" s="6"/>
      <c r="AL93" t="b">
        <v>0</v>
      </c>
      <c r="AM93" s="6"/>
      <c r="AN93" s="6"/>
      <c r="AP93" t="b">
        <v>0</v>
      </c>
      <c r="AQ93" s="6"/>
      <c r="AR93" s="6"/>
      <c r="AT93" t="b">
        <v>0</v>
      </c>
      <c r="AU93" s="6"/>
      <c r="AV93" s="6"/>
      <c r="AX93" t="b">
        <v>0</v>
      </c>
      <c r="AY93" s="6"/>
      <c r="AZ93" s="6"/>
      <c r="BA93" t="b">
        <v>0</v>
      </c>
      <c r="BB93" s="6"/>
      <c r="BC93" t="b">
        <v>1</v>
      </c>
      <c r="BD93" s="6" t="s">
        <v>804</v>
      </c>
      <c r="BE93" s="6" t="s">
        <v>805</v>
      </c>
      <c r="BF93" t="b">
        <v>0</v>
      </c>
      <c r="BG93" s="6"/>
      <c r="BH93" t="b">
        <v>0</v>
      </c>
      <c r="BI93" s="6"/>
      <c r="BJ93" t="b">
        <v>0</v>
      </c>
      <c r="BL93" t="b">
        <v>0</v>
      </c>
      <c r="BM93" t="b">
        <v>0</v>
      </c>
      <c r="BN93" t="b">
        <v>0</v>
      </c>
      <c r="BO93" t="b">
        <v>0</v>
      </c>
      <c r="BQ93" t="b">
        <v>0</v>
      </c>
      <c r="BR93" s="6"/>
      <c r="BT93" t="b">
        <v>0</v>
      </c>
      <c r="BU93" t="s">
        <v>747</v>
      </c>
      <c r="BV93" t="s">
        <v>504</v>
      </c>
      <c r="BW93" t="s">
        <v>289</v>
      </c>
      <c r="BX93" t="s">
        <v>806</v>
      </c>
      <c r="BY93" s="6" t="s">
        <v>807</v>
      </c>
      <c r="BZ93">
        <v>1</v>
      </c>
      <c r="CA93" t="s">
        <v>157</v>
      </c>
      <c r="CB93" s="7">
        <v>46315.0537962963</v>
      </c>
    </row>
    <row r="94" spans="1:80">
      <c r="A94" s="6" t="s">
        <v>808</v>
      </c>
      <c r="B94" t="s">
        <v>491</v>
      </c>
      <c r="C94" s="6" t="s">
        <v>735</v>
      </c>
      <c r="D94" s="6"/>
      <c r="E94" t="s">
        <v>736</v>
      </c>
      <c r="F94" t="s">
        <v>737</v>
      </c>
      <c r="G94" s="6">
        <v>11</v>
      </c>
      <c r="H94" s="6"/>
      <c r="I94" t="s">
        <v>491</v>
      </c>
      <c r="J94" s="3">
        <v>46234</v>
      </c>
      <c r="K94" t="s">
        <v>738</v>
      </c>
      <c r="L94" t="s">
        <v>139</v>
      </c>
      <c r="N94" t="s">
        <v>809</v>
      </c>
      <c r="Q94" t="s">
        <v>266</v>
      </c>
      <c r="S94" t="s">
        <v>144</v>
      </c>
      <c r="T94" t="s">
        <v>145</v>
      </c>
      <c r="V94" t="s">
        <v>146</v>
      </c>
      <c r="W94" t="s">
        <v>33</v>
      </c>
      <c r="X94" s="6" t="s">
        <v>147</v>
      </c>
      <c r="Y94" s="6"/>
      <c r="Z94" t="s">
        <v>148</v>
      </c>
      <c r="AA94" t="s">
        <v>149</v>
      </c>
      <c r="AC94" t="s">
        <v>150</v>
      </c>
      <c r="AD94" s="6" t="s">
        <v>810</v>
      </c>
      <c r="AF94" s="3"/>
      <c r="AH94" t="b">
        <v>0</v>
      </c>
      <c r="AI94" t="b">
        <v>0</v>
      </c>
      <c r="AJ94" s="6"/>
      <c r="AK94" s="6"/>
      <c r="AL94" t="b">
        <v>0</v>
      </c>
      <c r="AM94" s="6"/>
      <c r="AN94" s="6"/>
      <c r="AP94" t="b">
        <v>0</v>
      </c>
      <c r="AQ94" s="6"/>
      <c r="AR94" s="6"/>
      <c r="AT94" t="b">
        <v>0</v>
      </c>
      <c r="AU94" s="6"/>
      <c r="AV94" s="6"/>
      <c r="AX94" t="b">
        <v>0</v>
      </c>
      <c r="AY94" s="6"/>
      <c r="AZ94" s="6"/>
      <c r="BA94" t="b">
        <v>0</v>
      </c>
      <c r="BB94" s="6"/>
      <c r="BC94" t="b">
        <v>1</v>
      </c>
      <c r="BD94" s="6" t="s">
        <v>811</v>
      </c>
      <c r="BE94" s="6" t="s">
        <v>171</v>
      </c>
      <c r="BF94" t="b">
        <v>0</v>
      </c>
      <c r="BG94" s="6"/>
      <c r="BH94" t="b">
        <v>0</v>
      </c>
      <c r="BI94" s="6"/>
      <c r="BJ94" t="b">
        <v>0</v>
      </c>
      <c r="BL94" t="b">
        <v>0</v>
      </c>
      <c r="BM94" t="b">
        <v>0</v>
      </c>
      <c r="BN94" t="b">
        <v>0</v>
      </c>
      <c r="BO94" t="b">
        <v>0</v>
      </c>
      <c r="BQ94" t="b">
        <v>0</v>
      </c>
      <c r="BR94" s="6"/>
      <c r="BT94" t="b">
        <v>0</v>
      </c>
      <c r="BU94" t="s">
        <v>747</v>
      </c>
      <c r="BV94" t="s">
        <v>504</v>
      </c>
      <c r="BW94" t="s">
        <v>154</v>
      </c>
      <c r="BX94" t="s">
        <v>812</v>
      </c>
      <c r="BY94" s="6" t="s">
        <v>813</v>
      </c>
      <c r="BZ94">
        <v>1</v>
      </c>
      <c r="CA94" t="s">
        <v>157</v>
      </c>
      <c r="CB94" s="7">
        <v>46315.0537962963</v>
      </c>
    </row>
    <row r="95" spans="1:80">
      <c r="A95" s="6" t="s">
        <v>814</v>
      </c>
      <c r="B95" t="s">
        <v>491</v>
      </c>
      <c r="C95" s="6" t="s">
        <v>735</v>
      </c>
      <c r="D95" s="6"/>
      <c r="E95" t="s">
        <v>736</v>
      </c>
      <c r="F95" t="s">
        <v>737</v>
      </c>
      <c r="G95" s="6">
        <v>12</v>
      </c>
      <c r="H95" s="6"/>
      <c r="I95" t="s">
        <v>491</v>
      </c>
      <c r="J95" s="3">
        <v>46234</v>
      </c>
      <c r="K95" t="s">
        <v>738</v>
      </c>
      <c r="L95" t="s">
        <v>139</v>
      </c>
      <c r="N95" t="s">
        <v>815</v>
      </c>
      <c r="Q95" t="s">
        <v>816</v>
      </c>
      <c r="S95" t="s">
        <v>144</v>
      </c>
      <c r="T95" t="s">
        <v>817</v>
      </c>
      <c r="V95" t="s">
        <v>818</v>
      </c>
      <c r="W95" t="s">
        <v>33</v>
      </c>
      <c r="X95" s="6" t="s">
        <v>819</v>
      </c>
      <c r="Y95" s="6"/>
      <c r="Z95" t="s">
        <v>148</v>
      </c>
      <c r="AA95" t="s">
        <v>205</v>
      </c>
      <c r="AC95" t="s">
        <v>150</v>
      </c>
      <c r="AD95" s="6" t="s">
        <v>820</v>
      </c>
      <c r="AF95" s="3"/>
      <c r="AH95" t="b">
        <v>0</v>
      </c>
      <c r="AI95" t="b">
        <v>0</v>
      </c>
      <c r="AJ95" s="6"/>
      <c r="AK95" s="6"/>
      <c r="AL95" t="b">
        <v>0</v>
      </c>
      <c r="AM95" s="6"/>
      <c r="AN95" s="6"/>
      <c r="AP95" t="b">
        <v>0</v>
      </c>
      <c r="AQ95" s="6"/>
      <c r="AR95" s="6"/>
      <c r="AT95" t="b">
        <v>0</v>
      </c>
      <c r="AU95" s="6"/>
      <c r="AV95" s="6"/>
      <c r="AX95" t="b">
        <v>0</v>
      </c>
      <c r="AY95" s="6"/>
      <c r="AZ95" s="6"/>
      <c r="BA95" t="b">
        <v>0</v>
      </c>
      <c r="BB95" s="6"/>
      <c r="BC95" t="b">
        <v>1</v>
      </c>
      <c r="BD95" s="6" t="s">
        <v>821</v>
      </c>
      <c r="BE95" s="6" t="s">
        <v>758</v>
      </c>
      <c r="BF95" t="b">
        <v>0</v>
      </c>
      <c r="BG95" s="6"/>
      <c r="BH95" t="b">
        <v>0</v>
      </c>
      <c r="BI95" s="6"/>
      <c r="BJ95" t="b">
        <v>0</v>
      </c>
      <c r="BL95" t="b">
        <v>0</v>
      </c>
      <c r="BM95" t="b">
        <v>0</v>
      </c>
      <c r="BN95" t="b">
        <v>0</v>
      </c>
      <c r="BO95" t="b">
        <v>0</v>
      </c>
      <c r="BQ95" t="b">
        <v>0</v>
      </c>
      <c r="BR95" s="6"/>
      <c r="BT95" t="b">
        <v>0</v>
      </c>
      <c r="BU95" t="s">
        <v>747</v>
      </c>
      <c r="BV95" t="s">
        <v>504</v>
      </c>
      <c r="BW95" t="s">
        <v>154</v>
      </c>
      <c r="BX95" t="s">
        <v>759</v>
      </c>
      <c r="BY95" s="6" t="s">
        <v>822</v>
      </c>
      <c r="BZ95">
        <v>1</v>
      </c>
      <c r="CA95" t="s">
        <v>157</v>
      </c>
      <c r="CB95" s="7">
        <v>46315.0537962963</v>
      </c>
    </row>
    <row r="96" spans="1:80">
      <c r="A96" s="6" t="s">
        <v>823</v>
      </c>
      <c r="B96" t="s">
        <v>491</v>
      </c>
      <c r="C96" s="6" t="s">
        <v>735</v>
      </c>
      <c r="D96" s="6"/>
      <c r="E96" t="s">
        <v>736</v>
      </c>
      <c r="F96" t="s">
        <v>737</v>
      </c>
      <c r="G96" s="6">
        <v>13</v>
      </c>
      <c r="H96" s="6"/>
      <c r="I96" t="s">
        <v>491</v>
      </c>
      <c r="J96" s="3">
        <v>46234</v>
      </c>
      <c r="K96" t="s">
        <v>738</v>
      </c>
      <c r="L96" t="s">
        <v>139</v>
      </c>
      <c r="N96" t="s">
        <v>331</v>
      </c>
      <c r="Q96" t="s">
        <v>824</v>
      </c>
      <c r="S96" t="s">
        <v>144</v>
      </c>
      <c r="T96" t="s">
        <v>825</v>
      </c>
      <c r="V96" t="s">
        <v>826</v>
      </c>
      <c r="W96" t="s">
        <v>40</v>
      </c>
      <c r="X96" s="6" t="s">
        <v>827</v>
      </c>
      <c r="Y96" s="6"/>
      <c r="Z96" t="s">
        <v>148</v>
      </c>
      <c r="AA96" t="s">
        <v>205</v>
      </c>
      <c r="AC96" t="s">
        <v>150</v>
      </c>
      <c r="AD96" s="6" t="s">
        <v>828</v>
      </c>
      <c r="AF96" s="3"/>
      <c r="AH96" t="b">
        <v>0</v>
      </c>
      <c r="AI96" t="b">
        <v>0</v>
      </c>
      <c r="AJ96" s="6"/>
      <c r="AK96" s="6"/>
      <c r="AL96" t="b">
        <v>0</v>
      </c>
      <c r="AM96" s="6"/>
      <c r="AN96" s="6"/>
      <c r="AP96" t="b">
        <v>0</v>
      </c>
      <c r="AQ96" s="6"/>
      <c r="AR96" s="6"/>
      <c r="AT96" t="b">
        <v>0</v>
      </c>
      <c r="AU96" s="6"/>
      <c r="AV96" s="6"/>
      <c r="AX96" t="b">
        <v>0</v>
      </c>
      <c r="AY96" s="6"/>
      <c r="AZ96" s="6"/>
      <c r="BA96" t="b">
        <v>0</v>
      </c>
      <c r="BB96" s="6"/>
      <c r="BC96" t="b">
        <v>1</v>
      </c>
      <c r="BD96" s="6" t="s">
        <v>829</v>
      </c>
      <c r="BE96" s="6" t="s">
        <v>171</v>
      </c>
      <c r="BF96" t="b">
        <v>0</v>
      </c>
      <c r="BG96" s="6"/>
      <c r="BH96" t="b">
        <v>0</v>
      </c>
      <c r="BI96" s="6"/>
      <c r="BJ96" t="b">
        <v>0</v>
      </c>
      <c r="BL96" t="b">
        <v>0</v>
      </c>
      <c r="BM96" t="b">
        <v>0</v>
      </c>
      <c r="BN96" t="b">
        <v>0</v>
      </c>
      <c r="BO96" t="b">
        <v>0</v>
      </c>
      <c r="BQ96" t="b">
        <v>0</v>
      </c>
      <c r="BR96" s="6"/>
      <c r="BT96" t="b">
        <v>0</v>
      </c>
      <c r="BU96" t="s">
        <v>747</v>
      </c>
      <c r="BV96" t="s">
        <v>504</v>
      </c>
      <c r="BW96" t="s">
        <v>154</v>
      </c>
      <c r="BX96" t="s">
        <v>43</v>
      </c>
      <c r="BY96" s="6" t="s">
        <v>830</v>
      </c>
      <c r="BZ96">
        <v>1</v>
      </c>
      <c r="CA96" t="s">
        <v>157</v>
      </c>
      <c r="CB96" s="7">
        <v>46315.0537962963</v>
      </c>
    </row>
    <row r="97" spans="1:80">
      <c r="A97" s="6" t="s">
        <v>831</v>
      </c>
      <c r="B97" t="s">
        <v>491</v>
      </c>
      <c r="C97" s="6" t="s">
        <v>735</v>
      </c>
      <c r="D97" s="6"/>
      <c r="E97" t="s">
        <v>736</v>
      </c>
      <c r="F97" t="s">
        <v>737</v>
      </c>
      <c r="G97" s="6">
        <v>14</v>
      </c>
      <c r="H97" s="6"/>
      <c r="I97" t="s">
        <v>491</v>
      </c>
      <c r="J97" s="3">
        <v>46234</v>
      </c>
      <c r="K97" t="s">
        <v>738</v>
      </c>
      <c r="L97" t="s">
        <v>139</v>
      </c>
      <c r="N97" t="s">
        <v>832</v>
      </c>
      <c r="Q97" t="s">
        <v>833</v>
      </c>
      <c r="S97" t="s">
        <v>144</v>
      </c>
      <c r="T97" t="s">
        <v>645</v>
      </c>
      <c r="V97" t="s">
        <v>646</v>
      </c>
      <c r="W97" t="s">
        <v>40</v>
      </c>
      <c r="X97" s="6" t="s">
        <v>647</v>
      </c>
      <c r="Y97" s="6"/>
      <c r="Z97" t="s">
        <v>148</v>
      </c>
      <c r="AA97" t="s">
        <v>149</v>
      </c>
      <c r="AC97" t="s">
        <v>150</v>
      </c>
      <c r="AD97" s="6" t="s">
        <v>834</v>
      </c>
      <c r="AF97" s="3"/>
      <c r="AH97" t="b">
        <v>0</v>
      </c>
      <c r="AI97" t="b">
        <v>0</v>
      </c>
      <c r="AJ97" s="6"/>
      <c r="AK97" s="6"/>
      <c r="AL97" t="b">
        <v>0</v>
      </c>
      <c r="AM97" s="6"/>
      <c r="AN97" s="6"/>
      <c r="AP97" t="b">
        <v>0</v>
      </c>
      <c r="AQ97" s="6"/>
      <c r="AR97" s="6"/>
      <c r="AT97" t="b">
        <v>0</v>
      </c>
      <c r="AU97" s="6"/>
      <c r="AV97" s="6"/>
      <c r="AX97" t="b">
        <v>0</v>
      </c>
      <c r="AY97" s="6"/>
      <c r="AZ97" s="6"/>
      <c r="BA97" t="b">
        <v>0</v>
      </c>
      <c r="BB97" s="6"/>
      <c r="BC97" t="b">
        <v>1</v>
      </c>
      <c r="BD97" s="6" t="s">
        <v>835</v>
      </c>
      <c r="BE97" s="6" t="s">
        <v>746</v>
      </c>
      <c r="BF97" t="b">
        <v>0</v>
      </c>
      <c r="BG97" s="6"/>
      <c r="BH97" t="b">
        <v>0</v>
      </c>
      <c r="BI97" s="6"/>
      <c r="BJ97" t="b">
        <v>0</v>
      </c>
      <c r="BL97" t="b">
        <v>0</v>
      </c>
      <c r="BM97" t="b">
        <v>0</v>
      </c>
      <c r="BN97" t="b">
        <v>0</v>
      </c>
      <c r="BO97" t="b">
        <v>0</v>
      </c>
      <c r="BQ97" t="b">
        <v>0</v>
      </c>
      <c r="BR97" s="6"/>
      <c r="BT97" t="b">
        <v>0</v>
      </c>
      <c r="BU97" t="s">
        <v>747</v>
      </c>
      <c r="BV97" t="s">
        <v>504</v>
      </c>
      <c r="BW97" t="s">
        <v>289</v>
      </c>
      <c r="BX97" t="s">
        <v>746</v>
      </c>
      <c r="BY97" s="6" t="s">
        <v>836</v>
      </c>
      <c r="BZ97">
        <v>1</v>
      </c>
      <c r="CA97" t="s">
        <v>157</v>
      </c>
      <c r="CB97" s="7">
        <v>46315.0537962963</v>
      </c>
    </row>
    <row r="98" spans="1:80">
      <c r="A98" s="6" t="s">
        <v>837</v>
      </c>
      <c r="B98" t="s">
        <v>491</v>
      </c>
      <c r="C98" s="6" t="s">
        <v>735</v>
      </c>
      <c r="D98" s="6"/>
      <c r="E98" t="s">
        <v>736</v>
      </c>
      <c r="F98" t="s">
        <v>737</v>
      </c>
      <c r="G98" s="6">
        <v>15</v>
      </c>
      <c r="H98" s="6"/>
      <c r="I98" t="s">
        <v>491</v>
      </c>
      <c r="J98" s="3">
        <v>46234</v>
      </c>
      <c r="K98" t="s">
        <v>738</v>
      </c>
      <c r="L98" t="s">
        <v>139</v>
      </c>
      <c r="N98" t="s">
        <v>444</v>
      </c>
      <c r="Q98" t="s">
        <v>523</v>
      </c>
      <c r="S98" t="s">
        <v>144</v>
      </c>
      <c r="T98" t="s">
        <v>524</v>
      </c>
      <c r="V98" t="s">
        <v>525</v>
      </c>
      <c r="W98" t="s">
        <v>34</v>
      </c>
      <c r="X98" s="6" t="s">
        <v>526</v>
      </c>
      <c r="Y98" s="6"/>
      <c r="Z98" t="s">
        <v>148</v>
      </c>
      <c r="AA98" t="s">
        <v>149</v>
      </c>
      <c r="AC98" t="s">
        <v>150</v>
      </c>
      <c r="AD98" s="6" t="s">
        <v>838</v>
      </c>
      <c r="AF98" s="3"/>
      <c r="AH98" t="b">
        <v>0</v>
      </c>
      <c r="AI98" t="b">
        <v>0</v>
      </c>
      <c r="AJ98" s="6"/>
      <c r="AK98" s="6"/>
      <c r="AL98" t="b">
        <v>0</v>
      </c>
      <c r="AM98" s="6"/>
      <c r="AN98" s="6"/>
      <c r="AP98" t="b">
        <v>0</v>
      </c>
      <c r="AQ98" s="6"/>
      <c r="AR98" s="6"/>
      <c r="AT98" t="b">
        <v>0</v>
      </c>
      <c r="AU98" s="6"/>
      <c r="AV98" s="6"/>
      <c r="AX98" t="b">
        <v>0</v>
      </c>
      <c r="AY98" s="6"/>
      <c r="AZ98" s="6"/>
      <c r="BA98" t="b">
        <v>0</v>
      </c>
      <c r="BB98" s="6"/>
      <c r="BC98" t="b">
        <v>1</v>
      </c>
      <c r="BD98" s="6" t="s">
        <v>839</v>
      </c>
      <c r="BE98" s="6" t="s">
        <v>758</v>
      </c>
      <c r="BF98" t="b">
        <v>0</v>
      </c>
      <c r="BG98" s="6"/>
      <c r="BH98" t="b">
        <v>0</v>
      </c>
      <c r="BI98" s="6"/>
      <c r="BJ98" t="b">
        <v>0</v>
      </c>
      <c r="BL98" t="b">
        <v>0</v>
      </c>
      <c r="BM98" t="b">
        <v>0</v>
      </c>
      <c r="BN98" t="b">
        <v>0</v>
      </c>
      <c r="BO98" t="b">
        <v>0</v>
      </c>
      <c r="BQ98" t="b">
        <v>0</v>
      </c>
      <c r="BR98" s="6"/>
      <c r="BT98" t="b">
        <v>0</v>
      </c>
      <c r="BU98" t="s">
        <v>747</v>
      </c>
      <c r="BV98" t="s">
        <v>504</v>
      </c>
      <c r="BW98" t="s">
        <v>171</v>
      </c>
      <c r="BX98" t="s">
        <v>758</v>
      </c>
      <c r="BY98" s="6" t="s">
        <v>529</v>
      </c>
      <c r="BZ98">
        <v>1</v>
      </c>
      <c r="CB98" s="7">
        <v>46315.0537962963</v>
      </c>
    </row>
    <row r="99" spans="1:80">
      <c r="A99" s="6" t="s">
        <v>840</v>
      </c>
      <c r="B99" t="s">
        <v>491</v>
      </c>
      <c r="C99" s="6" t="s">
        <v>735</v>
      </c>
      <c r="D99" s="6"/>
      <c r="E99" t="s">
        <v>736</v>
      </c>
      <c r="F99" t="s">
        <v>737</v>
      </c>
      <c r="G99" s="6">
        <v>16</v>
      </c>
      <c r="H99" s="6"/>
      <c r="I99" t="s">
        <v>491</v>
      </c>
      <c r="J99" s="3">
        <v>46234</v>
      </c>
      <c r="K99" t="s">
        <v>738</v>
      </c>
      <c r="L99" t="s">
        <v>139</v>
      </c>
      <c r="N99" t="s">
        <v>678</v>
      </c>
      <c r="Q99" t="s">
        <v>841</v>
      </c>
      <c r="S99" t="s">
        <v>144</v>
      </c>
      <c r="T99" t="s">
        <v>165</v>
      </c>
      <c r="V99" t="s">
        <v>166</v>
      </c>
      <c r="W99" t="s">
        <v>38</v>
      </c>
      <c r="X99" s="6" t="s">
        <v>167</v>
      </c>
      <c r="Y99" s="6"/>
      <c r="Z99" t="s">
        <v>148</v>
      </c>
      <c r="AA99" t="s">
        <v>149</v>
      </c>
      <c r="AC99" t="s">
        <v>150</v>
      </c>
      <c r="AD99" s="6" t="s">
        <v>842</v>
      </c>
      <c r="AF99" s="3"/>
      <c r="AH99" t="b">
        <v>0</v>
      </c>
      <c r="AI99" t="b">
        <v>0</v>
      </c>
      <c r="AJ99" s="6"/>
      <c r="AK99" s="6"/>
      <c r="AL99" t="b">
        <v>0</v>
      </c>
      <c r="AM99" s="6"/>
      <c r="AN99" s="6"/>
      <c r="AP99" t="b">
        <v>0</v>
      </c>
      <c r="AQ99" s="6"/>
      <c r="AR99" s="6"/>
      <c r="AT99" t="b">
        <v>0</v>
      </c>
      <c r="AU99" s="6"/>
      <c r="AV99" s="6"/>
      <c r="AX99" t="b">
        <v>0</v>
      </c>
      <c r="AY99" s="6"/>
      <c r="AZ99" s="6"/>
      <c r="BA99" t="b">
        <v>0</v>
      </c>
      <c r="BB99" s="6"/>
      <c r="BC99" t="b">
        <v>1</v>
      </c>
      <c r="BD99" s="6" t="s">
        <v>843</v>
      </c>
      <c r="BE99" s="6" t="s">
        <v>171</v>
      </c>
      <c r="BF99" t="b">
        <v>0</v>
      </c>
      <c r="BG99" s="6"/>
      <c r="BH99" t="b">
        <v>0</v>
      </c>
      <c r="BI99" s="6"/>
      <c r="BJ99" t="b">
        <v>0</v>
      </c>
      <c r="BL99" t="b">
        <v>0</v>
      </c>
      <c r="BM99" t="b">
        <v>0</v>
      </c>
      <c r="BN99" t="b">
        <v>0</v>
      </c>
      <c r="BO99" t="b">
        <v>0</v>
      </c>
      <c r="BQ99" t="b">
        <v>0</v>
      </c>
      <c r="BR99" s="6"/>
      <c r="BT99" t="b">
        <v>0</v>
      </c>
      <c r="BU99" t="s">
        <v>747</v>
      </c>
      <c r="BV99" t="s">
        <v>504</v>
      </c>
      <c r="BW99" t="s">
        <v>171</v>
      </c>
      <c r="BY99" s="6" t="s">
        <v>844</v>
      </c>
      <c r="BZ99">
        <v>1</v>
      </c>
      <c r="CB99" s="7">
        <v>46315.0537962963</v>
      </c>
    </row>
    <row r="100" spans="1:80">
      <c r="A100" s="6" t="s">
        <v>845</v>
      </c>
      <c r="B100" t="s">
        <v>491</v>
      </c>
      <c r="C100" s="6" t="s">
        <v>735</v>
      </c>
      <c r="D100" s="6"/>
      <c r="E100" t="s">
        <v>736</v>
      </c>
      <c r="F100" t="s">
        <v>737</v>
      </c>
      <c r="G100" s="6">
        <v>17</v>
      </c>
      <c r="H100" s="6"/>
      <c r="I100" t="s">
        <v>491</v>
      </c>
      <c r="J100" s="3">
        <v>46234</v>
      </c>
      <c r="K100" t="s">
        <v>738</v>
      </c>
      <c r="L100" t="s">
        <v>139</v>
      </c>
      <c r="N100" t="s">
        <v>846</v>
      </c>
      <c r="Q100" t="s">
        <v>847</v>
      </c>
      <c r="S100" t="s">
        <v>144</v>
      </c>
      <c r="T100" t="s">
        <v>848</v>
      </c>
      <c r="V100" t="s">
        <v>849</v>
      </c>
      <c r="W100" t="s">
        <v>40</v>
      </c>
      <c r="X100" s="6" t="s">
        <v>850</v>
      </c>
      <c r="Y100" s="6"/>
      <c r="Z100" t="s">
        <v>148</v>
      </c>
      <c r="AA100" t="s">
        <v>205</v>
      </c>
      <c r="AC100" t="s">
        <v>150</v>
      </c>
      <c r="AD100" s="6" t="s">
        <v>851</v>
      </c>
      <c r="AF100" s="3"/>
      <c r="AH100" t="b">
        <v>0</v>
      </c>
      <c r="AI100" t="b">
        <v>0</v>
      </c>
      <c r="AJ100" s="6"/>
      <c r="AK100" s="6"/>
      <c r="AL100" t="b">
        <v>0</v>
      </c>
      <c r="AM100" s="6"/>
      <c r="AN100" s="6"/>
      <c r="AP100" t="b">
        <v>0</v>
      </c>
      <c r="AQ100" s="6"/>
      <c r="AR100" s="6"/>
      <c r="AT100" t="b">
        <v>0</v>
      </c>
      <c r="AU100" s="6"/>
      <c r="AV100" s="6"/>
      <c r="AX100" t="b">
        <v>0</v>
      </c>
      <c r="AY100" s="6"/>
      <c r="AZ100" s="6"/>
      <c r="BA100" t="b">
        <v>0</v>
      </c>
      <c r="BB100" s="6"/>
      <c r="BC100" t="b">
        <v>1</v>
      </c>
      <c r="BD100" s="6" t="s">
        <v>852</v>
      </c>
      <c r="BE100" s="6" t="s">
        <v>171</v>
      </c>
      <c r="BF100" t="b">
        <v>0</v>
      </c>
      <c r="BG100" s="6"/>
      <c r="BH100" t="b">
        <v>0</v>
      </c>
      <c r="BI100" s="6"/>
      <c r="BJ100" t="b">
        <v>0</v>
      </c>
      <c r="BL100" t="b">
        <v>0</v>
      </c>
      <c r="BM100" t="b">
        <v>0</v>
      </c>
      <c r="BN100" t="b">
        <v>0</v>
      </c>
      <c r="BO100" t="b">
        <v>0</v>
      </c>
      <c r="BQ100" t="b">
        <v>0</v>
      </c>
      <c r="BR100" s="6"/>
      <c r="BT100" t="b">
        <v>0</v>
      </c>
      <c r="BU100" t="s">
        <v>747</v>
      </c>
      <c r="BV100" t="s">
        <v>504</v>
      </c>
      <c r="BW100" t="s">
        <v>154</v>
      </c>
      <c r="BX100" t="s">
        <v>43</v>
      </c>
      <c r="BY100" s="6" t="s">
        <v>853</v>
      </c>
      <c r="BZ100">
        <v>1</v>
      </c>
      <c r="CA100" t="s">
        <v>157</v>
      </c>
      <c r="CB100" s="7">
        <v>46315.0537962963</v>
      </c>
    </row>
    <row r="101" spans="1:80">
      <c r="A101" s="6" t="s">
        <v>854</v>
      </c>
      <c r="B101" t="s">
        <v>491</v>
      </c>
      <c r="C101" s="6" t="s">
        <v>735</v>
      </c>
      <c r="D101" s="6"/>
      <c r="E101" t="s">
        <v>736</v>
      </c>
      <c r="F101" t="s">
        <v>737</v>
      </c>
      <c r="G101" s="6">
        <v>18</v>
      </c>
      <c r="H101" s="6"/>
      <c r="I101" t="s">
        <v>491</v>
      </c>
      <c r="J101" s="3">
        <v>46234</v>
      </c>
      <c r="K101" t="s">
        <v>738</v>
      </c>
      <c r="L101" t="s">
        <v>139</v>
      </c>
      <c r="N101" t="s">
        <v>855</v>
      </c>
      <c r="Q101" t="s">
        <v>268</v>
      </c>
      <c r="S101" t="s">
        <v>144</v>
      </c>
      <c r="T101" t="s">
        <v>856</v>
      </c>
      <c r="V101" t="s">
        <v>614</v>
      </c>
      <c r="W101" t="s">
        <v>39</v>
      </c>
      <c r="X101" s="6" t="s">
        <v>857</v>
      </c>
      <c r="Y101" s="6"/>
      <c r="Z101" t="s">
        <v>148</v>
      </c>
      <c r="AA101" t="s">
        <v>205</v>
      </c>
      <c r="AC101" t="s">
        <v>150</v>
      </c>
      <c r="AD101" s="6" t="s">
        <v>858</v>
      </c>
      <c r="AF101" s="3"/>
      <c r="AH101" t="b">
        <v>0</v>
      </c>
      <c r="AI101" t="b">
        <v>0</v>
      </c>
      <c r="AJ101" s="6"/>
      <c r="AK101" s="6"/>
      <c r="AL101" t="b">
        <v>0</v>
      </c>
      <c r="AM101" s="6"/>
      <c r="AN101" s="6"/>
      <c r="AP101" t="b">
        <v>0</v>
      </c>
      <c r="AQ101" s="6"/>
      <c r="AR101" s="6"/>
      <c r="AT101" t="b">
        <v>0</v>
      </c>
      <c r="AU101" s="6"/>
      <c r="AV101" s="6"/>
      <c r="AX101" t="b">
        <v>0</v>
      </c>
      <c r="AY101" s="6"/>
      <c r="AZ101" s="6"/>
      <c r="BA101" t="b">
        <v>0</v>
      </c>
      <c r="BB101" s="6"/>
      <c r="BC101" t="b">
        <v>1</v>
      </c>
      <c r="BD101" s="6" t="s">
        <v>859</v>
      </c>
      <c r="BE101" s="6" t="s">
        <v>746</v>
      </c>
      <c r="BF101" t="b">
        <v>0</v>
      </c>
      <c r="BG101" s="6"/>
      <c r="BH101" t="b">
        <v>0</v>
      </c>
      <c r="BI101" s="6"/>
      <c r="BJ101" t="b">
        <v>0</v>
      </c>
      <c r="BL101" t="b">
        <v>0</v>
      </c>
      <c r="BM101" t="b">
        <v>0</v>
      </c>
      <c r="BN101" t="b">
        <v>0</v>
      </c>
      <c r="BO101" t="b">
        <v>0</v>
      </c>
      <c r="BQ101" t="b">
        <v>0</v>
      </c>
      <c r="BR101" s="6"/>
      <c r="BT101" t="b">
        <v>0</v>
      </c>
      <c r="BU101" t="s">
        <v>747</v>
      </c>
      <c r="BV101" t="s">
        <v>504</v>
      </c>
      <c r="BW101" t="s">
        <v>289</v>
      </c>
      <c r="BX101" t="s">
        <v>860</v>
      </c>
      <c r="BY101" s="6" t="s">
        <v>861</v>
      </c>
      <c r="BZ101">
        <v>1</v>
      </c>
      <c r="CA101" t="s">
        <v>157</v>
      </c>
      <c r="CB101" s="7">
        <v>46315.0537962963</v>
      </c>
    </row>
    <row r="102" spans="1:80">
      <c r="A102" s="6" t="s">
        <v>862</v>
      </c>
      <c r="B102" t="s">
        <v>491</v>
      </c>
      <c r="C102" s="6" t="s">
        <v>735</v>
      </c>
      <c r="D102" s="6"/>
      <c r="E102" t="s">
        <v>736</v>
      </c>
      <c r="F102" t="s">
        <v>737</v>
      </c>
      <c r="G102" s="6">
        <v>19</v>
      </c>
      <c r="H102" s="6"/>
      <c r="I102" t="s">
        <v>491</v>
      </c>
      <c r="J102" s="3">
        <v>46234</v>
      </c>
      <c r="K102" t="s">
        <v>738</v>
      </c>
      <c r="L102" t="s">
        <v>139</v>
      </c>
      <c r="N102" t="s">
        <v>658</v>
      </c>
      <c r="Q102" t="s">
        <v>863</v>
      </c>
      <c r="S102" t="s">
        <v>144</v>
      </c>
      <c r="T102" t="s">
        <v>696</v>
      </c>
      <c r="V102" t="s">
        <v>697</v>
      </c>
      <c r="W102" t="s">
        <v>40</v>
      </c>
      <c r="X102" s="6" t="s">
        <v>698</v>
      </c>
      <c r="Y102" s="6"/>
      <c r="Z102" t="s">
        <v>148</v>
      </c>
      <c r="AA102" t="s">
        <v>149</v>
      </c>
      <c r="AC102" t="s">
        <v>150</v>
      </c>
      <c r="AD102" s="6" t="s">
        <v>864</v>
      </c>
      <c r="AF102" s="3"/>
      <c r="AH102" t="b">
        <v>0</v>
      </c>
      <c r="AI102" t="b">
        <v>0</v>
      </c>
      <c r="AJ102" s="6"/>
      <c r="AK102" s="6"/>
      <c r="AL102" t="b">
        <v>0</v>
      </c>
      <c r="AM102" s="6"/>
      <c r="AN102" s="6"/>
      <c r="AP102" t="b">
        <v>0</v>
      </c>
      <c r="AQ102" s="6"/>
      <c r="AR102" s="6"/>
      <c r="AT102" t="b">
        <v>0</v>
      </c>
      <c r="AU102" s="6"/>
      <c r="AV102" s="6"/>
      <c r="AX102" t="b">
        <v>0</v>
      </c>
      <c r="AY102" s="6"/>
      <c r="AZ102" s="6"/>
      <c r="BA102" t="b">
        <v>0</v>
      </c>
      <c r="BB102" s="6"/>
      <c r="BC102" t="b">
        <v>1</v>
      </c>
      <c r="BD102" s="6" t="s">
        <v>865</v>
      </c>
      <c r="BE102" s="6" t="s">
        <v>746</v>
      </c>
      <c r="BF102" t="b">
        <v>0</v>
      </c>
      <c r="BG102" s="6"/>
      <c r="BH102" t="b">
        <v>0</v>
      </c>
      <c r="BI102" s="6"/>
      <c r="BJ102" t="b">
        <v>0</v>
      </c>
      <c r="BL102" t="b">
        <v>0</v>
      </c>
      <c r="BM102" t="b">
        <v>0</v>
      </c>
      <c r="BN102" t="b">
        <v>0</v>
      </c>
      <c r="BO102" t="b">
        <v>0</v>
      </c>
      <c r="BQ102" t="b">
        <v>0</v>
      </c>
      <c r="BR102" s="6"/>
      <c r="BT102" t="b">
        <v>0</v>
      </c>
      <c r="BU102" t="s">
        <v>747</v>
      </c>
      <c r="BV102" t="s">
        <v>504</v>
      </c>
      <c r="BW102" t="s">
        <v>289</v>
      </c>
      <c r="BX102" t="s">
        <v>746</v>
      </c>
      <c r="BY102" s="6" t="s">
        <v>866</v>
      </c>
      <c r="BZ102">
        <v>1</v>
      </c>
      <c r="CA102" t="s">
        <v>157</v>
      </c>
      <c r="CB102" s="7">
        <v>46315.0537962963</v>
      </c>
    </row>
    <row r="103" spans="1:80">
      <c r="A103" s="6" t="s">
        <v>867</v>
      </c>
      <c r="B103" t="s">
        <v>491</v>
      </c>
      <c r="C103" s="6" t="s">
        <v>735</v>
      </c>
      <c r="D103" s="6"/>
      <c r="E103" t="s">
        <v>736</v>
      </c>
      <c r="F103" t="s">
        <v>737</v>
      </c>
      <c r="G103" s="6">
        <v>20</v>
      </c>
      <c r="H103" s="6"/>
      <c r="I103" t="s">
        <v>491</v>
      </c>
      <c r="J103" s="3">
        <v>46234</v>
      </c>
      <c r="K103" t="s">
        <v>738</v>
      </c>
      <c r="L103" t="s">
        <v>139</v>
      </c>
      <c r="N103" t="s">
        <v>868</v>
      </c>
      <c r="Q103" t="s">
        <v>869</v>
      </c>
      <c r="S103" t="s">
        <v>144</v>
      </c>
      <c r="T103" t="s">
        <v>316</v>
      </c>
      <c r="V103" t="s">
        <v>317</v>
      </c>
      <c r="W103" t="s">
        <v>34</v>
      </c>
      <c r="X103" s="6" t="s">
        <v>318</v>
      </c>
      <c r="Y103" s="6"/>
      <c r="Z103" t="s">
        <v>148</v>
      </c>
      <c r="AA103" t="s">
        <v>149</v>
      </c>
      <c r="AC103" t="s">
        <v>150</v>
      </c>
      <c r="AD103" s="6" t="s">
        <v>870</v>
      </c>
      <c r="AF103" s="3"/>
      <c r="AH103" t="b">
        <v>0</v>
      </c>
      <c r="AI103" t="b">
        <v>0</v>
      </c>
      <c r="AJ103" s="6"/>
      <c r="AK103" s="6"/>
      <c r="AL103" t="b">
        <v>0</v>
      </c>
      <c r="AM103" s="6"/>
      <c r="AN103" s="6"/>
      <c r="AP103" t="b">
        <v>0</v>
      </c>
      <c r="AQ103" s="6"/>
      <c r="AR103" s="6"/>
      <c r="AT103" t="b">
        <v>0</v>
      </c>
      <c r="AU103" s="6"/>
      <c r="AV103" s="6"/>
      <c r="AX103" t="b">
        <v>0</v>
      </c>
      <c r="AY103" s="6"/>
      <c r="AZ103" s="6"/>
      <c r="BA103" t="b">
        <v>0</v>
      </c>
      <c r="BB103" s="6"/>
      <c r="BC103" t="b">
        <v>1</v>
      </c>
      <c r="BD103" s="6" t="s">
        <v>871</v>
      </c>
      <c r="BE103" s="6" t="s">
        <v>171</v>
      </c>
      <c r="BF103" t="b">
        <v>0</v>
      </c>
      <c r="BG103" s="6"/>
      <c r="BH103" t="b">
        <v>0</v>
      </c>
      <c r="BI103" s="6"/>
      <c r="BJ103" t="b">
        <v>0</v>
      </c>
      <c r="BL103" t="b">
        <v>0</v>
      </c>
      <c r="BM103" t="b">
        <v>0</v>
      </c>
      <c r="BN103" t="b">
        <v>0</v>
      </c>
      <c r="BO103" t="b">
        <v>0</v>
      </c>
      <c r="BQ103" t="b">
        <v>0</v>
      </c>
      <c r="BR103" s="6"/>
      <c r="BT103" t="b">
        <v>0</v>
      </c>
      <c r="BU103" t="s">
        <v>747</v>
      </c>
      <c r="BV103" t="s">
        <v>504</v>
      </c>
      <c r="BW103" t="s">
        <v>171</v>
      </c>
      <c r="BY103" s="6" t="s">
        <v>872</v>
      </c>
      <c r="BZ103">
        <v>1</v>
      </c>
      <c r="CB103" s="7">
        <v>46315.0537962963</v>
      </c>
    </row>
    <row r="104" spans="1:80">
      <c r="A104" s="6" t="s">
        <v>873</v>
      </c>
      <c r="B104" t="s">
        <v>491</v>
      </c>
      <c r="C104" s="6" t="s">
        <v>735</v>
      </c>
      <c r="D104" s="6"/>
      <c r="E104" t="s">
        <v>736</v>
      </c>
      <c r="F104" t="s">
        <v>737</v>
      </c>
      <c r="G104" s="6">
        <v>21</v>
      </c>
      <c r="H104" s="6"/>
      <c r="I104" t="s">
        <v>491</v>
      </c>
      <c r="J104" s="3">
        <v>46234</v>
      </c>
      <c r="K104" t="s">
        <v>738</v>
      </c>
      <c r="L104" t="s">
        <v>139</v>
      </c>
      <c r="N104" t="s">
        <v>266</v>
      </c>
      <c r="Q104" t="s">
        <v>650</v>
      </c>
      <c r="S104" t="s">
        <v>144</v>
      </c>
      <c r="T104" t="s">
        <v>874</v>
      </c>
      <c r="V104" t="s">
        <v>875</v>
      </c>
      <c r="W104" t="s">
        <v>34</v>
      </c>
      <c r="X104" s="6" t="s">
        <v>876</v>
      </c>
      <c r="Y104" s="6"/>
      <c r="Z104" t="s">
        <v>148</v>
      </c>
      <c r="AA104" t="s">
        <v>205</v>
      </c>
      <c r="AC104" t="s">
        <v>150</v>
      </c>
      <c r="AD104" s="6" t="s">
        <v>877</v>
      </c>
      <c r="AF104" s="3"/>
      <c r="AH104" t="b">
        <v>0</v>
      </c>
      <c r="AI104" t="b">
        <v>0</v>
      </c>
      <c r="AJ104" s="6"/>
      <c r="AK104" s="6"/>
      <c r="AL104" t="b">
        <v>0</v>
      </c>
      <c r="AM104" s="6"/>
      <c r="AN104" s="6"/>
      <c r="AP104" t="b">
        <v>0</v>
      </c>
      <c r="AQ104" s="6"/>
      <c r="AR104" s="6"/>
      <c r="AT104" t="b">
        <v>0</v>
      </c>
      <c r="AU104" s="6"/>
      <c r="AV104" s="6"/>
      <c r="AX104" t="b">
        <v>0</v>
      </c>
      <c r="AY104" s="6"/>
      <c r="AZ104" s="6"/>
      <c r="BA104" t="b">
        <v>0</v>
      </c>
      <c r="BB104" s="6"/>
      <c r="BC104" t="b">
        <v>1</v>
      </c>
      <c r="BD104" s="6" t="s">
        <v>878</v>
      </c>
      <c r="BE104" s="6" t="s">
        <v>758</v>
      </c>
      <c r="BF104" t="b">
        <v>0</v>
      </c>
      <c r="BG104" s="6"/>
      <c r="BH104" t="b">
        <v>0</v>
      </c>
      <c r="BI104" s="6"/>
      <c r="BJ104" t="b">
        <v>0</v>
      </c>
      <c r="BL104" t="b">
        <v>0</v>
      </c>
      <c r="BM104" t="b">
        <v>0</v>
      </c>
      <c r="BN104" t="b">
        <v>0</v>
      </c>
      <c r="BO104" t="b">
        <v>0</v>
      </c>
      <c r="BQ104" t="b">
        <v>0</v>
      </c>
      <c r="BR104" s="6"/>
      <c r="BT104" t="b">
        <v>0</v>
      </c>
      <c r="BU104" t="s">
        <v>747</v>
      </c>
      <c r="BV104" t="s">
        <v>504</v>
      </c>
      <c r="BW104" t="s">
        <v>154</v>
      </c>
      <c r="BX104" t="s">
        <v>879</v>
      </c>
      <c r="BY104" s="6" t="s">
        <v>880</v>
      </c>
      <c r="BZ104">
        <v>1</v>
      </c>
      <c r="CA104" t="s">
        <v>157</v>
      </c>
      <c r="CB104" s="7">
        <v>46315.0537962963</v>
      </c>
    </row>
    <row r="105" spans="1:80">
      <c r="A105" s="6" t="s">
        <v>881</v>
      </c>
      <c r="B105" t="s">
        <v>491</v>
      </c>
      <c r="C105" s="6" t="s">
        <v>735</v>
      </c>
      <c r="D105" s="6"/>
      <c r="E105" t="s">
        <v>736</v>
      </c>
      <c r="F105" t="s">
        <v>737</v>
      </c>
      <c r="G105" s="6">
        <v>22</v>
      </c>
      <c r="H105" s="6"/>
      <c r="I105" t="s">
        <v>491</v>
      </c>
      <c r="J105" s="3">
        <v>46234</v>
      </c>
      <c r="K105" t="s">
        <v>738</v>
      </c>
      <c r="L105" t="s">
        <v>139</v>
      </c>
      <c r="N105" t="s">
        <v>882</v>
      </c>
      <c r="Q105" t="s">
        <v>883</v>
      </c>
      <c r="S105" t="s">
        <v>144</v>
      </c>
      <c r="T105" t="s">
        <v>884</v>
      </c>
      <c r="V105" t="s">
        <v>885</v>
      </c>
      <c r="W105" t="s">
        <v>37</v>
      </c>
      <c r="X105" s="6" t="s">
        <v>886</v>
      </c>
      <c r="Y105" s="6"/>
      <c r="Z105" t="s">
        <v>148</v>
      </c>
      <c r="AA105" t="s">
        <v>205</v>
      </c>
      <c r="AC105" t="s">
        <v>150</v>
      </c>
      <c r="AD105" s="6" t="s">
        <v>887</v>
      </c>
      <c r="AF105" s="3"/>
      <c r="AH105" t="b">
        <v>0</v>
      </c>
      <c r="AI105" t="b">
        <v>0</v>
      </c>
      <c r="AJ105" s="6"/>
      <c r="AK105" s="6"/>
      <c r="AL105" t="b">
        <v>0</v>
      </c>
      <c r="AM105" s="6"/>
      <c r="AN105" s="6"/>
      <c r="AP105" t="b">
        <v>0</v>
      </c>
      <c r="AQ105" s="6"/>
      <c r="AR105" s="6"/>
      <c r="AT105" t="b">
        <v>0</v>
      </c>
      <c r="AU105" s="6"/>
      <c r="AV105" s="6"/>
      <c r="AX105" t="b">
        <v>0</v>
      </c>
      <c r="AY105" s="6"/>
      <c r="AZ105" s="6"/>
      <c r="BA105" t="b">
        <v>0</v>
      </c>
      <c r="BB105" s="6"/>
      <c r="BC105" t="b">
        <v>1</v>
      </c>
      <c r="BD105" s="6" t="s">
        <v>888</v>
      </c>
      <c r="BE105" s="6" t="s">
        <v>171</v>
      </c>
      <c r="BF105" t="b">
        <v>0</v>
      </c>
      <c r="BG105" s="6"/>
      <c r="BH105" t="b">
        <v>0</v>
      </c>
      <c r="BI105" s="6"/>
      <c r="BJ105" t="b">
        <v>0</v>
      </c>
      <c r="BL105" t="b">
        <v>0</v>
      </c>
      <c r="BM105" t="b">
        <v>0</v>
      </c>
      <c r="BN105" t="b">
        <v>0</v>
      </c>
      <c r="BO105" t="b">
        <v>0</v>
      </c>
      <c r="BQ105" t="b">
        <v>0</v>
      </c>
      <c r="BR105" s="6"/>
      <c r="BT105" t="b">
        <v>0</v>
      </c>
      <c r="BU105" t="s">
        <v>747</v>
      </c>
      <c r="BV105" t="s">
        <v>504</v>
      </c>
      <c r="BW105" t="s">
        <v>154</v>
      </c>
      <c r="BX105" t="s">
        <v>792</v>
      </c>
      <c r="BY105" s="6" t="s">
        <v>889</v>
      </c>
      <c r="BZ105">
        <v>1</v>
      </c>
      <c r="CA105" t="s">
        <v>157</v>
      </c>
      <c r="CB105" s="7">
        <v>46315.0537962963</v>
      </c>
    </row>
    <row r="106" spans="1:80">
      <c r="A106" s="6" t="s">
        <v>890</v>
      </c>
      <c r="B106" t="s">
        <v>491</v>
      </c>
      <c r="C106" s="6" t="s">
        <v>735</v>
      </c>
      <c r="D106" s="6"/>
      <c r="E106" t="s">
        <v>736</v>
      </c>
      <c r="F106" t="s">
        <v>737</v>
      </c>
      <c r="G106" s="6">
        <v>23</v>
      </c>
      <c r="H106" s="6"/>
      <c r="I106" t="s">
        <v>491</v>
      </c>
      <c r="J106" s="3">
        <v>46234</v>
      </c>
      <c r="K106" t="s">
        <v>738</v>
      </c>
      <c r="L106" t="s">
        <v>139</v>
      </c>
      <c r="N106" t="s">
        <v>891</v>
      </c>
      <c r="Q106" t="s">
        <v>892</v>
      </c>
      <c r="S106" t="s">
        <v>144</v>
      </c>
      <c r="T106" t="s">
        <v>893</v>
      </c>
      <c r="V106" t="s">
        <v>334</v>
      </c>
      <c r="W106" t="s">
        <v>33</v>
      </c>
      <c r="X106" s="6" t="s">
        <v>894</v>
      </c>
      <c r="Y106" s="6"/>
      <c r="Z106" t="s">
        <v>148</v>
      </c>
      <c r="AA106" t="s">
        <v>205</v>
      </c>
      <c r="AC106" t="s">
        <v>150</v>
      </c>
      <c r="AD106" s="6" t="s">
        <v>895</v>
      </c>
      <c r="AF106" s="3"/>
      <c r="AH106" t="b">
        <v>0</v>
      </c>
      <c r="AI106" t="b">
        <v>0</v>
      </c>
      <c r="AJ106" s="6"/>
      <c r="AK106" s="6"/>
      <c r="AL106" t="b">
        <v>0</v>
      </c>
      <c r="AM106" s="6"/>
      <c r="AN106" s="6"/>
      <c r="AP106" t="b">
        <v>0</v>
      </c>
      <c r="AQ106" s="6"/>
      <c r="AR106" s="6"/>
      <c r="AT106" t="b">
        <v>0</v>
      </c>
      <c r="AU106" s="6"/>
      <c r="AV106" s="6"/>
      <c r="AX106" t="b">
        <v>0</v>
      </c>
      <c r="AY106" s="6"/>
      <c r="AZ106" s="6"/>
      <c r="BA106" t="b">
        <v>0</v>
      </c>
      <c r="BB106" s="6"/>
      <c r="BC106" t="b">
        <v>1</v>
      </c>
      <c r="BD106" s="6" t="s">
        <v>896</v>
      </c>
      <c r="BE106" s="6" t="s">
        <v>171</v>
      </c>
      <c r="BF106" t="b">
        <v>0</v>
      </c>
      <c r="BG106" s="6"/>
      <c r="BH106" t="b">
        <v>0</v>
      </c>
      <c r="BI106" s="6"/>
      <c r="BJ106" t="b">
        <v>0</v>
      </c>
      <c r="BL106" t="b">
        <v>0</v>
      </c>
      <c r="BM106" t="b">
        <v>0</v>
      </c>
      <c r="BN106" t="b">
        <v>0</v>
      </c>
      <c r="BO106" t="b">
        <v>0</v>
      </c>
      <c r="BQ106" t="b">
        <v>0</v>
      </c>
      <c r="BR106" s="6"/>
      <c r="BT106" t="b">
        <v>0</v>
      </c>
      <c r="BU106" t="s">
        <v>747</v>
      </c>
      <c r="BV106" t="s">
        <v>504</v>
      </c>
      <c r="BW106" t="s">
        <v>154</v>
      </c>
      <c r="BX106" t="s">
        <v>43</v>
      </c>
      <c r="BY106" s="6" t="s">
        <v>897</v>
      </c>
      <c r="BZ106">
        <v>1</v>
      </c>
      <c r="CA106" t="s">
        <v>157</v>
      </c>
      <c r="CB106" s="7">
        <v>46315.0537962963</v>
      </c>
    </row>
    <row r="107" spans="1:80">
      <c r="A107" s="6" t="s">
        <v>898</v>
      </c>
      <c r="B107" t="s">
        <v>491</v>
      </c>
      <c r="C107" s="6" t="s">
        <v>735</v>
      </c>
      <c r="D107" s="6"/>
      <c r="E107" t="s">
        <v>736</v>
      </c>
      <c r="F107" t="s">
        <v>737</v>
      </c>
      <c r="G107" s="6">
        <v>24</v>
      </c>
      <c r="H107" s="6"/>
      <c r="I107" t="s">
        <v>491</v>
      </c>
      <c r="J107" s="3">
        <v>46234</v>
      </c>
      <c r="K107" t="s">
        <v>738</v>
      </c>
      <c r="L107" t="s">
        <v>139</v>
      </c>
      <c r="N107" t="s">
        <v>162</v>
      </c>
      <c r="Q107" t="s">
        <v>164</v>
      </c>
      <c r="S107" t="s">
        <v>144</v>
      </c>
      <c r="T107" t="s">
        <v>165</v>
      </c>
      <c r="V107" t="s">
        <v>166</v>
      </c>
      <c r="W107" t="s">
        <v>38</v>
      </c>
      <c r="X107" s="6" t="s">
        <v>167</v>
      </c>
      <c r="Y107" s="6"/>
      <c r="Z107" t="s">
        <v>148</v>
      </c>
      <c r="AA107" t="s">
        <v>149</v>
      </c>
      <c r="AC107" t="s">
        <v>150</v>
      </c>
      <c r="AD107" s="6" t="s">
        <v>899</v>
      </c>
      <c r="AF107" s="3"/>
      <c r="AH107" t="b">
        <v>0</v>
      </c>
      <c r="AI107" t="b">
        <v>0</v>
      </c>
      <c r="AJ107" s="6"/>
      <c r="AK107" s="6"/>
      <c r="AL107" t="b">
        <v>0</v>
      </c>
      <c r="AM107" s="6"/>
      <c r="AN107" s="6"/>
      <c r="AP107" t="b">
        <v>0</v>
      </c>
      <c r="AQ107" s="6"/>
      <c r="AR107" s="6"/>
      <c r="AT107" t="b">
        <v>0</v>
      </c>
      <c r="AU107" s="6"/>
      <c r="AV107" s="6"/>
      <c r="AX107" t="b">
        <v>0</v>
      </c>
      <c r="AY107" s="6"/>
      <c r="AZ107" s="6"/>
      <c r="BA107" t="b">
        <v>0</v>
      </c>
      <c r="BB107" s="6"/>
      <c r="BC107" t="b">
        <v>1</v>
      </c>
      <c r="BD107" s="6" t="s">
        <v>900</v>
      </c>
      <c r="BE107" s="6" t="s">
        <v>746</v>
      </c>
      <c r="BF107" t="b">
        <v>0</v>
      </c>
      <c r="BG107" s="6"/>
      <c r="BH107" t="b">
        <v>0</v>
      </c>
      <c r="BI107" s="6"/>
      <c r="BJ107" t="b">
        <v>0</v>
      </c>
      <c r="BL107" t="b">
        <v>0</v>
      </c>
      <c r="BM107" t="b">
        <v>0</v>
      </c>
      <c r="BN107" t="b">
        <v>0</v>
      </c>
      <c r="BO107" t="b">
        <v>0</v>
      </c>
      <c r="BQ107" t="b">
        <v>0</v>
      </c>
      <c r="BR107" s="6"/>
      <c r="BT107" t="b">
        <v>0</v>
      </c>
      <c r="BU107" t="s">
        <v>747</v>
      </c>
      <c r="BV107" t="s">
        <v>504</v>
      </c>
      <c r="BW107" t="s">
        <v>289</v>
      </c>
      <c r="BX107" t="s">
        <v>746</v>
      </c>
      <c r="BY107" s="6" t="s">
        <v>173</v>
      </c>
      <c r="BZ107">
        <v>1</v>
      </c>
      <c r="CA107" t="s">
        <v>157</v>
      </c>
      <c r="CB107" s="7">
        <v>46315.0537962963</v>
      </c>
    </row>
    <row r="108" spans="1:80">
      <c r="A108" s="6" t="s">
        <v>901</v>
      </c>
      <c r="B108" t="s">
        <v>491</v>
      </c>
      <c r="C108" s="6" t="s">
        <v>735</v>
      </c>
      <c r="D108" s="6"/>
      <c r="E108" t="s">
        <v>736</v>
      </c>
      <c r="F108" t="s">
        <v>737</v>
      </c>
      <c r="G108" s="6">
        <v>25</v>
      </c>
      <c r="H108" s="6"/>
      <c r="I108" t="s">
        <v>491</v>
      </c>
      <c r="J108" s="3">
        <v>46234</v>
      </c>
      <c r="K108" t="s">
        <v>738</v>
      </c>
      <c r="L108" t="s">
        <v>139</v>
      </c>
      <c r="N108" t="s">
        <v>902</v>
      </c>
      <c r="Q108" t="s">
        <v>903</v>
      </c>
      <c r="S108" t="s">
        <v>144</v>
      </c>
      <c r="T108" t="s">
        <v>904</v>
      </c>
      <c r="V108" t="s">
        <v>905</v>
      </c>
      <c r="W108" t="s">
        <v>40</v>
      </c>
      <c r="X108" s="6" t="s">
        <v>906</v>
      </c>
      <c r="Y108" s="6"/>
      <c r="Z108" t="s">
        <v>148</v>
      </c>
      <c r="AA108" t="s">
        <v>205</v>
      </c>
      <c r="AC108" t="s">
        <v>150</v>
      </c>
      <c r="AD108" s="6" t="s">
        <v>907</v>
      </c>
      <c r="AF108" s="3"/>
      <c r="AH108" t="b">
        <v>0</v>
      </c>
      <c r="AI108" t="b">
        <v>0</v>
      </c>
      <c r="AJ108" s="6"/>
      <c r="AK108" s="6"/>
      <c r="AL108" t="b">
        <v>0</v>
      </c>
      <c r="AM108" s="6"/>
      <c r="AN108" s="6"/>
      <c r="AP108" t="b">
        <v>0</v>
      </c>
      <c r="AQ108" s="6"/>
      <c r="AR108" s="6"/>
      <c r="AT108" t="b">
        <v>0</v>
      </c>
      <c r="AU108" s="6"/>
      <c r="AV108" s="6"/>
      <c r="AX108" t="b">
        <v>0</v>
      </c>
      <c r="AY108" s="6"/>
      <c r="AZ108" s="6"/>
      <c r="BA108" t="b">
        <v>0</v>
      </c>
      <c r="BB108" s="6"/>
      <c r="BC108" t="b">
        <v>1</v>
      </c>
      <c r="BD108" s="6" t="s">
        <v>908</v>
      </c>
      <c r="BE108" s="6" t="s">
        <v>171</v>
      </c>
      <c r="BF108" t="b">
        <v>0</v>
      </c>
      <c r="BG108" s="6"/>
      <c r="BH108" t="b">
        <v>0</v>
      </c>
      <c r="BI108" s="6"/>
      <c r="BJ108" t="b">
        <v>0</v>
      </c>
      <c r="BL108" t="b">
        <v>0</v>
      </c>
      <c r="BM108" t="b">
        <v>0</v>
      </c>
      <c r="BN108" t="b">
        <v>0</v>
      </c>
      <c r="BO108" t="b">
        <v>0</v>
      </c>
      <c r="BQ108" t="b">
        <v>0</v>
      </c>
      <c r="BR108" s="6"/>
      <c r="BT108" t="b">
        <v>0</v>
      </c>
      <c r="BU108" t="s">
        <v>747</v>
      </c>
      <c r="BV108" t="s">
        <v>504</v>
      </c>
      <c r="BW108" t="s">
        <v>154</v>
      </c>
      <c r="BX108" t="s">
        <v>43</v>
      </c>
      <c r="BY108" s="6" t="s">
        <v>909</v>
      </c>
      <c r="BZ108">
        <v>1</v>
      </c>
      <c r="CA108" t="s">
        <v>157</v>
      </c>
      <c r="CB108" s="7">
        <v>46315.0537962963</v>
      </c>
    </row>
    <row r="109" spans="1:80">
      <c r="A109" s="6" t="s">
        <v>910</v>
      </c>
      <c r="B109" t="s">
        <v>491</v>
      </c>
      <c r="C109" s="6" t="s">
        <v>735</v>
      </c>
      <c r="D109" s="6"/>
      <c r="E109" t="s">
        <v>736</v>
      </c>
      <c r="F109" t="s">
        <v>737</v>
      </c>
      <c r="G109" s="6">
        <v>26</v>
      </c>
      <c r="H109" s="6"/>
      <c r="I109" t="s">
        <v>491</v>
      </c>
      <c r="J109" s="3">
        <v>46234</v>
      </c>
      <c r="K109" t="s">
        <v>738</v>
      </c>
      <c r="L109" t="s">
        <v>139</v>
      </c>
      <c r="N109" t="s">
        <v>371</v>
      </c>
      <c r="Q109" t="s">
        <v>911</v>
      </c>
      <c r="S109" t="s">
        <v>144</v>
      </c>
      <c r="T109" t="s">
        <v>912</v>
      </c>
      <c r="V109" t="s">
        <v>913</v>
      </c>
      <c r="W109" t="s">
        <v>37</v>
      </c>
      <c r="X109" s="6" t="s">
        <v>914</v>
      </c>
      <c r="Y109" s="6"/>
      <c r="Z109" t="s">
        <v>148</v>
      </c>
      <c r="AA109" t="s">
        <v>205</v>
      </c>
      <c r="AC109" t="s">
        <v>150</v>
      </c>
      <c r="AD109" s="6" t="s">
        <v>915</v>
      </c>
      <c r="AF109" s="3"/>
      <c r="AH109" t="b">
        <v>0</v>
      </c>
      <c r="AI109" t="b">
        <v>0</v>
      </c>
      <c r="AJ109" s="6"/>
      <c r="AK109" s="6"/>
      <c r="AL109" t="b">
        <v>0</v>
      </c>
      <c r="AM109" s="6"/>
      <c r="AN109" s="6"/>
      <c r="AP109" t="b">
        <v>0</v>
      </c>
      <c r="AQ109" s="6"/>
      <c r="AR109" s="6"/>
      <c r="AT109" t="b">
        <v>0</v>
      </c>
      <c r="AU109" s="6"/>
      <c r="AV109" s="6"/>
      <c r="AX109" t="b">
        <v>0</v>
      </c>
      <c r="AY109" s="6"/>
      <c r="AZ109" s="6"/>
      <c r="BA109" t="b">
        <v>0</v>
      </c>
      <c r="BB109" s="6"/>
      <c r="BC109" t="b">
        <v>1</v>
      </c>
      <c r="BD109" s="6" t="s">
        <v>916</v>
      </c>
      <c r="BE109" s="6" t="s">
        <v>758</v>
      </c>
      <c r="BF109" t="b">
        <v>0</v>
      </c>
      <c r="BG109" s="6"/>
      <c r="BH109" t="b">
        <v>0</v>
      </c>
      <c r="BI109" s="6"/>
      <c r="BJ109" t="b">
        <v>0</v>
      </c>
      <c r="BL109" t="b">
        <v>0</v>
      </c>
      <c r="BM109" t="b">
        <v>0</v>
      </c>
      <c r="BN109" t="b">
        <v>0</v>
      </c>
      <c r="BO109" t="b">
        <v>0</v>
      </c>
      <c r="BQ109" t="b">
        <v>0</v>
      </c>
      <c r="BR109" s="6"/>
      <c r="BT109" t="b">
        <v>0</v>
      </c>
      <c r="BU109" t="s">
        <v>747</v>
      </c>
      <c r="BV109" t="s">
        <v>504</v>
      </c>
      <c r="BW109" t="s">
        <v>154</v>
      </c>
      <c r="BX109" t="s">
        <v>759</v>
      </c>
      <c r="BY109" s="6" t="s">
        <v>917</v>
      </c>
      <c r="BZ109">
        <v>1</v>
      </c>
      <c r="CA109" t="s">
        <v>157</v>
      </c>
      <c r="CB109" s="7">
        <v>46315.0537962963</v>
      </c>
    </row>
    <row r="110" spans="1:80">
      <c r="A110" s="6" t="s">
        <v>918</v>
      </c>
      <c r="B110" t="s">
        <v>491</v>
      </c>
      <c r="C110" s="6" t="s">
        <v>735</v>
      </c>
      <c r="D110" s="6"/>
      <c r="E110" t="s">
        <v>736</v>
      </c>
      <c r="F110" t="s">
        <v>737</v>
      </c>
      <c r="G110" s="6">
        <v>27</v>
      </c>
      <c r="H110" s="6"/>
      <c r="I110" t="s">
        <v>491</v>
      </c>
      <c r="J110" s="3">
        <v>46234</v>
      </c>
      <c r="K110" t="s">
        <v>738</v>
      </c>
      <c r="L110" t="s">
        <v>139</v>
      </c>
      <c r="N110" t="s">
        <v>331</v>
      </c>
      <c r="Q110" t="s">
        <v>143</v>
      </c>
      <c r="S110" t="s">
        <v>144</v>
      </c>
      <c r="T110" t="s">
        <v>191</v>
      </c>
      <c r="V110" t="s">
        <v>192</v>
      </c>
      <c r="W110" t="s">
        <v>38</v>
      </c>
      <c r="X110" s="6" t="s">
        <v>193</v>
      </c>
      <c r="Y110" s="6"/>
      <c r="Z110" t="s">
        <v>148</v>
      </c>
      <c r="AA110" t="s">
        <v>149</v>
      </c>
      <c r="AC110" t="s">
        <v>150</v>
      </c>
      <c r="AD110" s="6" t="s">
        <v>919</v>
      </c>
      <c r="AF110" s="3"/>
      <c r="AH110" t="b">
        <v>0</v>
      </c>
      <c r="AI110" t="b">
        <v>0</v>
      </c>
      <c r="AJ110" s="6"/>
      <c r="AK110" s="6"/>
      <c r="AL110" t="b">
        <v>0</v>
      </c>
      <c r="AM110" s="6"/>
      <c r="AN110" s="6"/>
      <c r="AP110" t="b">
        <v>0</v>
      </c>
      <c r="AQ110" s="6"/>
      <c r="AR110" s="6"/>
      <c r="AT110" t="b">
        <v>0</v>
      </c>
      <c r="AU110" s="6"/>
      <c r="AV110" s="6"/>
      <c r="AX110" t="b">
        <v>0</v>
      </c>
      <c r="AY110" s="6"/>
      <c r="AZ110" s="6"/>
      <c r="BA110" t="b">
        <v>0</v>
      </c>
      <c r="BB110" s="6"/>
      <c r="BC110" t="b">
        <v>1</v>
      </c>
      <c r="BD110" s="6" t="s">
        <v>920</v>
      </c>
      <c r="BE110" s="6" t="s">
        <v>171</v>
      </c>
      <c r="BF110" t="b">
        <v>0</v>
      </c>
      <c r="BG110" s="6"/>
      <c r="BH110" t="b">
        <v>0</v>
      </c>
      <c r="BI110" s="6"/>
      <c r="BJ110" t="b">
        <v>0</v>
      </c>
      <c r="BL110" t="b">
        <v>0</v>
      </c>
      <c r="BM110" t="b">
        <v>0</v>
      </c>
      <c r="BN110" t="b">
        <v>0</v>
      </c>
      <c r="BO110" t="b">
        <v>0</v>
      </c>
      <c r="BQ110" t="b">
        <v>0</v>
      </c>
      <c r="BR110" s="6"/>
      <c r="BT110" t="b">
        <v>0</v>
      </c>
      <c r="BU110" t="s">
        <v>747</v>
      </c>
      <c r="BV110" t="s">
        <v>504</v>
      </c>
      <c r="BW110" t="s">
        <v>154</v>
      </c>
      <c r="BX110" t="s">
        <v>44</v>
      </c>
      <c r="BY110" s="6" t="s">
        <v>921</v>
      </c>
      <c r="BZ110">
        <v>1</v>
      </c>
      <c r="CA110" t="s">
        <v>157</v>
      </c>
      <c r="CB110" s="7">
        <v>46315.0537962963</v>
      </c>
    </row>
    <row r="111" spans="1:80">
      <c r="A111" s="6" t="s">
        <v>922</v>
      </c>
      <c r="B111" t="s">
        <v>491</v>
      </c>
      <c r="C111" s="6" t="s">
        <v>735</v>
      </c>
      <c r="D111" s="6"/>
      <c r="E111" t="s">
        <v>736</v>
      </c>
      <c r="F111" t="s">
        <v>737</v>
      </c>
      <c r="G111" s="6">
        <v>28</v>
      </c>
      <c r="H111" s="6"/>
      <c r="I111" t="s">
        <v>491</v>
      </c>
      <c r="J111" s="3">
        <v>46234</v>
      </c>
      <c r="K111" t="s">
        <v>738</v>
      </c>
      <c r="L111" t="s">
        <v>139</v>
      </c>
      <c r="N111" t="s">
        <v>832</v>
      </c>
      <c r="Q111" t="s">
        <v>923</v>
      </c>
      <c r="S111" t="s">
        <v>144</v>
      </c>
      <c r="T111" t="s">
        <v>924</v>
      </c>
      <c r="V111" t="s">
        <v>925</v>
      </c>
      <c r="W111" t="s">
        <v>36</v>
      </c>
      <c r="X111" s="6" t="s">
        <v>926</v>
      </c>
      <c r="Y111" s="6"/>
      <c r="Z111" t="s">
        <v>148</v>
      </c>
      <c r="AA111" t="s">
        <v>205</v>
      </c>
      <c r="AC111" t="s">
        <v>150</v>
      </c>
      <c r="AD111" s="6" t="s">
        <v>927</v>
      </c>
      <c r="AF111" s="3"/>
      <c r="AH111" t="b">
        <v>0</v>
      </c>
      <c r="AI111" t="b">
        <v>0</v>
      </c>
      <c r="AJ111" s="6"/>
      <c r="AK111" s="6"/>
      <c r="AL111" t="b">
        <v>0</v>
      </c>
      <c r="AM111" s="6"/>
      <c r="AN111" s="6"/>
      <c r="AP111" t="b">
        <v>0</v>
      </c>
      <c r="AQ111" s="6"/>
      <c r="AR111" s="6"/>
      <c r="AT111" t="b">
        <v>0</v>
      </c>
      <c r="AU111" s="6"/>
      <c r="AV111" s="6"/>
      <c r="AX111" t="b">
        <v>0</v>
      </c>
      <c r="AY111" s="6"/>
      <c r="AZ111" s="6"/>
      <c r="BA111" t="b">
        <v>0</v>
      </c>
      <c r="BB111" s="6"/>
      <c r="BC111" t="b">
        <v>1</v>
      </c>
      <c r="BD111" s="6" t="s">
        <v>928</v>
      </c>
      <c r="BE111" s="6" t="s">
        <v>171</v>
      </c>
      <c r="BF111" t="b">
        <v>0</v>
      </c>
      <c r="BG111" s="6"/>
      <c r="BH111" t="b">
        <v>0</v>
      </c>
      <c r="BI111" s="6"/>
      <c r="BJ111" t="b">
        <v>0</v>
      </c>
      <c r="BL111" t="b">
        <v>0</v>
      </c>
      <c r="BM111" t="b">
        <v>0</v>
      </c>
      <c r="BN111" t="b">
        <v>0</v>
      </c>
      <c r="BO111" t="b">
        <v>0</v>
      </c>
      <c r="BQ111" t="b">
        <v>0</v>
      </c>
      <c r="BR111" s="6"/>
      <c r="BT111" t="b">
        <v>0</v>
      </c>
      <c r="BU111" t="s">
        <v>747</v>
      </c>
      <c r="BV111" t="s">
        <v>504</v>
      </c>
      <c r="BW111" t="s">
        <v>154</v>
      </c>
      <c r="BX111" t="s">
        <v>723</v>
      </c>
      <c r="BY111" s="6" t="s">
        <v>929</v>
      </c>
      <c r="BZ111">
        <v>1</v>
      </c>
      <c r="CA111" t="s">
        <v>157</v>
      </c>
      <c r="CB111" s="7">
        <v>46315.0537962963</v>
      </c>
    </row>
    <row r="112" spans="1:80">
      <c r="A112" s="6" t="s">
        <v>930</v>
      </c>
      <c r="B112" t="s">
        <v>491</v>
      </c>
      <c r="C112" s="6" t="s">
        <v>735</v>
      </c>
      <c r="D112" s="6"/>
      <c r="E112" t="s">
        <v>736</v>
      </c>
      <c r="F112" t="s">
        <v>737</v>
      </c>
      <c r="G112" s="6">
        <v>29</v>
      </c>
      <c r="H112" s="6"/>
      <c r="I112" t="s">
        <v>491</v>
      </c>
      <c r="J112" s="3">
        <v>46234</v>
      </c>
      <c r="K112" t="s">
        <v>738</v>
      </c>
      <c r="L112" t="s">
        <v>139</v>
      </c>
      <c r="N112" t="s">
        <v>468</v>
      </c>
      <c r="Q112" t="s">
        <v>931</v>
      </c>
      <c r="S112" t="s">
        <v>144</v>
      </c>
      <c r="T112" t="s">
        <v>932</v>
      </c>
      <c r="V112" t="s">
        <v>933</v>
      </c>
      <c r="W112" t="s">
        <v>37</v>
      </c>
      <c r="X112" s="6" t="s">
        <v>934</v>
      </c>
      <c r="Y112" s="6"/>
      <c r="Z112" t="s">
        <v>148</v>
      </c>
      <c r="AA112" t="s">
        <v>205</v>
      </c>
      <c r="AC112" t="s">
        <v>150</v>
      </c>
      <c r="AD112" s="6" t="s">
        <v>935</v>
      </c>
      <c r="AF112" s="3"/>
      <c r="AH112" t="b">
        <v>0</v>
      </c>
      <c r="AI112" t="b">
        <v>0</v>
      </c>
      <c r="AJ112" s="6"/>
      <c r="AK112" s="6"/>
      <c r="AL112" t="b">
        <v>0</v>
      </c>
      <c r="AM112" s="6"/>
      <c r="AN112" s="6"/>
      <c r="AP112" t="b">
        <v>0</v>
      </c>
      <c r="AQ112" s="6"/>
      <c r="AR112" s="6"/>
      <c r="AT112" t="b">
        <v>0</v>
      </c>
      <c r="AU112" s="6"/>
      <c r="AV112" s="6"/>
      <c r="AX112" t="b">
        <v>0</v>
      </c>
      <c r="AY112" s="6"/>
      <c r="AZ112" s="6"/>
      <c r="BA112" t="b">
        <v>0</v>
      </c>
      <c r="BB112" s="6"/>
      <c r="BC112" t="b">
        <v>1</v>
      </c>
      <c r="BD112" s="6" t="s">
        <v>936</v>
      </c>
      <c r="BE112" s="6" t="s">
        <v>746</v>
      </c>
      <c r="BF112" t="b">
        <v>0</v>
      </c>
      <c r="BG112" s="6"/>
      <c r="BH112" t="b">
        <v>0</v>
      </c>
      <c r="BI112" s="6"/>
      <c r="BJ112" t="b">
        <v>0</v>
      </c>
      <c r="BL112" t="b">
        <v>0</v>
      </c>
      <c r="BM112" t="b">
        <v>0</v>
      </c>
      <c r="BN112" t="b">
        <v>0</v>
      </c>
      <c r="BO112" t="b">
        <v>0</v>
      </c>
      <c r="BQ112" t="b">
        <v>0</v>
      </c>
      <c r="BR112" s="6"/>
      <c r="BT112" t="b">
        <v>0</v>
      </c>
      <c r="BU112" t="s">
        <v>747</v>
      </c>
      <c r="BV112" t="s">
        <v>504</v>
      </c>
      <c r="BW112" t="s">
        <v>289</v>
      </c>
      <c r="BX112" t="s">
        <v>937</v>
      </c>
      <c r="BY112" s="6" t="s">
        <v>938</v>
      </c>
      <c r="BZ112">
        <v>1</v>
      </c>
      <c r="CA112" t="s">
        <v>157</v>
      </c>
      <c r="CB112" s="7">
        <v>46315.0537962963</v>
      </c>
    </row>
    <row r="113" spans="1:80">
      <c r="A113" s="6" t="s">
        <v>939</v>
      </c>
      <c r="B113" t="s">
        <v>491</v>
      </c>
      <c r="C113" s="6" t="s">
        <v>735</v>
      </c>
      <c r="D113" s="6"/>
      <c r="E113" t="s">
        <v>736</v>
      </c>
      <c r="F113" t="s">
        <v>737</v>
      </c>
      <c r="G113" s="6">
        <v>30</v>
      </c>
      <c r="H113" s="6"/>
      <c r="I113" t="s">
        <v>491</v>
      </c>
      <c r="J113" s="3">
        <v>46234</v>
      </c>
      <c r="K113" t="s">
        <v>738</v>
      </c>
      <c r="L113" t="s">
        <v>139</v>
      </c>
      <c r="N113" t="s">
        <v>371</v>
      </c>
      <c r="Q113" t="s">
        <v>372</v>
      </c>
      <c r="S113" t="s">
        <v>144</v>
      </c>
      <c r="T113" t="s">
        <v>373</v>
      </c>
      <c r="U113" t="s">
        <v>374</v>
      </c>
      <c r="V113" t="s">
        <v>375</v>
      </c>
      <c r="W113" t="s">
        <v>33</v>
      </c>
      <c r="X113" s="6" t="s">
        <v>376</v>
      </c>
      <c r="Y113" s="6"/>
      <c r="Z113" t="s">
        <v>148</v>
      </c>
      <c r="AA113" t="s">
        <v>149</v>
      </c>
      <c r="AC113" t="s">
        <v>150</v>
      </c>
      <c r="AD113" s="6" t="s">
        <v>377</v>
      </c>
      <c r="AF113" s="3"/>
      <c r="AH113" t="b">
        <v>0</v>
      </c>
      <c r="AI113" t="b">
        <v>0</v>
      </c>
      <c r="AJ113" s="6"/>
      <c r="AK113" s="6"/>
      <c r="AL113" t="b">
        <v>0</v>
      </c>
      <c r="AM113" s="6"/>
      <c r="AN113" s="6"/>
      <c r="AP113" t="b">
        <v>0</v>
      </c>
      <c r="AQ113" s="6"/>
      <c r="AR113" s="6"/>
      <c r="AT113" t="b">
        <v>0</v>
      </c>
      <c r="AU113" s="6"/>
      <c r="AV113" s="6"/>
      <c r="AX113" t="b">
        <v>0</v>
      </c>
      <c r="AY113" s="6"/>
      <c r="AZ113" s="6"/>
      <c r="BA113" t="b">
        <v>0</v>
      </c>
      <c r="BB113" s="6"/>
      <c r="BC113" t="b">
        <v>1</v>
      </c>
      <c r="BD113" s="6" t="s">
        <v>940</v>
      </c>
      <c r="BE113" s="6" t="s">
        <v>171</v>
      </c>
      <c r="BF113" t="b">
        <v>0</v>
      </c>
      <c r="BG113" s="6"/>
      <c r="BH113" t="b">
        <v>0</v>
      </c>
      <c r="BI113" s="6"/>
      <c r="BJ113" t="b">
        <v>0</v>
      </c>
      <c r="BL113" t="b">
        <v>0</v>
      </c>
      <c r="BM113" t="b">
        <v>0</v>
      </c>
      <c r="BN113" t="b">
        <v>0</v>
      </c>
      <c r="BO113" t="b">
        <v>0</v>
      </c>
      <c r="BQ113" t="b">
        <v>0</v>
      </c>
      <c r="BR113" s="6"/>
      <c r="BT113" t="b">
        <v>0</v>
      </c>
      <c r="BU113" t="s">
        <v>747</v>
      </c>
      <c r="BV113" t="s">
        <v>504</v>
      </c>
      <c r="BW113" t="s">
        <v>171</v>
      </c>
      <c r="BX113" t="s">
        <v>50</v>
      </c>
      <c r="BY113" s="6" t="s">
        <v>382</v>
      </c>
      <c r="BZ113">
        <v>1</v>
      </c>
      <c r="CB113" s="7">
        <v>46315.0537962963</v>
      </c>
    </row>
    <row r="114" spans="1:80">
      <c r="A114" s="6" t="s">
        <v>941</v>
      </c>
      <c r="B114" t="s">
        <v>491</v>
      </c>
      <c r="C114" s="6" t="s">
        <v>735</v>
      </c>
      <c r="D114" s="6"/>
      <c r="E114" t="s">
        <v>736</v>
      </c>
      <c r="F114" t="s">
        <v>737</v>
      </c>
      <c r="G114" s="6">
        <v>31</v>
      </c>
      <c r="H114" s="6"/>
      <c r="I114" t="s">
        <v>491</v>
      </c>
      <c r="J114" s="3">
        <v>46234</v>
      </c>
      <c r="K114" t="s">
        <v>738</v>
      </c>
      <c r="L114" t="s">
        <v>139</v>
      </c>
      <c r="N114" t="s">
        <v>942</v>
      </c>
      <c r="Q114" t="s">
        <v>943</v>
      </c>
      <c r="S114" t="s">
        <v>144</v>
      </c>
      <c r="T114" t="s">
        <v>944</v>
      </c>
      <c r="V114" t="s">
        <v>945</v>
      </c>
      <c r="W114" t="s">
        <v>33</v>
      </c>
      <c r="X114" s="6" t="s">
        <v>946</v>
      </c>
      <c r="Y114" s="6"/>
      <c r="Z114" t="s">
        <v>148</v>
      </c>
      <c r="AA114" t="s">
        <v>205</v>
      </c>
      <c r="AC114" t="s">
        <v>150</v>
      </c>
      <c r="AD114" s="6" t="s">
        <v>947</v>
      </c>
      <c r="AF114" s="3"/>
      <c r="AH114" t="b">
        <v>0</v>
      </c>
      <c r="AI114" t="b">
        <v>0</v>
      </c>
      <c r="AJ114" s="6"/>
      <c r="AK114" s="6"/>
      <c r="AL114" t="b">
        <v>0</v>
      </c>
      <c r="AM114" s="6"/>
      <c r="AN114" s="6"/>
      <c r="AP114" t="b">
        <v>0</v>
      </c>
      <c r="AQ114" s="6"/>
      <c r="AR114" s="6"/>
      <c r="AT114" t="b">
        <v>0</v>
      </c>
      <c r="AU114" s="6"/>
      <c r="AV114" s="6"/>
      <c r="AX114" t="b">
        <v>0</v>
      </c>
      <c r="AY114" s="6"/>
      <c r="AZ114" s="6"/>
      <c r="BA114" t="b">
        <v>0</v>
      </c>
      <c r="BB114" s="6"/>
      <c r="BC114" t="b">
        <v>1</v>
      </c>
      <c r="BD114" s="6" t="s">
        <v>948</v>
      </c>
      <c r="BE114" s="6" t="s">
        <v>171</v>
      </c>
      <c r="BF114" t="b">
        <v>0</v>
      </c>
      <c r="BG114" s="6"/>
      <c r="BH114" t="b">
        <v>0</v>
      </c>
      <c r="BI114" s="6"/>
      <c r="BJ114" t="b">
        <v>0</v>
      </c>
      <c r="BL114" t="b">
        <v>0</v>
      </c>
      <c r="BM114" t="b">
        <v>0</v>
      </c>
      <c r="BN114" t="b">
        <v>0</v>
      </c>
      <c r="BO114" t="b">
        <v>0</v>
      </c>
      <c r="BQ114" t="b">
        <v>0</v>
      </c>
      <c r="BR114" s="6"/>
      <c r="BT114" t="b">
        <v>0</v>
      </c>
      <c r="BU114" t="s">
        <v>747</v>
      </c>
      <c r="BV114" t="s">
        <v>504</v>
      </c>
      <c r="BW114" t="s">
        <v>154</v>
      </c>
      <c r="BX114" t="s">
        <v>43</v>
      </c>
      <c r="BY114" s="6" t="s">
        <v>949</v>
      </c>
      <c r="BZ114">
        <v>1</v>
      </c>
      <c r="CA114" t="s">
        <v>157</v>
      </c>
      <c r="CB114" s="7">
        <v>46315.0537962963</v>
      </c>
    </row>
    <row r="115" spans="1:80">
      <c r="A115" s="6" t="s">
        <v>950</v>
      </c>
      <c r="B115" t="s">
        <v>491</v>
      </c>
      <c r="C115" s="6" t="s">
        <v>735</v>
      </c>
      <c r="D115" s="6"/>
      <c r="E115" t="s">
        <v>736</v>
      </c>
      <c r="F115" t="s">
        <v>737</v>
      </c>
      <c r="G115" s="6">
        <v>32</v>
      </c>
      <c r="H115" s="6"/>
      <c r="I115" t="s">
        <v>491</v>
      </c>
      <c r="J115" s="3">
        <v>46234</v>
      </c>
      <c r="K115" t="s">
        <v>738</v>
      </c>
      <c r="L115" t="s">
        <v>139</v>
      </c>
      <c r="N115" t="s">
        <v>393</v>
      </c>
      <c r="Q115" t="s">
        <v>394</v>
      </c>
      <c r="S115" t="s">
        <v>144</v>
      </c>
      <c r="T115" t="s">
        <v>395</v>
      </c>
      <c r="V115" t="s">
        <v>396</v>
      </c>
      <c r="W115" t="s">
        <v>38</v>
      </c>
      <c r="X115" s="6" t="s">
        <v>397</v>
      </c>
      <c r="Y115" s="6"/>
      <c r="Z115" t="s">
        <v>148</v>
      </c>
      <c r="AA115" t="s">
        <v>149</v>
      </c>
      <c r="AC115" t="s">
        <v>150</v>
      </c>
      <c r="AD115" s="6" t="s">
        <v>398</v>
      </c>
      <c r="AF115" s="3"/>
      <c r="AH115" t="b">
        <v>0</v>
      </c>
      <c r="AI115" t="b">
        <v>0</v>
      </c>
      <c r="AJ115" s="6"/>
      <c r="AK115" s="6"/>
      <c r="AL115" t="b">
        <v>0</v>
      </c>
      <c r="AM115" s="6"/>
      <c r="AN115" s="6"/>
      <c r="AP115" t="b">
        <v>0</v>
      </c>
      <c r="AQ115" s="6"/>
      <c r="AR115" s="6"/>
      <c r="AT115" t="b">
        <v>0</v>
      </c>
      <c r="AU115" s="6"/>
      <c r="AV115" s="6"/>
      <c r="AX115" t="b">
        <v>0</v>
      </c>
      <c r="AY115" s="6"/>
      <c r="AZ115" s="6"/>
      <c r="BA115" t="b">
        <v>0</v>
      </c>
      <c r="BB115" s="6"/>
      <c r="BC115" t="b">
        <v>1</v>
      </c>
      <c r="BD115" s="6" t="s">
        <v>951</v>
      </c>
      <c r="BE115" s="6" t="s">
        <v>758</v>
      </c>
      <c r="BF115" t="b">
        <v>0</v>
      </c>
      <c r="BG115" s="6"/>
      <c r="BH115" t="b">
        <v>0</v>
      </c>
      <c r="BI115" s="6"/>
      <c r="BJ115" t="b">
        <v>0</v>
      </c>
      <c r="BL115" t="b">
        <v>0</v>
      </c>
      <c r="BM115" t="b">
        <v>0</v>
      </c>
      <c r="BN115" t="b">
        <v>0</v>
      </c>
      <c r="BO115" t="b">
        <v>0</v>
      </c>
      <c r="BQ115" t="b">
        <v>0</v>
      </c>
      <c r="BR115" s="6"/>
      <c r="BT115" t="b">
        <v>0</v>
      </c>
      <c r="BU115" t="s">
        <v>747</v>
      </c>
      <c r="BV115" t="s">
        <v>504</v>
      </c>
      <c r="BW115" t="s">
        <v>171</v>
      </c>
      <c r="BX115" t="s">
        <v>758</v>
      </c>
      <c r="BY115" s="6" t="s">
        <v>403</v>
      </c>
      <c r="BZ115">
        <v>1</v>
      </c>
      <c r="CB115" s="7">
        <v>46315.0537962963</v>
      </c>
    </row>
    <row r="116" spans="1:80">
      <c r="A116" s="6" t="s">
        <v>952</v>
      </c>
      <c r="B116" t="s">
        <v>491</v>
      </c>
      <c r="C116" s="6" t="s">
        <v>735</v>
      </c>
      <c r="D116" s="6"/>
      <c r="E116" t="s">
        <v>736</v>
      </c>
      <c r="F116" t="s">
        <v>737</v>
      </c>
      <c r="G116" s="6">
        <v>33</v>
      </c>
      <c r="H116" s="6"/>
      <c r="I116" t="s">
        <v>491</v>
      </c>
      <c r="J116" s="3">
        <v>46234</v>
      </c>
      <c r="K116" t="s">
        <v>738</v>
      </c>
      <c r="L116" t="s">
        <v>139</v>
      </c>
      <c r="N116" t="s">
        <v>211</v>
      </c>
      <c r="Q116" t="s">
        <v>164</v>
      </c>
      <c r="S116" t="s">
        <v>144</v>
      </c>
      <c r="T116" t="s">
        <v>953</v>
      </c>
      <c r="V116" t="s">
        <v>954</v>
      </c>
      <c r="W116" t="s">
        <v>38</v>
      </c>
      <c r="X116" s="6" t="s">
        <v>955</v>
      </c>
      <c r="Y116" s="6"/>
      <c r="Z116" t="s">
        <v>148</v>
      </c>
      <c r="AA116" t="s">
        <v>205</v>
      </c>
      <c r="AC116" t="s">
        <v>150</v>
      </c>
      <c r="AD116" s="6" t="s">
        <v>956</v>
      </c>
      <c r="AF116" s="3"/>
      <c r="AH116" t="b">
        <v>0</v>
      </c>
      <c r="AI116" t="b">
        <v>0</v>
      </c>
      <c r="AJ116" s="6"/>
      <c r="AK116" s="6"/>
      <c r="AL116" t="b">
        <v>0</v>
      </c>
      <c r="AM116" s="6"/>
      <c r="AN116" s="6"/>
      <c r="AP116" t="b">
        <v>0</v>
      </c>
      <c r="AQ116" s="6"/>
      <c r="AR116" s="6"/>
      <c r="AT116" t="b">
        <v>0</v>
      </c>
      <c r="AU116" s="6"/>
      <c r="AV116" s="6"/>
      <c r="AX116" t="b">
        <v>0</v>
      </c>
      <c r="AY116" s="6"/>
      <c r="AZ116" s="6"/>
      <c r="BA116" t="b">
        <v>0</v>
      </c>
      <c r="BB116" s="6"/>
      <c r="BC116" t="b">
        <v>1</v>
      </c>
      <c r="BD116" s="6" t="s">
        <v>957</v>
      </c>
      <c r="BE116" s="6" t="s">
        <v>171</v>
      </c>
      <c r="BF116" t="b">
        <v>0</v>
      </c>
      <c r="BG116" s="6"/>
      <c r="BH116" t="b">
        <v>0</v>
      </c>
      <c r="BI116" s="6"/>
      <c r="BJ116" t="b">
        <v>0</v>
      </c>
      <c r="BL116" t="b">
        <v>0</v>
      </c>
      <c r="BM116" t="b">
        <v>0</v>
      </c>
      <c r="BN116" t="b">
        <v>0</v>
      </c>
      <c r="BO116" t="b">
        <v>0</v>
      </c>
      <c r="BQ116" t="b">
        <v>0</v>
      </c>
      <c r="BR116" s="6"/>
      <c r="BT116" t="b">
        <v>0</v>
      </c>
      <c r="BU116" t="s">
        <v>747</v>
      </c>
      <c r="BV116" t="s">
        <v>504</v>
      </c>
      <c r="BW116" t="s">
        <v>154</v>
      </c>
      <c r="BX116" t="s">
        <v>43</v>
      </c>
      <c r="BY116" s="6" t="s">
        <v>958</v>
      </c>
      <c r="BZ116">
        <v>1</v>
      </c>
      <c r="CA116" t="s">
        <v>157</v>
      </c>
      <c r="CB116" s="7">
        <v>46315.0537962963</v>
      </c>
    </row>
    <row r="117" spans="1:80">
      <c r="A117" s="6" t="s">
        <v>959</v>
      </c>
      <c r="B117" t="s">
        <v>491</v>
      </c>
      <c r="C117" s="6" t="s">
        <v>735</v>
      </c>
      <c r="D117" s="6"/>
      <c r="E117" t="s">
        <v>736</v>
      </c>
      <c r="F117" t="s">
        <v>737</v>
      </c>
      <c r="G117" s="6">
        <v>34</v>
      </c>
      <c r="H117" s="6"/>
      <c r="I117" t="s">
        <v>491</v>
      </c>
      <c r="J117" s="3">
        <v>46234</v>
      </c>
      <c r="K117" t="s">
        <v>738</v>
      </c>
      <c r="L117" t="s">
        <v>139</v>
      </c>
      <c r="N117" t="s">
        <v>960</v>
      </c>
      <c r="Q117" t="s">
        <v>961</v>
      </c>
      <c r="S117" t="s">
        <v>144</v>
      </c>
      <c r="T117" t="s">
        <v>962</v>
      </c>
      <c r="V117" t="s">
        <v>963</v>
      </c>
      <c r="W117" t="s">
        <v>33</v>
      </c>
      <c r="X117" s="6" t="s">
        <v>964</v>
      </c>
      <c r="Y117" s="6"/>
      <c r="Z117" t="s">
        <v>148</v>
      </c>
      <c r="AA117" t="s">
        <v>205</v>
      </c>
      <c r="AC117" t="s">
        <v>150</v>
      </c>
      <c r="AD117" s="6" t="s">
        <v>965</v>
      </c>
      <c r="AF117" s="3"/>
      <c r="AH117" t="b">
        <v>0</v>
      </c>
      <c r="AI117" t="b">
        <v>0</v>
      </c>
      <c r="AJ117" s="6"/>
      <c r="AK117" s="6"/>
      <c r="AL117" t="b">
        <v>0</v>
      </c>
      <c r="AM117" s="6"/>
      <c r="AN117" s="6"/>
      <c r="AP117" t="b">
        <v>0</v>
      </c>
      <c r="AQ117" s="6"/>
      <c r="AR117" s="6"/>
      <c r="AT117" t="b">
        <v>0</v>
      </c>
      <c r="AU117" s="6"/>
      <c r="AV117" s="6"/>
      <c r="AX117" t="b">
        <v>0</v>
      </c>
      <c r="AY117" s="6"/>
      <c r="AZ117" s="6"/>
      <c r="BA117" t="b">
        <v>0</v>
      </c>
      <c r="BB117" s="6"/>
      <c r="BC117" t="b">
        <v>1</v>
      </c>
      <c r="BD117" s="6" t="s">
        <v>966</v>
      </c>
      <c r="BE117" s="6" t="s">
        <v>171</v>
      </c>
      <c r="BF117" t="b">
        <v>0</v>
      </c>
      <c r="BG117" s="6"/>
      <c r="BH117" t="b">
        <v>0</v>
      </c>
      <c r="BI117" s="6"/>
      <c r="BJ117" t="b">
        <v>0</v>
      </c>
      <c r="BL117" t="b">
        <v>0</v>
      </c>
      <c r="BM117" t="b">
        <v>0</v>
      </c>
      <c r="BN117" t="b">
        <v>0</v>
      </c>
      <c r="BO117" t="b">
        <v>0</v>
      </c>
      <c r="BQ117" t="b">
        <v>0</v>
      </c>
      <c r="BR117" s="6"/>
      <c r="BT117" t="b">
        <v>0</v>
      </c>
      <c r="BU117" t="s">
        <v>747</v>
      </c>
      <c r="BV117" t="s">
        <v>504</v>
      </c>
      <c r="BW117" t="s">
        <v>154</v>
      </c>
      <c r="BX117" t="s">
        <v>43</v>
      </c>
      <c r="BY117" s="6" t="s">
        <v>967</v>
      </c>
      <c r="BZ117">
        <v>1</v>
      </c>
      <c r="CA117" t="s">
        <v>157</v>
      </c>
      <c r="CB117" s="7">
        <v>46315.0537962963</v>
      </c>
    </row>
    <row r="118" spans="1:80">
      <c r="A118" s="6" t="s">
        <v>968</v>
      </c>
      <c r="B118" t="s">
        <v>491</v>
      </c>
      <c r="C118" s="6" t="s">
        <v>735</v>
      </c>
      <c r="D118" s="6"/>
      <c r="E118" t="s">
        <v>736</v>
      </c>
      <c r="F118" t="s">
        <v>737</v>
      </c>
      <c r="G118" s="6">
        <v>35</v>
      </c>
      <c r="H118" s="6"/>
      <c r="I118" t="s">
        <v>491</v>
      </c>
      <c r="J118" s="3">
        <v>46234</v>
      </c>
      <c r="K118" t="s">
        <v>738</v>
      </c>
      <c r="L118" t="s">
        <v>139</v>
      </c>
      <c r="N118" t="s">
        <v>969</v>
      </c>
      <c r="Q118" t="s">
        <v>970</v>
      </c>
      <c r="S118" t="s">
        <v>144</v>
      </c>
      <c r="T118" t="s">
        <v>971</v>
      </c>
      <c r="V118" t="s">
        <v>614</v>
      </c>
      <c r="W118" t="s">
        <v>39</v>
      </c>
      <c r="X118" s="6" t="s">
        <v>972</v>
      </c>
      <c r="Y118" s="6"/>
      <c r="Z118" t="s">
        <v>148</v>
      </c>
      <c r="AA118" t="s">
        <v>205</v>
      </c>
      <c r="AC118" t="s">
        <v>150</v>
      </c>
      <c r="AD118" s="6" t="s">
        <v>973</v>
      </c>
      <c r="AF118" s="3"/>
      <c r="AH118" t="b">
        <v>0</v>
      </c>
      <c r="AI118" t="b">
        <v>0</v>
      </c>
      <c r="AJ118" s="6"/>
      <c r="AK118" s="6"/>
      <c r="AL118" t="b">
        <v>0</v>
      </c>
      <c r="AM118" s="6"/>
      <c r="AN118" s="6"/>
      <c r="AP118" t="b">
        <v>0</v>
      </c>
      <c r="AQ118" s="6"/>
      <c r="AR118" s="6"/>
      <c r="AT118" t="b">
        <v>0</v>
      </c>
      <c r="AU118" s="6"/>
      <c r="AV118" s="6"/>
      <c r="AX118" t="b">
        <v>0</v>
      </c>
      <c r="AY118" s="6"/>
      <c r="AZ118" s="6"/>
      <c r="BA118" t="b">
        <v>0</v>
      </c>
      <c r="BB118" s="6"/>
      <c r="BC118" t="b">
        <v>1</v>
      </c>
      <c r="BD118" s="6" t="s">
        <v>974</v>
      </c>
      <c r="BE118" s="6" t="s">
        <v>746</v>
      </c>
      <c r="BF118" t="b">
        <v>0</v>
      </c>
      <c r="BG118" s="6"/>
      <c r="BH118" t="b">
        <v>0</v>
      </c>
      <c r="BI118" s="6"/>
      <c r="BJ118" t="b">
        <v>0</v>
      </c>
      <c r="BL118" t="b">
        <v>0</v>
      </c>
      <c r="BM118" t="b">
        <v>0</v>
      </c>
      <c r="BN118" t="b">
        <v>0</v>
      </c>
      <c r="BO118" t="b">
        <v>0</v>
      </c>
      <c r="BQ118" t="b">
        <v>0</v>
      </c>
      <c r="BR118" s="6"/>
      <c r="BT118" t="b">
        <v>0</v>
      </c>
      <c r="BU118" t="s">
        <v>747</v>
      </c>
      <c r="BV118" t="s">
        <v>504</v>
      </c>
      <c r="BW118" t="s">
        <v>289</v>
      </c>
      <c r="BX118" t="s">
        <v>860</v>
      </c>
      <c r="BY118" s="6" t="s">
        <v>975</v>
      </c>
      <c r="BZ118">
        <v>1</v>
      </c>
      <c r="CA118" t="s">
        <v>157</v>
      </c>
      <c r="CB118" s="7">
        <v>46315.0537962963</v>
      </c>
    </row>
    <row r="119" spans="1:80">
      <c r="A119" s="6" t="s">
        <v>976</v>
      </c>
      <c r="B119" t="s">
        <v>491</v>
      </c>
      <c r="C119" s="6" t="s">
        <v>735</v>
      </c>
      <c r="D119" s="6"/>
      <c r="E119" t="s">
        <v>736</v>
      </c>
      <c r="F119" t="s">
        <v>737</v>
      </c>
      <c r="G119" s="6">
        <v>36</v>
      </c>
      <c r="H119" s="6"/>
      <c r="I119" t="s">
        <v>491</v>
      </c>
      <c r="J119" s="3">
        <v>46234</v>
      </c>
      <c r="K119" t="s">
        <v>738</v>
      </c>
      <c r="L119" t="s">
        <v>139</v>
      </c>
      <c r="N119" t="s">
        <v>882</v>
      </c>
      <c r="Q119" t="s">
        <v>394</v>
      </c>
      <c r="S119" t="s">
        <v>144</v>
      </c>
      <c r="T119" t="s">
        <v>977</v>
      </c>
      <c r="V119" t="s">
        <v>978</v>
      </c>
      <c r="W119" t="s">
        <v>38</v>
      </c>
      <c r="X119" s="6" t="s">
        <v>979</v>
      </c>
      <c r="Y119" s="6"/>
      <c r="Z119" t="s">
        <v>148</v>
      </c>
      <c r="AA119" t="s">
        <v>205</v>
      </c>
      <c r="AC119" t="s">
        <v>150</v>
      </c>
      <c r="AD119" s="6" t="s">
        <v>980</v>
      </c>
      <c r="AF119" s="3"/>
      <c r="AH119" t="b">
        <v>0</v>
      </c>
      <c r="AI119" t="b">
        <v>0</v>
      </c>
      <c r="AJ119" s="6"/>
      <c r="AK119" s="6"/>
      <c r="AL119" t="b">
        <v>0</v>
      </c>
      <c r="AM119" s="6"/>
      <c r="AN119" s="6"/>
      <c r="AP119" t="b">
        <v>0</v>
      </c>
      <c r="AQ119" s="6"/>
      <c r="AR119" s="6"/>
      <c r="AT119" t="b">
        <v>0</v>
      </c>
      <c r="AU119" s="6"/>
      <c r="AV119" s="6"/>
      <c r="AX119" t="b">
        <v>0</v>
      </c>
      <c r="AY119" s="6"/>
      <c r="AZ119" s="6"/>
      <c r="BA119" t="b">
        <v>0</v>
      </c>
      <c r="BB119" s="6"/>
      <c r="BC119" t="b">
        <v>1</v>
      </c>
      <c r="BD119" s="6" t="s">
        <v>981</v>
      </c>
      <c r="BE119" s="6" t="s">
        <v>171</v>
      </c>
      <c r="BF119" t="b">
        <v>0</v>
      </c>
      <c r="BG119" s="6"/>
      <c r="BH119" t="b">
        <v>0</v>
      </c>
      <c r="BI119" s="6"/>
      <c r="BJ119" t="b">
        <v>0</v>
      </c>
      <c r="BL119" t="b">
        <v>0</v>
      </c>
      <c r="BM119" t="b">
        <v>0</v>
      </c>
      <c r="BN119" t="b">
        <v>0</v>
      </c>
      <c r="BO119" t="b">
        <v>0</v>
      </c>
      <c r="BQ119" t="b">
        <v>0</v>
      </c>
      <c r="BR119" s="6"/>
      <c r="BT119" t="b">
        <v>0</v>
      </c>
      <c r="BU119" t="s">
        <v>747</v>
      </c>
      <c r="BV119" t="s">
        <v>504</v>
      </c>
      <c r="BW119" t="s">
        <v>154</v>
      </c>
      <c r="BX119" t="s">
        <v>43</v>
      </c>
      <c r="BY119" s="6" t="s">
        <v>982</v>
      </c>
      <c r="BZ119">
        <v>1</v>
      </c>
      <c r="CA119" t="s">
        <v>157</v>
      </c>
      <c r="CB119" s="7">
        <v>46315.0537962963</v>
      </c>
    </row>
    <row r="120" spans="1:80">
      <c r="A120" s="6" t="s">
        <v>983</v>
      </c>
      <c r="B120" t="s">
        <v>491</v>
      </c>
      <c r="C120" s="6" t="s">
        <v>735</v>
      </c>
      <c r="D120" s="6"/>
      <c r="E120" t="s">
        <v>736</v>
      </c>
      <c r="F120" t="s">
        <v>737</v>
      </c>
      <c r="G120" s="6">
        <v>37</v>
      </c>
      <c r="H120" s="6"/>
      <c r="I120" t="s">
        <v>491</v>
      </c>
      <c r="J120" s="3">
        <v>46234</v>
      </c>
      <c r="K120" t="s">
        <v>738</v>
      </c>
      <c r="L120" t="s">
        <v>139</v>
      </c>
      <c r="N120" t="s">
        <v>507</v>
      </c>
      <c r="Q120" t="s">
        <v>703</v>
      </c>
      <c r="S120" t="s">
        <v>144</v>
      </c>
      <c r="T120" t="s">
        <v>704</v>
      </c>
      <c r="V120" t="s">
        <v>705</v>
      </c>
      <c r="W120" t="s">
        <v>36</v>
      </c>
      <c r="X120" s="6" t="s">
        <v>706</v>
      </c>
      <c r="Y120" s="6"/>
      <c r="Z120" t="s">
        <v>148</v>
      </c>
      <c r="AA120" t="s">
        <v>149</v>
      </c>
      <c r="AC120" t="s">
        <v>150</v>
      </c>
      <c r="AD120" s="6" t="s">
        <v>984</v>
      </c>
      <c r="AF120" s="3"/>
      <c r="AH120" t="b">
        <v>0</v>
      </c>
      <c r="AI120" t="b">
        <v>0</v>
      </c>
      <c r="AJ120" s="6"/>
      <c r="AK120" s="6"/>
      <c r="AL120" t="b">
        <v>0</v>
      </c>
      <c r="AM120" s="6"/>
      <c r="AN120" s="6"/>
      <c r="AP120" t="b">
        <v>0</v>
      </c>
      <c r="AQ120" s="6"/>
      <c r="AR120" s="6"/>
      <c r="AT120" t="b">
        <v>0</v>
      </c>
      <c r="AU120" s="6"/>
      <c r="AV120" s="6"/>
      <c r="AX120" t="b">
        <v>0</v>
      </c>
      <c r="AY120" s="6"/>
      <c r="AZ120" s="6"/>
      <c r="BA120" t="b">
        <v>0</v>
      </c>
      <c r="BB120" s="6"/>
      <c r="BC120" t="b">
        <v>1</v>
      </c>
      <c r="BD120" s="6" t="s">
        <v>985</v>
      </c>
      <c r="BE120" s="6" t="s">
        <v>171</v>
      </c>
      <c r="BF120" t="b">
        <v>0</v>
      </c>
      <c r="BG120" s="6"/>
      <c r="BH120" t="b">
        <v>0</v>
      </c>
      <c r="BI120" s="6"/>
      <c r="BJ120" t="b">
        <v>0</v>
      </c>
      <c r="BL120" t="b">
        <v>0</v>
      </c>
      <c r="BM120" t="b">
        <v>0</v>
      </c>
      <c r="BN120" t="b">
        <v>0</v>
      </c>
      <c r="BO120" t="b">
        <v>0</v>
      </c>
      <c r="BQ120" t="b">
        <v>0</v>
      </c>
      <c r="BR120" s="6"/>
      <c r="BT120" t="b">
        <v>0</v>
      </c>
      <c r="BU120" t="s">
        <v>747</v>
      </c>
      <c r="BV120" t="s">
        <v>504</v>
      </c>
      <c r="BW120" t="s">
        <v>154</v>
      </c>
      <c r="BX120" t="s">
        <v>47</v>
      </c>
      <c r="BY120" s="6" t="s">
        <v>709</v>
      </c>
      <c r="BZ120">
        <v>1</v>
      </c>
      <c r="CA120" t="s">
        <v>157</v>
      </c>
      <c r="CB120" s="7">
        <v>46315.0537962963</v>
      </c>
    </row>
    <row r="121" spans="1:80">
      <c r="A121" s="6" t="s">
        <v>986</v>
      </c>
      <c r="B121" t="s">
        <v>491</v>
      </c>
      <c r="C121" s="6" t="s">
        <v>735</v>
      </c>
      <c r="D121" s="6"/>
      <c r="E121" t="s">
        <v>736</v>
      </c>
      <c r="F121" t="s">
        <v>737</v>
      </c>
      <c r="G121" s="6">
        <v>38</v>
      </c>
      <c r="H121" s="6"/>
      <c r="I121" t="s">
        <v>491</v>
      </c>
      <c r="J121" s="3">
        <v>46234</v>
      </c>
      <c r="K121" t="s">
        <v>738</v>
      </c>
      <c r="L121" t="s">
        <v>139</v>
      </c>
      <c r="N121" t="s">
        <v>987</v>
      </c>
      <c r="Q121" t="s">
        <v>988</v>
      </c>
      <c r="S121" t="s">
        <v>144</v>
      </c>
      <c r="T121" t="s">
        <v>989</v>
      </c>
      <c r="V121" t="s">
        <v>990</v>
      </c>
      <c r="W121" t="s">
        <v>38</v>
      </c>
      <c r="X121" s="6" t="s">
        <v>991</v>
      </c>
      <c r="Y121" s="6"/>
      <c r="Z121" t="s">
        <v>148</v>
      </c>
      <c r="AA121" t="s">
        <v>205</v>
      </c>
      <c r="AC121" t="s">
        <v>150</v>
      </c>
      <c r="AD121" s="6" t="s">
        <v>992</v>
      </c>
      <c r="AF121" s="3"/>
      <c r="AH121" t="b">
        <v>0</v>
      </c>
      <c r="AI121" t="b">
        <v>0</v>
      </c>
      <c r="AJ121" s="6"/>
      <c r="AK121" s="6"/>
      <c r="AL121" t="b">
        <v>0</v>
      </c>
      <c r="AM121" s="6"/>
      <c r="AN121" s="6"/>
      <c r="AP121" t="b">
        <v>0</v>
      </c>
      <c r="AQ121" s="6"/>
      <c r="AR121" s="6"/>
      <c r="AT121" t="b">
        <v>0</v>
      </c>
      <c r="AU121" s="6"/>
      <c r="AV121" s="6"/>
      <c r="AX121" t="b">
        <v>0</v>
      </c>
      <c r="AY121" s="6"/>
      <c r="AZ121" s="6"/>
      <c r="BA121" t="b">
        <v>0</v>
      </c>
      <c r="BB121" s="6"/>
      <c r="BC121" t="b">
        <v>1</v>
      </c>
      <c r="BD121" s="6" t="s">
        <v>993</v>
      </c>
      <c r="BE121" s="6" t="s">
        <v>171</v>
      </c>
      <c r="BF121" t="b">
        <v>0</v>
      </c>
      <c r="BG121" s="6"/>
      <c r="BH121" t="b">
        <v>0</v>
      </c>
      <c r="BI121" s="6"/>
      <c r="BJ121" t="b">
        <v>0</v>
      </c>
      <c r="BL121" t="b">
        <v>0</v>
      </c>
      <c r="BM121" t="b">
        <v>0</v>
      </c>
      <c r="BN121" t="b">
        <v>0</v>
      </c>
      <c r="BO121" t="b">
        <v>0</v>
      </c>
      <c r="BQ121" t="b">
        <v>0</v>
      </c>
      <c r="BR121" s="6"/>
      <c r="BT121" t="b">
        <v>0</v>
      </c>
      <c r="BU121" t="s">
        <v>747</v>
      </c>
      <c r="BV121" t="s">
        <v>504</v>
      </c>
      <c r="BW121" t="s">
        <v>154</v>
      </c>
      <c r="BX121" t="s">
        <v>43</v>
      </c>
      <c r="BY121" s="6" t="s">
        <v>994</v>
      </c>
      <c r="BZ121">
        <v>1</v>
      </c>
      <c r="CA121" t="s">
        <v>157</v>
      </c>
      <c r="CB121" s="7">
        <v>46315.0537962963</v>
      </c>
    </row>
    <row r="122" spans="1:80">
      <c r="A122" s="6" t="s">
        <v>995</v>
      </c>
      <c r="B122" t="s">
        <v>491</v>
      </c>
      <c r="C122" s="6" t="s">
        <v>735</v>
      </c>
      <c r="D122" s="6"/>
      <c r="E122" t="s">
        <v>736</v>
      </c>
      <c r="F122" t="s">
        <v>737</v>
      </c>
      <c r="G122" s="6">
        <v>39</v>
      </c>
      <c r="H122" s="6"/>
      <c r="I122" t="s">
        <v>491</v>
      </c>
      <c r="J122" s="3">
        <v>46234</v>
      </c>
      <c r="K122" t="s">
        <v>738</v>
      </c>
      <c r="L122" t="s">
        <v>139</v>
      </c>
      <c r="N122" t="s">
        <v>996</v>
      </c>
      <c r="Q122" t="s">
        <v>997</v>
      </c>
      <c r="S122" t="s">
        <v>144</v>
      </c>
      <c r="T122" t="s">
        <v>998</v>
      </c>
      <c r="V122" t="s">
        <v>146</v>
      </c>
      <c r="W122" t="s">
        <v>33</v>
      </c>
      <c r="X122" s="6" t="s">
        <v>999</v>
      </c>
      <c r="Y122" s="6"/>
      <c r="Z122" t="s">
        <v>148</v>
      </c>
      <c r="AA122" t="s">
        <v>205</v>
      </c>
      <c r="AC122" t="s">
        <v>150</v>
      </c>
      <c r="AD122" s="6" t="s">
        <v>1000</v>
      </c>
      <c r="AF122" s="3"/>
      <c r="AH122" t="b">
        <v>0</v>
      </c>
      <c r="AI122" t="b">
        <v>0</v>
      </c>
      <c r="AJ122" s="6"/>
      <c r="AK122" s="6"/>
      <c r="AL122" t="b">
        <v>0</v>
      </c>
      <c r="AM122" s="6"/>
      <c r="AN122" s="6"/>
      <c r="AP122" t="b">
        <v>0</v>
      </c>
      <c r="AQ122" s="6"/>
      <c r="AR122" s="6"/>
      <c r="AT122" t="b">
        <v>0</v>
      </c>
      <c r="AU122" s="6"/>
      <c r="AV122" s="6"/>
      <c r="AX122" t="b">
        <v>0</v>
      </c>
      <c r="AY122" s="6"/>
      <c r="AZ122" s="6"/>
      <c r="BA122" t="b">
        <v>0</v>
      </c>
      <c r="BB122" s="6"/>
      <c r="BC122" t="b">
        <v>1</v>
      </c>
      <c r="BD122" s="6" t="s">
        <v>1001</v>
      </c>
      <c r="BE122" s="6" t="s">
        <v>171</v>
      </c>
      <c r="BF122" t="b">
        <v>0</v>
      </c>
      <c r="BG122" s="6"/>
      <c r="BH122" t="b">
        <v>0</v>
      </c>
      <c r="BI122" s="6"/>
      <c r="BJ122" t="b">
        <v>0</v>
      </c>
      <c r="BL122" t="b">
        <v>0</v>
      </c>
      <c r="BM122" t="b">
        <v>0</v>
      </c>
      <c r="BN122" t="b">
        <v>0</v>
      </c>
      <c r="BO122" t="b">
        <v>0</v>
      </c>
      <c r="BQ122" t="b">
        <v>0</v>
      </c>
      <c r="BR122" s="6"/>
      <c r="BT122" t="b">
        <v>0</v>
      </c>
      <c r="BU122" t="s">
        <v>747</v>
      </c>
      <c r="BV122" t="s">
        <v>504</v>
      </c>
      <c r="BW122" t="s">
        <v>154</v>
      </c>
      <c r="BX122" t="s">
        <v>43</v>
      </c>
      <c r="BY122" s="6" t="s">
        <v>1002</v>
      </c>
      <c r="BZ122">
        <v>1</v>
      </c>
      <c r="CA122" t="s">
        <v>157</v>
      </c>
      <c r="CB122" s="7">
        <v>46315.0537962963</v>
      </c>
    </row>
    <row r="123" spans="1:80">
      <c r="A123" s="6" t="s">
        <v>1003</v>
      </c>
      <c r="B123" t="s">
        <v>491</v>
      </c>
      <c r="C123" s="6" t="s">
        <v>735</v>
      </c>
      <c r="D123" s="6"/>
      <c r="E123" t="s">
        <v>736</v>
      </c>
      <c r="F123" t="s">
        <v>737</v>
      </c>
      <c r="G123" s="6">
        <v>40</v>
      </c>
      <c r="H123" s="6"/>
      <c r="I123" t="s">
        <v>491</v>
      </c>
      <c r="J123" s="3">
        <v>46234</v>
      </c>
      <c r="K123" t="s">
        <v>738</v>
      </c>
      <c r="L123" t="s">
        <v>139</v>
      </c>
      <c r="N123" t="s">
        <v>468</v>
      </c>
      <c r="Q123" t="s">
        <v>469</v>
      </c>
      <c r="S123" t="s">
        <v>144</v>
      </c>
      <c r="T123" t="s">
        <v>470</v>
      </c>
      <c r="V123" t="s">
        <v>471</v>
      </c>
      <c r="W123" t="s">
        <v>38</v>
      </c>
      <c r="X123" s="6" t="s">
        <v>472</v>
      </c>
      <c r="Y123" s="6"/>
      <c r="Z123" t="s">
        <v>148</v>
      </c>
      <c r="AA123" t="s">
        <v>149</v>
      </c>
      <c r="AC123" t="s">
        <v>150</v>
      </c>
      <c r="AD123" s="6" t="s">
        <v>1004</v>
      </c>
      <c r="AF123" s="3"/>
      <c r="AH123" t="b">
        <v>0</v>
      </c>
      <c r="AI123" t="b">
        <v>0</v>
      </c>
      <c r="AJ123" s="6"/>
      <c r="AK123" s="6"/>
      <c r="AL123" t="b">
        <v>0</v>
      </c>
      <c r="AM123" s="6"/>
      <c r="AN123" s="6"/>
      <c r="AP123" t="b">
        <v>0</v>
      </c>
      <c r="AQ123" s="6"/>
      <c r="AR123" s="6"/>
      <c r="AT123" t="b">
        <v>0</v>
      </c>
      <c r="AU123" s="6"/>
      <c r="AV123" s="6"/>
      <c r="AX123" t="b">
        <v>0</v>
      </c>
      <c r="AY123" s="6"/>
      <c r="AZ123" s="6"/>
      <c r="BA123" t="b">
        <v>0</v>
      </c>
      <c r="BB123" s="6"/>
      <c r="BC123" t="b">
        <v>1</v>
      </c>
      <c r="BD123" s="6" t="s">
        <v>1005</v>
      </c>
      <c r="BE123" s="6" t="s">
        <v>171</v>
      </c>
      <c r="BF123" t="b">
        <v>0</v>
      </c>
      <c r="BG123" s="6"/>
      <c r="BH123" t="b">
        <v>0</v>
      </c>
      <c r="BI123" s="6"/>
      <c r="BJ123" t="b">
        <v>0</v>
      </c>
      <c r="BL123" t="b">
        <v>0</v>
      </c>
      <c r="BM123" t="b">
        <v>0</v>
      </c>
      <c r="BN123" t="b">
        <v>0</v>
      </c>
      <c r="BO123" t="b">
        <v>0</v>
      </c>
      <c r="BQ123" t="b">
        <v>0</v>
      </c>
      <c r="BR123" s="6"/>
      <c r="BT123" t="b">
        <v>0</v>
      </c>
      <c r="BU123" t="s">
        <v>747</v>
      </c>
      <c r="BV123" t="s">
        <v>504</v>
      </c>
      <c r="BW123" t="s">
        <v>154</v>
      </c>
      <c r="BX123" t="s">
        <v>44</v>
      </c>
      <c r="BY123" s="6" t="s">
        <v>475</v>
      </c>
      <c r="BZ123">
        <v>1</v>
      </c>
      <c r="CA123" t="s">
        <v>157</v>
      </c>
      <c r="CB123" s="7">
        <v>46315.0537962963</v>
      </c>
    </row>
    <row r="124" spans="1:80">
      <c r="A124" s="6" t="s">
        <v>1006</v>
      </c>
      <c r="B124" t="s">
        <v>491</v>
      </c>
      <c r="C124" s="6" t="s">
        <v>735</v>
      </c>
      <c r="D124" s="6"/>
      <c r="E124" t="s">
        <v>736</v>
      </c>
      <c r="F124" t="s">
        <v>737</v>
      </c>
      <c r="G124" s="6">
        <v>41</v>
      </c>
      <c r="H124" s="6"/>
      <c r="I124" t="s">
        <v>491</v>
      </c>
      <c r="J124" s="3">
        <v>46234</v>
      </c>
      <c r="K124" t="s">
        <v>738</v>
      </c>
      <c r="L124" t="s">
        <v>139</v>
      </c>
      <c r="N124" t="s">
        <v>1007</v>
      </c>
      <c r="Q124" t="s">
        <v>1008</v>
      </c>
      <c r="S124" t="s">
        <v>144</v>
      </c>
      <c r="T124" t="s">
        <v>1009</v>
      </c>
      <c r="V124" t="s">
        <v>636</v>
      </c>
      <c r="W124" t="s">
        <v>33</v>
      </c>
      <c r="X124" s="6" t="s">
        <v>1010</v>
      </c>
      <c r="Y124" s="6"/>
      <c r="Z124" t="s">
        <v>148</v>
      </c>
      <c r="AA124" t="s">
        <v>205</v>
      </c>
      <c r="AC124" t="s">
        <v>150</v>
      </c>
      <c r="AD124" s="6" t="s">
        <v>1011</v>
      </c>
      <c r="AF124" s="3"/>
      <c r="AH124" t="b">
        <v>0</v>
      </c>
      <c r="AI124" t="b">
        <v>0</v>
      </c>
      <c r="AJ124" s="6"/>
      <c r="AK124" s="6"/>
      <c r="AL124" t="b">
        <v>0</v>
      </c>
      <c r="AM124" s="6"/>
      <c r="AN124" s="6"/>
      <c r="AP124" t="b">
        <v>0</v>
      </c>
      <c r="AQ124" s="6"/>
      <c r="AR124" s="6"/>
      <c r="AT124" t="b">
        <v>0</v>
      </c>
      <c r="AU124" s="6"/>
      <c r="AV124" s="6"/>
      <c r="AX124" t="b">
        <v>0</v>
      </c>
      <c r="AY124" s="6"/>
      <c r="AZ124" s="6"/>
      <c r="BA124" t="b">
        <v>0</v>
      </c>
      <c r="BB124" s="6"/>
      <c r="BC124" t="b">
        <v>1</v>
      </c>
      <c r="BD124" s="6" t="s">
        <v>1012</v>
      </c>
      <c r="BE124" s="6" t="s">
        <v>171</v>
      </c>
      <c r="BF124" t="b">
        <v>0</v>
      </c>
      <c r="BG124" s="6"/>
      <c r="BH124" t="b">
        <v>0</v>
      </c>
      <c r="BI124" s="6"/>
      <c r="BJ124" t="b">
        <v>0</v>
      </c>
      <c r="BL124" t="b">
        <v>0</v>
      </c>
      <c r="BM124" t="b">
        <v>0</v>
      </c>
      <c r="BN124" t="b">
        <v>0</v>
      </c>
      <c r="BO124" t="b">
        <v>0</v>
      </c>
      <c r="BQ124" t="b">
        <v>0</v>
      </c>
      <c r="BR124" s="6"/>
      <c r="BT124" t="b">
        <v>0</v>
      </c>
      <c r="BU124" t="s">
        <v>747</v>
      </c>
      <c r="BV124" t="s">
        <v>504</v>
      </c>
      <c r="BW124" t="s">
        <v>154</v>
      </c>
      <c r="BX124" t="s">
        <v>43</v>
      </c>
      <c r="BY124" s="6" t="s">
        <v>1013</v>
      </c>
      <c r="BZ124">
        <v>1</v>
      </c>
      <c r="CA124" t="s">
        <v>157</v>
      </c>
      <c r="CB124" s="7">
        <v>46315.0537962963</v>
      </c>
    </row>
    <row r="125" spans="1:80">
      <c r="A125" s="6" t="s">
        <v>1014</v>
      </c>
      <c r="B125" t="s">
        <v>491</v>
      </c>
      <c r="C125" s="6" t="s">
        <v>735</v>
      </c>
      <c r="D125" s="6"/>
      <c r="E125" t="s">
        <v>736</v>
      </c>
      <c r="F125" t="s">
        <v>737</v>
      </c>
      <c r="G125" s="6">
        <v>42</v>
      </c>
      <c r="H125" s="6"/>
      <c r="I125" t="s">
        <v>491</v>
      </c>
      <c r="J125" s="3">
        <v>46234</v>
      </c>
      <c r="K125" t="s">
        <v>738</v>
      </c>
      <c r="L125" t="s">
        <v>139</v>
      </c>
      <c r="N125" t="s">
        <v>621</v>
      </c>
      <c r="Q125" t="s">
        <v>1015</v>
      </c>
      <c r="S125" t="s">
        <v>144</v>
      </c>
      <c r="T125" t="s">
        <v>1016</v>
      </c>
      <c r="V125" t="s">
        <v>1017</v>
      </c>
      <c r="W125" t="s">
        <v>34</v>
      </c>
      <c r="X125" s="6" t="s">
        <v>1018</v>
      </c>
      <c r="Y125" s="6"/>
      <c r="Z125" t="s">
        <v>148</v>
      </c>
      <c r="AA125" t="s">
        <v>205</v>
      </c>
      <c r="AC125" t="s">
        <v>150</v>
      </c>
      <c r="AD125" s="6" t="s">
        <v>1019</v>
      </c>
      <c r="AF125" s="3"/>
      <c r="AH125" t="b">
        <v>0</v>
      </c>
      <c r="AI125" t="b">
        <v>0</v>
      </c>
      <c r="AJ125" s="6"/>
      <c r="AK125" s="6"/>
      <c r="AL125" t="b">
        <v>0</v>
      </c>
      <c r="AM125" s="6"/>
      <c r="AN125" s="6"/>
      <c r="AP125" t="b">
        <v>0</v>
      </c>
      <c r="AQ125" s="6"/>
      <c r="AR125" s="6"/>
      <c r="AT125" t="b">
        <v>0</v>
      </c>
      <c r="AU125" s="6"/>
      <c r="AV125" s="6"/>
      <c r="AX125" t="b">
        <v>0</v>
      </c>
      <c r="AY125" s="6"/>
      <c r="AZ125" s="6"/>
      <c r="BA125" t="b">
        <v>0</v>
      </c>
      <c r="BB125" s="6"/>
      <c r="BC125" t="b">
        <v>1</v>
      </c>
      <c r="BD125" s="6" t="s">
        <v>1020</v>
      </c>
      <c r="BE125" s="6" t="s">
        <v>758</v>
      </c>
      <c r="BF125" t="b">
        <v>0</v>
      </c>
      <c r="BG125" s="6"/>
      <c r="BH125" t="b">
        <v>0</v>
      </c>
      <c r="BI125" s="6"/>
      <c r="BJ125" t="b">
        <v>0</v>
      </c>
      <c r="BL125" t="b">
        <v>0</v>
      </c>
      <c r="BM125" t="b">
        <v>0</v>
      </c>
      <c r="BN125" t="b">
        <v>0</v>
      </c>
      <c r="BO125" t="b">
        <v>0</v>
      </c>
      <c r="BQ125" t="b">
        <v>0</v>
      </c>
      <c r="BR125" s="6"/>
      <c r="BT125" t="b">
        <v>0</v>
      </c>
      <c r="BU125" t="s">
        <v>747</v>
      </c>
      <c r="BV125" t="s">
        <v>504</v>
      </c>
      <c r="BW125" t="s">
        <v>154</v>
      </c>
      <c r="BX125" t="s">
        <v>759</v>
      </c>
      <c r="BY125" s="6" t="s">
        <v>1021</v>
      </c>
      <c r="BZ125">
        <v>1</v>
      </c>
      <c r="CA125" t="s">
        <v>157</v>
      </c>
      <c r="CB125" s="7">
        <v>46315.0537962963</v>
      </c>
    </row>
    <row r="126" spans="1:80">
      <c r="A126" s="6" t="s">
        <v>1022</v>
      </c>
      <c r="B126" t="s">
        <v>491</v>
      </c>
      <c r="C126" s="6" t="s">
        <v>735</v>
      </c>
      <c r="D126" s="6"/>
      <c r="E126" t="s">
        <v>736</v>
      </c>
      <c r="F126" t="s">
        <v>737</v>
      </c>
      <c r="G126" s="6">
        <v>43</v>
      </c>
      <c r="H126" s="6"/>
      <c r="I126" t="s">
        <v>491</v>
      </c>
      <c r="J126" s="3">
        <v>46234</v>
      </c>
      <c r="K126" t="s">
        <v>738</v>
      </c>
      <c r="L126" t="s">
        <v>139</v>
      </c>
      <c r="N126" t="s">
        <v>667</v>
      </c>
      <c r="Q126" t="s">
        <v>668</v>
      </c>
      <c r="S126" t="s">
        <v>144</v>
      </c>
      <c r="T126" t="s">
        <v>669</v>
      </c>
      <c r="U126" t="s">
        <v>670</v>
      </c>
      <c r="V126" t="s">
        <v>671</v>
      </c>
      <c r="W126" t="s">
        <v>39</v>
      </c>
      <c r="X126" s="6" t="s">
        <v>672</v>
      </c>
      <c r="Y126" s="6"/>
      <c r="Z126" t="s">
        <v>148</v>
      </c>
      <c r="AA126" t="s">
        <v>149</v>
      </c>
      <c r="AC126" t="s">
        <v>150</v>
      </c>
      <c r="AD126" s="6" t="s">
        <v>1023</v>
      </c>
      <c r="AF126" s="3"/>
      <c r="AH126" t="b">
        <v>0</v>
      </c>
      <c r="AI126" t="b">
        <v>0</v>
      </c>
      <c r="AJ126" s="6"/>
      <c r="AK126" s="6"/>
      <c r="AL126" t="b">
        <v>0</v>
      </c>
      <c r="AM126" s="6"/>
      <c r="AN126" s="6"/>
      <c r="AP126" t="b">
        <v>0</v>
      </c>
      <c r="AQ126" s="6"/>
      <c r="AR126" s="6"/>
      <c r="AT126" t="b">
        <v>0</v>
      </c>
      <c r="AU126" s="6"/>
      <c r="AV126" s="6"/>
      <c r="AX126" t="b">
        <v>0</v>
      </c>
      <c r="AY126" s="6"/>
      <c r="AZ126" s="6"/>
      <c r="BA126" t="b">
        <v>0</v>
      </c>
      <c r="BB126" s="6"/>
      <c r="BC126" t="b">
        <v>1</v>
      </c>
      <c r="BD126" s="6" t="s">
        <v>1024</v>
      </c>
      <c r="BE126" s="6" t="s">
        <v>758</v>
      </c>
      <c r="BF126" t="b">
        <v>0</v>
      </c>
      <c r="BG126" s="6"/>
      <c r="BH126" t="b">
        <v>0</v>
      </c>
      <c r="BI126" s="6"/>
      <c r="BJ126" t="b">
        <v>0</v>
      </c>
      <c r="BL126" t="b">
        <v>0</v>
      </c>
      <c r="BM126" t="b">
        <v>0</v>
      </c>
      <c r="BN126" t="b">
        <v>0</v>
      </c>
      <c r="BO126" t="b">
        <v>0</v>
      </c>
      <c r="BQ126" t="b">
        <v>0</v>
      </c>
      <c r="BR126" s="6"/>
      <c r="BT126" t="b">
        <v>0</v>
      </c>
      <c r="BU126" t="s">
        <v>747</v>
      </c>
      <c r="BV126" t="s">
        <v>504</v>
      </c>
      <c r="BW126" t="s">
        <v>154</v>
      </c>
      <c r="BX126" t="s">
        <v>1025</v>
      </c>
      <c r="BY126" s="6" t="s">
        <v>676</v>
      </c>
      <c r="BZ126">
        <v>1</v>
      </c>
      <c r="CA126" t="s">
        <v>157</v>
      </c>
      <c r="CB126" s="7">
        <v>46315.0537962963</v>
      </c>
    </row>
    <row r="127" spans="1:80">
      <c r="A127" s="6" t="s">
        <v>1026</v>
      </c>
      <c r="B127" t="s">
        <v>491</v>
      </c>
      <c r="C127" s="6" t="s">
        <v>735</v>
      </c>
      <c r="D127" s="6"/>
      <c r="E127" t="s">
        <v>736</v>
      </c>
      <c r="F127" t="s">
        <v>737</v>
      </c>
      <c r="G127" s="6">
        <v>44</v>
      </c>
      <c r="H127" s="6"/>
      <c r="I127" t="s">
        <v>491</v>
      </c>
      <c r="J127" s="3">
        <v>46234</v>
      </c>
      <c r="K127" t="s">
        <v>738</v>
      </c>
      <c r="L127" t="s">
        <v>139</v>
      </c>
      <c r="N127" t="s">
        <v>1027</v>
      </c>
      <c r="Q127" t="s">
        <v>281</v>
      </c>
      <c r="S127" t="s">
        <v>144</v>
      </c>
      <c r="T127" t="s">
        <v>1028</v>
      </c>
      <c r="V127" t="s">
        <v>1029</v>
      </c>
      <c r="W127" t="s">
        <v>37</v>
      </c>
      <c r="X127" s="6" t="s">
        <v>1030</v>
      </c>
      <c r="Y127" s="6"/>
      <c r="Z127" t="s">
        <v>148</v>
      </c>
      <c r="AA127" t="s">
        <v>205</v>
      </c>
      <c r="AC127" t="s">
        <v>150</v>
      </c>
      <c r="AD127" s="6" t="s">
        <v>1031</v>
      </c>
      <c r="AF127" s="3"/>
      <c r="AH127" t="b">
        <v>0</v>
      </c>
      <c r="AI127" t="b">
        <v>0</v>
      </c>
      <c r="AJ127" s="6"/>
      <c r="AK127" s="6"/>
      <c r="AL127" t="b">
        <v>0</v>
      </c>
      <c r="AM127" s="6"/>
      <c r="AN127" s="6"/>
      <c r="AP127" t="b">
        <v>0</v>
      </c>
      <c r="AQ127" s="6"/>
      <c r="AR127" s="6"/>
      <c r="AT127" t="b">
        <v>0</v>
      </c>
      <c r="AU127" s="6"/>
      <c r="AV127" s="6"/>
      <c r="AX127" t="b">
        <v>0</v>
      </c>
      <c r="AY127" s="6"/>
      <c r="AZ127" s="6"/>
      <c r="BA127" t="b">
        <v>0</v>
      </c>
      <c r="BB127" s="6"/>
      <c r="BC127" t="b">
        <v>1</v>
      </c>
      <c r="BD127" s="6" t="s">
        <v>1032</v>
      </c>
      <c r="BE127" s="6" t="s">
        <v>758</v>
      </c>
      <c r="BF127" t="b">
        <v>0</v>
      </c>
      <c r="BG127" s="6"/>
      <c r="BH127" t="b">
        <v>0</v>
      </c>
      <c r="BI127" s="6"/>
      <c r="BJ127" t="b">
        <v>0</v>
      </c>
      <c r="BL127" t="b">
        <v>0</v>
      </c>
      <c r="BM127" t="b">
        <v>0</v>
      </c>
      <c r="BN127" t="b">
        <v>0</v>
      </c>
      <c r="BO127" t="b">
        <v>0</v>
      </c>
      <c r="BQ127" t="b">
        <v>0</v>
      </c>
      <c r="BR127" s="6"/>
      <c r="BT127" t="b">
        <v>0</v>
      </c>
      <c r="BU127" t="s">
        <v>747</v>
      </c>
      <c r="BV127" t="s">
        <v>504</v>
      </c>
      <c r="BW127" t="s">
        <v>154</v>
      </c>
      <c r="BX127" t="s">
        <v>879</v>
      </c>
      <c r="BY127" s="6" t="s">
        <v>1033</v>
      </c>
      <c r="BZ127">
        <v>1</v>
      </c>
      <c r="CA127" t="s">
        <v>157</v>
      </c>
      <c r="CB127" s="7">
        <v>46315.0537962963</v>
      </c>
    </row>
    <row r="128" spans="1:80">
      <c r="A128" s="6" t="s">
        <v>1034</v>
      </c>
      <c r="B128" t="s">
        <v>491</v>
      </c>
      <c r="C128" s="6" t="s">
        <v>735</v>
      </c>
      <c r="D128" s="6"/>
      <c r="E128" t="s">
        <v>736</v>
      </c>
      <c r="F128" t="s">
        <v>737</v>
      </c>
      <c r="G128" s="6">
        <v>45</v>
      </c>
      <c r="H128" s="6"/>
      <c r="I128" t="s">
        <v>491</v>
      </c>
      <c r="J128" s="3">
        <v>46234</v>
      </c>
      <c r="K128" t="s">
        <v>738</v>
      </c>
      <c r="L128" t="s">
        <v>139</v>
      </c>
      <c r="N128" t="s">
        <v>356</v>
      </c>
      <c r="Q128" t="s">
        <v>357</v>
      </c>
      <c r="S128" t="s">
        <v>144</v>
      </c>
      <c r="T128" t="s">
        <v>358</v>
      </c>
      <c r="V128" t="s">
        <v>359</v>
      </c>
      <c r="W128" t="s">
        <v>33</v>
      </c>
      <c r="X128" s="6" t="s">
        <v>360</v>
      </c>
      <c r="Y128" s="6"/>
      <c r="Z128" t="s">
        <v>148</v>
      </c>
      <c r="AA128" t="s">
        <v>205</v>
      </c>
      <c r="AC128" t="s">
        <v>150</v>
      </c>
      <c r="AD128" s="6" t="s">
        <v>361</v>
      </c>
      <c r="AF128" s="3"/>
      <c r="AH128" t="b">
        <v>0</v>
      </c>
      <c r="AI128" t="b">
        <v>0</v>
      </c>
      <c r="AJ128" s="6"/>
      <c r="AK128" s="6"/>
      <c r="AL128" t="b">
        <v>0</v>
      </c>
      <c r="AM128" s="6"/>
      <c r="AN128" s="6"/>
      <c r="AP128" t="b">
        <v>0</v>
      </c>
      <c r="AQ128" s="6"/>
      <c r="AR128" s="6"/>
      <c r="AT128" t="b">
        <v>0</v>
      </c>
      <c r="AU128" s="6"/>
      <c r="AV128" s="6"/>
      <c r="AX128" t="b">
        <v>0</v>
      </c>
      <c r="AY128" s="6"/>
      <c r="AZ128" s="6"/>
      <c r="BA128" t="b">
        <v>0</v>
      </c>
      <c r="BB128" s="6"/>
      <c r="BC128" t="b">
        <v>1</v>
      </c>
      <c r="BD128" s="6" t="s">
        <v>1035</v>
      </c>
      <c r="BE128" s="6" t="s">
        <v>171</v>
      </c>
      <c r="BF128" t="b">
        <v>0</v>
      </c>
      <c r="BG128" s="6"/>
      <c r="BH128" t="b">
        <v>0</v>
      </c>
      <c r="BI128" s="6"/>
      <c r="BJ128" t="b">
        <v>0</v>
      </c>
      <c r="BL128" t="b">
        <v>0</v>
      </c>
      <c r="BM128" t="b">
        <v>0</v>
      </c>
      <c r="BN128" t="b">
        <v>0</v>
      </c>
      <c r="BO128" t="b">
        <v>0</v>
      </c>
      <c r="BQ128" t="b">
        <v>0</v>
      </c>
      <c r="BR128" s="6"/>
      <c r="BT128" t="b">
        <v>0</v>
      </c>
      <c r="BU128" t="s">
        <v>747</v>
      </c>
      <c r="BV128" t="s">
        <v>504</v>
      </c>
      <c r="BW128" t="s">
        <v>154</v>
      </c>
      <c r="BX128" t="s">
        <v>43</v>
      </c>
      <c r="BY128" s="6" t="s">
        <v>367</v>
      </c>
      <c r="BZ128">
        <v>1</v>
      </c>
      <c r="CA128" t="s">
        <v>157</v>
      </c>
      <c r="CB128" s="7">
        <v>46315.0537962963</v>
      </c>
    </row>
    <row r="129" spans="1:80">
      <c r="A129" s="6" t="s">
        <v>1036</v>
      </c>
      <c r="B129" t="s">
        <v>491</v>
      </c>
      <c r="C129" s="6" t="s">
        <v>735</v>
      </c>
      <c r="D129" s="6"/>
      <c r="E129" t="s">
        <v>736</v>
      </c>
      <c r="F129" t="s">
        <v>737</v>
      </c>
      <c r="G129" s="6">
        <v>46</v>
      </c>
      <c r="H129" s="6"/>
      <c r="I129" t="s">
        <v>491</v>
      </c>
      <c r="J129" s="3">
        <v>46234</v>
      </c>
      <c r="K129" t="s">
        <v>738</v>
      </c>
      <c r="L129" t="s">
        <v>139</v>
      </c>
      <c r="N129" t="s">
        <v>846</v>
      </c>
      <c r="Q129" t="s">
        <v>1037</v>
      </c>
      <c r="S129" t="s">
        <v>144</v>
      </c>
      <c r="T129" t="s">
        <v>1038</v>
      </c>
      <c r="V129" t="s">
        <v>1039</v>
      </c>
      <c r="W129" t="s">
        <v>34</v>
      </c>
      <c r="X129" s="6" t="s">
        <v>1040</v>
      </c>
      <c r="Y129" s="6"/>
      <c r="Z129" t="s">
        <v>148</v>
      </c>
      <c r="AA129" t="s">
        <v>205</v>
      </c>
      <c r="AC129" t="s">
        <v>150</v>
      </c>
      <c r="AD129" s="6" t="s">
        <v>1041</v>
      </c>
      <c r="AF129" s="3"/>
      <c r="AH129" t="b">
        <v>0</v>
      </c>
      <c r="AI129" t="b">
        <v>0</v>
      </c>
      <c r="AJ129" s="6"/>
      <c r="AK129" s="6"/>
      <c r="AL129" t="b">
        <v>0</v>
      </c>
      <c r="AM129" s="6"/>
      <c r="AN129" s="6"/>
      <c r="AP129" t="b">
        <v>0</v>
      </c>
      <c r="AQ129" s="6"/>
      <c r="AR129" s="6"/>
      <c r="AT129" t="b">
        <v>0</v>
      </c>
      <c r="AU129" s="6"/>
      <c r="AV129" s="6"/>
      <c r="AX129" t="b">
        <v>0</v>
      </c>
      <c r="AY129" s="6"/>
      <c r="AZ129" s="6"/>
      <c r="BA129" t="b">
        <v>0</v>
      </c>
      <c r="BB129" s="6"/>
      <c r="BC129" t="b">
        <v>1</v>
      </c>
      <c r="BD129" s="6" t="s">
        <v>1042</v>
      </c>
      <c r="BE129" s="6" t="s">
        <v>171</v>
      </c>
      <c r="BF129" t="b">
        <v>0</v>
      </c>
      <c r="BG129" s="6"/>
      <c r="BH129" t="b">
        <v>0</v>
      </c>
      <c r="BI129" s="6"/>
      <c r="BJ129" t="b">
        <v>0</v>
      </c>
      <c r="BL129" t="b">
        <v>0</v>
      </c>
      <c r="BM129" t="b">
        <v>0</v>
      </c>
      <c r="BN129" t="b">
        <v>0</v>
      </c>
      <c r="BO129" t="b">
        <v>0</v>
      </c>
      <c r="BQ129" t="b">
        <v>0</v>
      </c>
      <c r="BR129" s="6"/>
      <c r="BT129" t="b">
        <v>0</v>
      </c>
      <c r="BU129" t="s">
        <v>747</v>
      </c>
      <c r="BV129" t="s">
        <v>504</v>
      </c>
      <c r="BW129" t="s">
        <v>154</v>
      </c>
      <c r="BX129" t="s">
        <v>43</v>
      </c>
      <c r="BY129" s="6" t="s">
        <v>1043</v>
      </c>
      <c r="BZ129">
        <v>1</v>
      </c>
      <c r="CA129" t="s">
        <v>157</v>
      </c>
      <c r="CB129" s="7">
        <v>46315.0537962963</v>
      </c>
    </row>
    <row r="130" spans="1:80">
      <c r="A130" s="6" t="s">
        <v>1044</v>
      </c>
      <c r="B130" t="s">
        <v>491</v>
      </c>
      <c r="C130" s="6" t="s">
        <v>735</v>
      </c>
      <c r="D130" s="6"/>
      <c r="E130" t="s">
        <v>736</v>
      </c>
      <c r="F130" t="s">
        <v>737</v>
      </c>
      <c r="G130" s="6">
        <v>47</v>
      </c>
      <c r="H130" s="6"/>
      <c r="I130" t="s">
        <v>491</v>
      </c>
      <c r="J130" s="3">
        <v>46234</v>
      </c>
      <c r="K130" t="s">
        <v>738</v>
      </c>
      <c r="L130" t="s">
        <v>139</v>
      </c>
      <c r="N130" t="s">
        <v>592</v>
      </c>
      <c r="Q130" t="s">
        <v>593</v>
      </c>
      <c r="S130" t="s">
        <v>144</v>
      </c>
      <c r="T130" t="s">
        <v>594</v>
      </c>
      <c r="V130" t="s">
        <v>595</v>
      </c>
      <c r="W130" t="s">
        <v>37</v>
      </c>
      <c r="X130" s="6" t="s">
        <v>596</v>
      </c>
      <c r="Y130" s="6"/>
      <c r="Z130" t="s">
        <v>148</v>
      </c>
      <c r="AA130" t="s">
        <v>205</v>
      </c>
      <c r="AC130" t="s">
        <v>150</v>
      </c>
      <c r="AD130" s="6" t="s">
        <v>1045</v>
      </c>
      <c r="AF130" s="3"/>
      <c r="AH130" t="b">
        <v>0</v>
      </c>
      <c r="AI130" t="b">
        <v>0</v>
      </c>
      <c r="AJ130" s="6"/>
      <c r="AK130" s="6"/>
      <c r="AL130" t="b">
        <v>0</v>
      </c>
      <c r="AM130" s="6"/>
      <c r="AN130" s="6"/>
      <c r="AP130" t="b">
        <v>0</v>
      </c>
      <c r="AQ130" s="6"/>
      <c r="AR130" s="6"/>
      <c r="AT130" t="b">
        <v>0</v>
      </c>
      <c r="AU130" s="6"/>
      <c r="AV130" s="6"/>
      <c r="AX130" t="b">
        <v>0</v>
      </c>
      <c r="AY130" s="6"/>
      <c r="AZ130" s="6"/>
      <c r="BA130" t="b">
        <v>0</v>
      </c>
      <c r="BB130" s="6"/>
      <c r="BC130" t="b">
        <v>1</v>
      </c>
      <c r="BD130" s="6" t="s">
        <v>1046</v>
      </c>
      <c r="BE130" s="6" t="s">
        <v>746</v>
      </c>
      <c r="BF130" t="b">
        <v>0</v>
      </c>
      <c r="BG130" s="6"/>
      <c r="BH130" t="b">
        <v>0</v>
      </c>
      <c r="BI130" s="6"/>
      <c r="BJ130" t="b">
        <v>0</v>
      </c>
      <c r="BL130" t="b">
        <v>0</v>
      </c>
      <c r="BM130" t="b">
        <v>0</v>
      </c>
      <c r="BN130" t="b">
        <v>0</v>
      </c>
      <c r="BO130" t="b">
        <v>0</v>
      </c>
      <c r="BQ130" t="b">
        <v>0</v>
      </c>
      <c r="BR130" s="6"/>
      <c r="BT130" t="b">
        <v>0</v>
      </c>
      <c r="BU130" t="s">
        <v>747</v>
      </c>
      <c r="BV130" t="s">
        <v>504</v>
      </c>
      <c r="BW130" t="s">
        <v>289</v>
      </c>
      <c r="BX130" t="s">
        <v>748</v>
      </c>
      <c r="BY130" s="6" t="s">
        <v>599</v>
      </c>
      <c r="BZ130">
        <v>1</v>
      </c>
      <c r="CA130" t="s">
        <v>157</v>
      </c>
      <c r="CB130" s="7">
        <v>46315.0537962963</v>
      </c>
    </row>
    <row r="131" spans="1:80">
      <c r="A131" s="6" t="s">
        <v>1047</v>
      </c>
      <c r="B131" t="s">
        <v>491</v>
      </c>
      <c r="C131" s="6" t="s">
        <v>735</v>
      </c>
      <c r="D131" s="6"/>
      <c r="E131" t="s">
        <v>736</v>
      </c>
      <c r="F131" t="s">
        <v>737</v>
      </c>
      <c r="G131" s="6">
        <v>48</v>
      </c>
      <c r="H131" s="6"/>
      <c r="I131" t="s">
        <v>491</v>
      </c>
      <c r="J131" s="3">
        <v>46234</v>
      </c>
      <c r="K131" t="s">
        <v>738</v>
      </c>
      <c r="L131" t="s">
        <v>139</v>
      </c>
      <c r="N131" t="s">
        <v>1048</v>
      </c>
      <c r="Q131" t="s">
        <v>315</v>
      </c>
      <c r="S131" t="s">
        <v>144</v>
      </c>
      <c r="T131" t="s">
        <v>1049</v>
      </c>
      <c r="V131" t="s">
        <v>1050</v>
      </c>
      <c r="W131" t="s">
        <v>33</v>
      </c>
      <c r="X131" s="6" t="s">
        <v>1051</v>
      </c>
      <c r="Y131" s="6"/>
      <c r="Z131" t="s">
        <v>148</v>
      </c>
      <c r="AA131" t="s">
        <v>205</v>
      </c>
      <c r="AC131" t="s">
        <v>150</v>
      </c>
      <c r="AD131" s="6" t="s">
        <v>1052</v>
      </c>
      <c r="AF131" s="3"/>
      <c r="AH131" t="b">
        <v>0</v>
      </c>
      <c r="AI131" t="b">
        <v>0</v>
      </c>
      <c r="AJ131" s="6"/>
      <c r="AK131" s="6"/>
      <c r="AL131" t="b">
        <v>0</v>
      </c>
      <c r="AM131" s="6"/>
      <c r="AN131" s="6"/>
      <c r="AP131" t="b">
        <v>0</v>
      </c>
      <c r="AQ131" s="6"/>
      <c r="AR131" s="6"/>
      <c r="AT131" t="b">
        <v>0</v>
      </c>
      <c r="AU131" s="6"/>
      <c r="AV131" s="6"/>
      <c r="AX131" t="b">
        <v>0</v>
      </c>
      <c r="AY131" s="6"/>
      <c r="AZ131" s="6"/>
      <c r="BA131" t="b">
        <v>0</v>
      </c>
      <c r="BB131" s="6"/>
      <c r="BC131" t="b">
        <v>1</v>
      </c>
      <c r="BD131" s="6" t="s">
        <v>1053</v>
      </c>
      <c r="BE131" s="6" t="s">
        <v>171</v>
      </c>
      <c r="BF131" t="b">
        <v>0</v>
      </c>
      <c r="BG131" s="6"/>
      <c r="BH131" t="b">
        <v>0</v>
      </c>
      <c r="BI131" s="6"/>
      <c r="BJ131" t="b">
        <v>0</v>
      </c>
      <c r="BL131" t="b">
        <v>0</v>
      </c>
      <c r="BM131" t="b">
        <v>0</v>
      </c>
      <c r="BN131" t="b">
        <v>0</v>
      </c>
      <c r="BO131" t="b">
        <v>0</v>
      </c>
      <c r="BQ131" t="b">
        <v>0</v>
      </c>
      <c r="BR131" s="6"/>
      <c r="BT131" t="b">
        <v>0</v>
      </c>
      <c r="BU131" t="s">
        <v>747</v>
      </c>
      <c r="BV131" t="s">
        <v>504</v>
      </c>
      <c r="BW131" t="s">
        <v>154</v>
      </c>
      <c r="BX131" t="s">
        <v>1054</v>
      </c>
      <c r="BY131" s="6" t="s">
        <v>1055</v>
      </c>
      <c r="BZ131">
        <v>1</v>
      </c>
      <c r="CA131" t="s">
        <v>157</v>
      </c>
      <c r="CB131" s="7">
        <v>46315.0537962963</v>
      </c>
    </row>
    <row r="132" spans="1:80">
      <c r="A132" s="6" t="s">
        <v>1056</v>
      </c>
      <c r="B132" t="s">
        <v>491</v>
      </c>
      <c r="C132" s="6" t="s">
        <v>735</v>
      </c>
      <c r="D132" s="6"/>
      <c r="E132" t="s">
        <v>736</v>
      </c>
      <c r="F132" t="s">
        <v>737</v>
      </c>
      <c r="G132" s="6">
        <v>49</v>
      </c>
      <c r="H132" s="6"/>
      <c r="I132" t="s">
        <v>491</v>
      </c>
      <c r="J132" s="3">
        <v>46234</v>
      </c>
      <c r="K132" t="s">
        <v>738</v>
      </c>
      <c r="L132" t="s">
        <v>139</v>
      </c>
      <c r="N132" t="s">
        <v>832</v>
      </c>
      <c r="Q132" t="s">
        <v>300</v>
      </c>
      <c r="S132" t="s">
        <v>144</v>
      </c>
      <c r="T132" t="s">
        <v>1057</v>
      </c>
      <c r="V132" t="s">
        <v>1058</v>
      </c>
      <c r="W132" t="s">
        <v>37</v>
      </c>
      <c r="X132" s="6" t="s">
        <v>1059</v>
      </c>
      <c r="Y132" s="6"/>
      <c r="Z132" t="s">
        <v>148</v>
      </c>
      <c r="AA132" t="s">
        <v>205</v>
      </c>
      <c r="AC132" t="s">
        <v>150</v>
      </c>
      <c r="AD132" s="6" t="s">
        <v>1060</v>
      </c>
      <c r="AF132" s="3"/>
      <c r="AH132" t="b">
        <v>0</v>
      </c>
      <c r="AI132" t="b">
        <v>0</v>
      </c>
      <c r="AJ132" s="6"/>
      <c r="AK132" s="6"/>
      <c r="AL132" t="b">
        <v>0</v>
      </c>
      <c r="AM132" s="6"/>
      <c r="AN132" s="6"/>
      <c r="AP132" t="b">
        <v>0</v>
      </c>
      <c r="AQ132" s="6"/>
      <c r="AR132" s="6"/>
      <c r="AT132" t="b">
        <v>0</v>
      </c>
      <c r="AU132" s="6"/>
      <c r="AV132" s="6"/>
      <c r="AX132" t="b">
        <v>0</v>
      </c>
      <c r="AY132" s="6"/>
      <c r="AZ132" s="6"/>
      <c r="BA132" t="b">
        <v>0</v>
      </c>
      <c r="BB132" s="6"/>
      <c r="BC132" t="b">
        <v>1</v>
      </c>
      <c r="BD132" s="6" t="s">
        <v>1061</v>
      </c>
      <c r="BE132" s="6" t="s">
        <v>171</v>
      </c>
      <c r="BF132" t="b">
        <v>0</v>
      </c>
      <c r="BG132" s="6"/>
      <c r="BH132" t="b">
        <v>0</v>
      </c>
      <c r="BI132" s="6"/>
      <c r="BJ132" t="b">
        <v>0</v>
      </c>
      <c r="BL132" t="b">
        <v>0</v>
      </c>
      <c r="BM132" t="b">
        <v>0</v>
      </c>
      <c r="BN132" t="b">
        <v>0</v>
      </c>
      <c r="BO132" t="b">
        <v>0</v>
      </c>
      <c r="BQ132" t="b">
        <v>0</v>
      </c>
      <c r="BR132" s="6"/>
      <c r="BT132" t="b">
        <v>0</v>
      </c>
      <c r="BU132" t="s">
        <v>747</v>
      </c>
      <c r="BV132" t="s">
        <v>504</v>
      </c>
      <c r="BW132" t="s">
        <v>154</v>
      </c>
      <c r="BX132" t="s">
        <v>1054</v>
      </c>
      <c r="BY132" s="6" t="s">
        <v>1062</v>
      </c>
      <c r="BZ132">
        <v>1</v>
      </c>
      <c r="CA132" t="s">
        <v>157</v>
      </c>
      <c r="CB132" s="7">
        <v>46315.0537962963</v>
      </c>
    </row>
    <row r="133" spans="1:80">
      <c r="A133" s="6" t="s">
        <v>1063</v>
      </c>
      <c r="B133" t="s">
        <v>491</v>
      </c>
      <c r="C133" s="6" t="s">
        <v>735</v>
      </c>
      <c r="D133" s="6"/>
      <c r="E133" t="s">
        <v>736</v>
      </c>
      <c r="F133" t="s">
        <v>737</v>
      </c>
      <c r="G133" s="6">
        <v>50</v>
      </c>
      <c r="H133" s="6"/>
      <c r="I133" t="s">
        <v>491</v>
      </c>
      <c r="J133" s="3">
        <v>46234</v>
      </c>
      <c r="K133" t="s">
        <v>738</v>
      </c>
      <c r="L133" t="s">
        <v>139</v>
      </c>
      <c r="N133" t="s">
        <v>1064</v>
      </c>
      <c r="Q133" t="s">
        <v>1065</v>
      </c>
      <c r="S133" t="s">
        <v>144</v>
      </c>
      <c r="T133" t="s">
        <v>1066</v>
      </c>
      <c r="V133" t="s">
        <v>1067</v>
      </c>
      <c r="W133" t="s">
        <v>38</v>
      </c>
      <c r="X133" s="6" t="s">
        <v>1068</v>
      </c>
      <c r="Y133" s="6"/>
      <c r="Z133" t="s">
        <v>148</v>
      </c>
      <c r="AA133" t="s">
        <v>205</v>
      </c>
      <c r="AC133" t="s">
        <v>150</v>
      </c>
      <c r="AD133" s="6" t="s">
        <v>1069</v>
      </c>
      <c r="AF133" s="3"/>
      <c r="AH133" t="b">
        <v>0</v>
      </c>
      <c r="AI133" t="b">
        <v>0</v>
      </c>
      <c r="AJ133" s="6"/>
      <c r="AK133" s="6"/>
      <c r="AL133" t="b">
        <v>0</v>
      </c>
      <c r="AM133" s="6"/>
      <c r="AN133" s="6"/>
      <c r="AP133" t="b">
        <v>0</v>
      </c>
      <c r="AQ133" s="6"/>
      <c r="AR133" s="6"/>
      <c r="AT133" t="b">
        <v>0</v>
      </c>
      <c r="AU133" s="6"/>
      <c r="AV133" s="6"/>
      <c r="AX133" t="b">
        <v>0</v>
      </c>
      <c r="AY133" s="6"/>
      <c r="AZ133" s="6"/>
      <c r="BA133" t="b">
        <v>0</v>
      </c>
      <c r="BB133" s="6"/>
      <c r="BC133" t="b">
        <v>1</v>
      </c>
      <c r="BD133" s="6" t="s">
        <v>1070</v>
      </c>
      <c r="BE133" s="6" t="s">
        <v>758</v>
      </c>
      <c r="BF133" t="b">
        <v>0</v>
      </c>
      <c r="BG133" s="6"/>
      <c r="BH133" t="b">
        <v>0</v>
      </c>
      <c r="BI133" s="6"/>
      <c r="BJ133" t="b">
        <v>0</v>
      </c>
      <c r="BL133" t="b">
        <v>0</v>
      </c>
      <c r="BM133" t="b">
        <v>0</v>
      </c>
      <c r="BN133" t="b">
        <v>0</v>
      </c>
      <c r="BO133" t="b">
        <v>0</v>
      </c>
      <c r="BQ133" t="b">
        <v>0</v>
      </c>
      <c r="BR133" s="6"/>
      <c r="BT133" t="b">
        <v>0</v>
      </c>
      <c r="BU133" t="s">
        <v>747</v>
      </c>
      <c r="BV133" t="s">
        <v>504</v>
      </c>
      <c r="BW133" t="s">
        <v>154</v>
      </c>
      <c r="BX133" t="s">
        <v>759</v>
      </c>
      <c r="BY133" s="6" t="s">
        <v>1071</v>
      </c>
      <c r="BZ133">
        <v>1</v>
      </c>
      <c r="CA133" t="s">
        <v>157</v>
      </c>
      <c r="CB133" s="7">
        <v>46315.0537962963</v>
      </c>
    </row>
    <row r="134" spans="1:80">
      <c r="A134" s="6" t="s">
        <v>1072</v>
      </c>
      <c r="B134" t="s">
        <v>491</v>
      </c>
      <c r="C134" s="6" t="s">
        <v>735</v>
      </c>
      <c r="D134" s="6"/>
      <c r="E134" t="s">
        <v>736</v>
      </c>
      <c r="F134" t="s">
        <v>737</v>
      </c>
      <c r="G134" s="6">
        <v>51</v>
      </c>
      <c r="H134" s="6"/>
      <c r="I134" t="s">
        <v>491</v>
      </c>
      <c r="J134" s="3">
        <v>46234</v>
      </c>
      <c r="K134" t="s">
        <v>738</v>
      </c>
      <c r="L134" t="s">
        <v>139</v>
      </c>
      <c r="N134" t="s">
        <v>314</v>
      </c>
      <c r="Q134" t="s">
        <v>315</v>
      </c>
      <c r="S134" t="s">
        <v>144</v>
      </c>
      <c r="T134" t="s">
        <v>316</v>
      </c>
      <c r="V134" t="s">
        <v>317</v>
      </c>
      <c r="W134" t="s">
        <v>34</v>
      </c>
      <c r="X134" s="6" t="s">
        <v>318</v>
      </c>
      <c r="Y134" s="6"/>
      <c r="Z134" t="s">
        <v>148</v>
      </c>
      <c r="AA134" t="s">
        <v>149</v>
      </c>
      <c r="AC134" t="s">
        <v>150</v>
      </c>
      <c r="AD134" s="6" t="s">
        <v>1073</v>
      </c>
      <c r="AF134" s="3"/>
      <c r="AH134" t="b">
        <v>0</v>
      </c>
      <c r="AI134" t="b">
        <v>0</v>
      </c>
      <c r="AJ134" s="6"/>
      <c r="AK134" s="6"/>
      <c r="AL134" t="b">
        <v>0</v>
      </c>
      <c r="AM134" s="6"/>
      <c r="AN134" s="6"/>
      <c r="AP134" t="b">
        <v>0</v>
      </c>
      <c r="AQ134" s="6"/>
      <c r="AR134" s="6"/>
      <c r="AT134" t="b">
        <v>0</v>
      </c>
      <c r="AU134" s="6"/>
      <c r="AV134" s="6"/>
      <c r="AX134" t="b">
        <v>0</v>
      </c>
      <c r="AY134" s="6"/>
      <c r="AZ134" s="6"/>
      <c r="BA134" t="b">
        <v>0</v>
      </c>
      <c r="BB134" s="6"/>
      <c r="BC134" t="b">
        <v>1</v>
      </c>
      <c r="BD134" s="6" t="s">
        <v>1074</v>
      </c>
      <c r="BE134" s="6" t="s">
        <v>171</v>
      </c>
      <c r="BF134" t="b">
        <v>0</v>
      </c>
      <c r="BG134" s="6"/>
      <c r="BH134" t="b">
        <v>0</v>
      </c>
      <c r="BI134" s="6"/>
      <c r="BJ134" t="b">
        <v>0</v>
      </c>
      <c r="BL134" t="b">
        <v>0</v>
      </c>
      <c r="BM134" t="b">
        <v>0</v>
      </c>
      <c r="BN134" t="b">
        <v>0</v>
      </c>
      <c r="BO134" t="b">
        <v>0</v>
      </c>
      <c r="BQ134" t="b">
        <v>0</v>
      </c>
      <c r="BR134" s="6"/>
      <c r="BT134" t="b">
        <v>0</v>
      </c>
      <c r="BU134" t="s">
        <v>747</v>
      </c>
      <c r="BV134" t="s">
        <v>504</v>
      </c>
      <c r="BW134" t="s">
        <v>154</v>
      </c>
      <c r="BX134" t="s">
        <v>44</v>
      </c>
      <c r="BY134" s="6" t="s">
        <v>321</v>
      </c>
      <c r="BZ134">
        <v>1</v>
      </c>
      <c r="CA134" t="s">
        <v>157</v>
      </c>
      <c r="CB134" s="7">
        <v>46315.0537962963</v>
      </c>
    </row>
    <row r="135" spans="1:80">
      <c r="A135" s="6" t="s">
        <v>1075</v>
      </c>
      <c r="B135" t="s">
        <v>491</v>
      </c>
      <c r="C135" s="6" t="s">
        <v>735</v>
      </c>
      <c r="D135" s="6"/>
      <c r="E135" t="s">
        <v>736</v>
      </c>
      <c r="F135" t="s">
        <v>737</v>
      </c>
      <c r="G135" s="6">
        <v>52</v>
      </c>
      <c r="H135" s="6"/>
      <c r="I135" t="s">
        <v>491</v>
      </c>
      <c r="J135" s="3">
        <v>46234</v>
      </c>
      <c r="K135" t="s">
        <v>738</v>
      </c>
      <c r="L135" t="s">
        <v>139</v>
      </c>
      <c r="N135" t="s">
        <v>308</v>
      </c>
      <c r="Q135" t="s">
        <v>1076</v>
      </c>
      <c r="S135" t="s">
        <v>144</v>
      </c>
      <c r="T135" t="s">
        <v>1077</v>
      </c>
      <c r="V135" t="s">
        <v>1078</v>
      </c>
      <c r="W135" t="s">
        <v>39</v>
      </c>
      <c r="X135" s="6" t="s">
        <v>1079</v>
      </c>
      <c r="Y135" s="6"/>
      <c r="Z135" t="s">
        <v>148</v>
      </c>
      <c r="AA135" t="s">
        <v>205</v>
      </c>
      <c r="AC135" t="s">
        <v>150</v>
      </c>
      <c r="AD135" s="6" t="s">
        <v>1080</v>
      </c>
      <c r="AF135" s="3"/>
      <c r="AH135" t="b">
        <v>0</v>
      </c>
      <c r="AI135" t="b">
        <v>0</v>
      </c>
      <c r="AJ135" s="6"/>
      <c r="AK135" s="6"/>
      <c r="AL135" t="b">
        <v>0</v>
      </c>
      <c r="AM135" s="6"/>
      <c r="AN135" s="6"/>
      <c r="AP135" t="b">
        <v>0</v>
      </c>
      <c r="AQ135" s="6"/>
      <c r="AR135" s="6"/>
      <c r="AT135" t="b">
        <v>0</v>
      </c>
      <c r="AU135" s="6"/>
      <c r="AV135" s="6"/>
      <c r="AX135" t="b">
        <v>0</v>
      </c>
      <c r="AY135" s="6"/>
      <c r="AZ135" s="6"/>
      <c r="BA135" t="b">
        <v>0</v>
      </c>
      <c r="BB135" s="6"/>
      <c r="BC135" t="b">
        <v>1</v>
      </c>
      <c r="BD135" s="6" t="s">
        <v>1081</v>
      </c>
      <c r="BE135" s="6" t="s">
        <v>746</v>
      </c>
      <c r="BF135" t="b">
        <v>0</v>
      </c>
      <c r="BG135" s="6"/>
      <c r="BH135" t="b">
        <v>0</v>
      </c>
      <c r="BI135" s="6"/>
      <c r="BJ135" t="b">
        <v>0</v>
      </c>
      <c r="BL135" t="b">
        <v>0</v>
      </c>
      <c r="BM135" t="b">
        <v>0</v>
      </c>
      <c r="BN135" t="b">
        <v>0</v>
      </c>
      <c r="BO135" t="b">
        <v>0</v>
      </c>
      <c r="BQ135" t="b">
        <v>0</v>
      </c>
      <c r="BR135" s="6"/>
      <c r="BT135" t="b">
        <v>0</v>
      </c>
      <c r="BU135" t="s">
        <v>747</v>
      </c>
      <c r="BV135" t="s">
        <v>504</v>
      </c>
      <c r="BW135" t="s">
        <v>289</v>
      </c>
      <c r="BX135" t="s">
        <v>937</v>
      </c>
      <c r="BY135" s="6" t="s">
        <v>1082</v>
      </c>
      <c r="BZ135">
        <v>1</v>
      </c>
      <c r="CA135" t="s">
        <v>157</v>
      </c>
      <c r="CB135" s="7">
        <v>46315.0537962963</v>
      </c>
    </row>
    <row r="136" spans="1:80">
      <c r="A136" s="6" t="s">
        <v>1083</v>
      </c>
      <c r="B136" t="s">
        <v>491</v>
      </c>
      <c r="C136" s="6" t="s">
        <v>735</v>
      </c>
      <c r="D136" s="6"/>
      <c r="E136" t="s">
        <v>736</v>
      </c>
      <c r="F136" t="s">
        <v>737</v>
      </c>
      <c r="G136" s="6">
        <v>53</v>
      </c>
      <c r="H136" s="6"/>
      <c r="I136" t="s">
        <v>491</v>
      </c>
      <c r="J136" s="3">
        <v>46234</v>
      </c>
      <c r="K136" t="s">
        <v>738</v>
      </c>
      <c r="L136" t="s">
        <v>139</v>
      </c>
      <c r="N136" t="s">
        <v>1084</v>
      </c>
      <c r="Q136" t="s">
        <v>394</v>
      </c>
      <c r="S136" t="s">
        <v>144</v>
      </c>
      <c r="T136" t="s">
        <v>180</v>
      </c>
      <c r="V136" t="s">
        <v>181</v>
      </c>
      <c r="W136" t="s">
        <v>40</v>
      </c>
      <c r="X136" s="6" t="s">
        <v>182</v>
      </c>
      <c r="Y136" s="6"/>
      <c r="Z136" t="s">
        <v>148</v>
      </c>
      <c r="AA136" t="s">
        <v>149</v>
      </c>
      <c r="AC136" t="s">
        <v>150</v>
      </c>
      <c r="AD136" s="6" t="s">
        <v>1085</v>
      </c>
      <c r="AF136" s="3"/>
      <c r="AH136" t="b">
        <v>0</v>
      </c>
      <c r="AI136" t="b">
        <v>0</v>
      </c>
      <c r="AJ136" s="6"/>
      <c r="AK136" s="6"/>
      <c r="AL136" t="b">
        <v>0</v>
      </c>
      <c r="AM136" s="6"/>
      <c r="AN136" s="6"/>
      <c r="AP136" t="b">
        <v>0</v>
      </c>
      <c r="AQ136" s="6"/>
      <c r="AR136" s="6"/>
      <c r="AT136" t="b">
        <v>0</v>
      </c>
      <c r="AU136" s="6"/>
      <c r="AV136" s="6"/>
      <c r="AX136" t="b">
        <v>0</v>
      </c>
      <c r="AY136" s="6"/>
      <c r="AZ136" s="6"/>
      <c r="BA136" t="b">
        <v>0</v>
      </c>
      <c r="BB136" s="6"/>
      <c r="BC136" t="b">
        <v>1</v>
      </c>
      <c r="BD136" s="6" t="s">
        <v>1086</v>
      </c>
      <c r="BE136" s="6" t="s">
        <v>758</v>
      </c>
      <c r="BF136" t="b">
        <v>0</v>
      </c>
      <c r="BG136" s="6"/>
      <c r="BH136" t="b">
        <v>0</v>
      </c>
      <c r="BI136" s="6"/>
      <c r="BJ136" t="b">
        <v>0</v>
      </c>
      <c r="BL136" t="b">
        <v>0</v>
      </c>
      <c r="BM136" t="b">
        <v>0</v>
      </c>
      <c r="BN136" t="b">
        <v>0</v>
      </c>
      <c r="BO136" t="b">
        <v>0</v>
      </c>
      <c r="BQ136" t="b">
        <v>0</v>
      </c>
      <c r="BR136" s="6"/>
      <c r="BT136" t="b">
        <v>0</v>
      </c>
      <c r="BU136" t="s">
        <v>747</v>
      </c>
      <c r="BV136" t="s">
        <v>504</v>
      </c>
      <c r="BW136" t="s">
        <v>171</v>
      </c>
      <c r="BX136" t="s">
        <v>758</v>
      </c>
      <c r="BY136" s="6" t="s">
        <v>1087</v>
      </c>
      <c r="BZ136">
        <v>1</v>
      </c>
      <c r="CB136" s="7">
        <v>46315.0537962963</v>
      </c>
    </row>
    <row r="137" spans="1:80">
      <c r="A137" s="6" t="s">
        <v>1088</v>
      </c>
      <c r="B137" t="s">
        <v>491</v>
      </c>
      <c r="C137" s="6" t="s">
        <v>735</v>
      </c>
      <c r="D137" s="6"/>
      <c r="E137" t="s">
        <v>736</v>
      </c>
      <c r="F137" t="s">
        <v>737</v>
      </c>
      <c r="G137" s="6">
        <v>54</v>
      </c>
      <c r="H137" s="6"/>
      <c r="I137" t="s">
        <v>491</v>
      </c>
      <c r="J137" s="3">
        <v>46234</v>
      </c>
      <c r="K137" t="s">
        <v>738</v>
      </c>
      <c r="L137" t="s">
        <v>139</v>
      </c>
      <c r="N137" t="s">
        <v>1089</v>
      </c>
      <c r="Q137" t="s">
        <v>1090</v>
      </c>
      <c r="S137" t="s">
        <v>144</v>
      </c>
      <c r="T137" t="s">
        <v>1091</v>
      </c>
      <c r="V137" t="s">
        <v>1092</v>
      </c>
      <c r="W137" t="s">
        <v>39</v>
      </c>
      <c r="X137" s="6" t="s">
        <v>1093</v>
      </c>
      <c r="Y137" s="6"/>
      <c r="Z137" t="s">
        <v>148</v>
      </c>
      <c r="AA137" t="s">
        <v>205</v>
      </c>
      <c r="AC137" t="s">
        <v>150</v>
      </c>
      <c r="AD137" s="6" t="s">
        <v>1094</v>
      </c>
      <c r="AF137" s="3"/>
      <c r="AH137" t="b">
        <v>0</v>
      </c>
      <c r="AI137" t="b">
        <v>0</v>
      </c>
      <c r="AJ137" s="6"/>
      <c r="AK137" s="6"/>
      <c r="AL137" t="b">
        <v>0</v>
      </c>
      <c r="AM137" s="6"/>
      <c r="AN137" s="6"/>
      <c r="AP137" t="b">
        <v>0</v>
      </c>
      <c r="AQ137" s="6"/>
      <c r="AR137" s="6"/>
      <c r="AT137" t="b">
        <v>0</v>
      </c>
      <c r="AU137" s="6"/>
      <c r="AV137" s="6"/>
      <c r="AX137" t="b">
        <v>0</v>
      </c>
      <c r="AY137" s="6"/>
      <c r="AZ137" s="6"/>
      <c r="BA137" t="b">
        <v>0</v>
      </c>
      <c r="BB137" s="6"/>
      <c r="BC137" t="b">
        <v>1</v>
      </c>
      <c r="BD137" s="6" t="s">
        <v>1095</v>
      </c>
      <c r="BE137" s="6" t="s">
        <v>171</v>
      </c>
      <c r="BF137" t="b">
        <v>0</v>
      </c>
      <c r="BG137" s="6"/>
      <c r="BH137" t="b">
        <v>0</v>
      </c>
      <c r="BI137" s="6"/>
      <c r="BJ137" t="b">
        <v>0</v>
      </c>
      <c r="BL137" t="b">
        <v>0</v>
      </c>
      <c r="BM137" t="b">
        <v>0</v>
      </c>
      <c r="BN137" t="b">
        <v>0</v>
      </c>
      <c r="BO137" t="b">
        <v>0</v>
      </c>
      <c r="BQ137" t="b">
        <v>0</v>
      </c>
      <c r="BR137" s="6"/>
      <c r="BT137" t="b">
        <v>0</v>
      </c>
      <c r="BU137" t="s">
        <v>747</v>
      </c>
      <c r="BV137" t="s">
        <v>504</v>
      </c>
      <c r="BW137" t="s">
        <v>154</v>
      </c>
      <c r="BX137" t="s">
        <v>43</v>
      </c>
      <c r="BY137" s="6" t="s">
        <v>1096</v>
      </c>
      <c r="BZ137">
        <v>1</v>
      </c>
      <c r="CA137" t="s">
        <v>157</v>
      </c>
      <c r="CB137" s="7">
        <v>46315.0537962963</v>
      </c>
    </row>
    <row r="138" spans="1:80">
      <c r="A138" s="6" t="s">
        <v>1097</v>
      </c>
      <c r="B138" t="s">
        <v>491</v>
      </c>
      <c r="C138" s="6" t="s">
        <v>735</v>
      </c>
      <c r="D138" s="6"/>
      <c r="E138" t="s">
        <v>736</v>
      </c>
      <c r="F138" t="s">
        <v>737</v>
      </c>
      <c r="G138" s="6">
        <v>55</v>
      </c>
      <c r="H138" s="6"/>
      <c r="I138" t="s">
        <v>491</v>
      </c>
      <c r="J138" s="3">
        <v>46234</v>
      </c>
      <c r="K138" t="s">
        <v>738</v>
      </c>
      <c r="L138" t="s">
        <v>139</v>
      </c>
      <c r="N138" t="s">
        <v>468</v>
      </c>
      <c r="Q138" t="s">
        <v>1098</v>
      </c>
      <c r="S138" t="s">
        <v>144</v>
      </c>
      <c r="T138" t="s">
        <v>283</v>
      </c>
      <c r="V138" t="s">
        <v>284</v>
      </c>
      <c r="W138" t="s">
        <v>39</v>
      </c>
      <c r="X138" s="6" t="s">
        <v>627</v>
      </c>
      <c r="Y138" s="6"/>
      <c r="Z138" t="s">
        <v>148</v>
      </c>
      <c r="AA138" t="s">
        <v>149</v>
      </c>
      <c r="AC138" t="s">
        <v>150</v>
      </c>
      <c r="AD138" s="6" t="s">
        <v>1099</v>
      </c>
      <c r="AF138" s="3"/>
      <c r="AH138" t="b">
        <v>0</v>
      </c>
      <c r="AI138" t="b">
        <v>0</v>
      </c>
      <c r="AJ138" s="6"/>
      <c r="AK138" s="6"/>
      <c r="AL138" t="b">
        <v>0</v>
      </c>
      <c r="AM138" s="6"/>
      <c r="AN138" s="6"/>
      <c r="AP138" t="b">
        <v>0</v>
      </c>
      <c r="AQ138" s="6"/>
      <c r="AR138" s="6"/>
      <c r="AT138" t="b">
        <v>0</v>
      </c>
      <c r="AU138" s="6"/>
      <c r="AV138" s="6"/>
      <c r="AX138" t="b">
        <v>0</v>
      </c>
      <c r="AY138" s="6"/>
      <c r="AZ138" s="6"/>
      <c r="BA138" t="b">
        <v>0</v>
      </c>
      <c r="BB138" s="6"/>
      <c r="BC138" t="b">
        <v>1</v>
      </c>
      <c r="BD138" s="6" t="s">
        <v>1100</v>
      </c>
      <c r="BE138" s="6" t="s">
        <v>171</v>
      </c>
      <c r="BF138" t="b">
        <v>0</v>
      </c>
      <c r="BG138" s="6"/>
      <c r="BH138" t="b">
        <v>0</v>
      </c>
      <c r="BI138" s="6"/>
      <c r="BJ138" t="b">
        <v>0</v>
      </c>
      <c r="BL138" t="b">
        <v>0</v>
      </c>
      <c r="BM138" t="b">
        <v>0</v>
      </c>
      <c r="BN138" t="b">
        <v>0</v>
      </c>
      <c r="BO138" t="b">
        <v>0</v>
      </c>
      <c r="BQ138" t="b">
        <v>0</v>
      </c>
      <c r="BR138" s="6"/>
      <c r="BT138" t="b">
        <v>0</v>
      </c>
      <c r="BU138" t="s">
        <v>747</v>
      </c>
      <c r="BV138" t="s">
        <v>504</v>
      </c>
      <c r="BW138" t="s">
        <v>171</v>
      </c>
      <c r="BY138" s="6" t="s">
        <v>1101</v>
      </c>
      <c r="BZ138">
        <v>1</v>
      </c>
      <c r="CB138" s="7">
        <v>46315.0537962963</v>
      </c>
    </row>
    <row r="139" spans="1:80">
      <c r="A139" s="6" t="s">
        <v>1102</v>
      </c>
      <c r="B139" t="s">
        <v>491</v>
      </c>
      <c r="C139" s="6" t="s">
        <v>1103</v>
      </c>
      <c r="D139" s="6"/>
      <c r="E139" t="s">
        <v>1104</v>
      </c>
      <c r="F139" t="s">
        <v>1105</v>
      </c>
      <c r="G139" s="6">
        <v>6</v>
      </c>
      <c r="H139" s="6"/>
      <c r="I139" t="s">
        <v>491</v>
      </c>
      <c r="J139" s="3">
        <v>46295</v>
      </c>
      <c r="K139" t="s">
        <v>421</v>
      </c>
      <c r="L139" t="s">
        <v>139</v>
      </c>
      <c r="N139" t="s">
        <v>868</v>
      </c>
      <c r="Q139" t="s">
        <v>143</v>
      </c>
      <c r="S139" t="s">
        <v>144</v>
      </c>
      <c r="T139" t="s">
        <v>1106</v>
      </c>
      <c r="V139" t="s">
        <v>1107</v>
      </c>
      <c r="W139" t="s">
        <v>38</v>
      </c>
      <c r="X139" s="6" t="s">
        <v>1108</v>
      </c>
      <c r="Y139" s="6"/>
      <c r="Z139" t="s">
        <v>148</v>
      </c>
      <c r="AA139" t="s">
        <v>205</v>
      </c>
      <c r="AC139" t="s">
        <v>150</v>
      </c>
      <c r="AD139" s="6" t="s">
        <v>1109</v>
      </c>
      <c r="AE139" t="s">
        <v>1110</v>
      </c>
      <c r="AF139" s="3">
        <v>22063</v>
      </c>
      <c r="AG139">
        <v>66</v>
      </c>
      <c r="AH139" t="b">
        <v>0</v>
      </c>
      <c r="AI139" t="b">
        <v>1</v>
      </c>
      <c r="AJ139" s="6" t="s">
        <v>1111</v>
      </c>
      <c r="AK139" s="6" t="s">
        <v>171</v>
      </c>
      <c r="AL139" t="b">
        <v>0</v>
      </c>
      <c r="AM139" s="6"/>
      <c r="AN139" s="6"/>
      <c r="AP139" t="b">
        <v>0</v>
      </c>
      <c r="AQ139" s="6"/>
      <c r="AR139" s="6"/>
      <c r="AT139" t="b">
        <v>0</v>
      </c>
      <c r="AU139" s="6"/>
      <c r="AV139" s="6"/>
      <c r="AX139" t="b">
        <v>0</v>
      </c>
      <c r="AY139" s="6"/>
      <c r="AZ139" s="6"/>
      <c r="BA139" t="b">
        <v>0</v>
      </c>
      <c r="BB139" s="6"/>
      <c r="BC139" t="b">
        <v>0</v>
      </c>
      <c r="BD139" s="6"/>
      <c r="BE139" s="6"/>
      <c r="BF139" t="b">
        <v>0</v>
      </c>
      <c r="BG139" s="6"/>
      <c r="BH139" t="b">
        <v>0</v>
      </c>
      <c r="BI139" s="6"/>
      <c r="BJ139" t="b">
        <v>0</v>
      </c>
      <c r="BL139" t="b">
        <v>0</v>
      </c>
      <c r="BM139" t="b">
        <v>0</v>
      </c>
      <c r="BN139" t="b">
        <v>0</v>
      </c>
      <c r="BO139" t="b">
        <v>1</v>
      </c>
      <c r="BQ139" t="b">
        <v>0</v>
      </c>
      <c r="BR139" s="6"/>
      <c r="BT139" t="b">
        <v>0</v>
      </c>
      <c r="BU139" t="s">
        <v>1112</v>
      </c>
      <c r="BV139" t="s">
        <v>504</v>
      </c>
      <c r="BW139" t="s">
        <v>154</v>
      </c>
      <c r="BX139" t="s">
        <v>1054</v>
      </c>
      <c r="BY139" s="6" t="s">
        <v>1113</v>
      </c>
      <c r="BZ139">
        <v>1</v>
      </c>
      <c r="CA139" t="s">
        <v>157</v>
      </c>
      <c r="CB139" s="7">
        <v>46315.0537962963</v>
      </c>
    </row>
    <row r="140" spans="1:80">
      <c r="A140" s="6" t="s">
        <v>1114</v>
      </c>
      <c r="B140" t="s">
        <v>491</v>
      </c>
      <c r="C140" s="6" t="s">
        <v>1103</v>
      </c>
      <c r="D140" s="6"/>
      <c r="E140" t="s">
        <v>1104</v>
      </c>
      <c r="F140" t="s">
        <v>1105</v>
      </c>
      <c r="G140" s="6">
        <v>7</v>
      </c>
      <c r="H140" s="6"/>
      <c r="I140" t="s">
        <v>491</v>
      </c>
      <c r="J140" s="3">
        <v>46295</v>
      </c>
      <c r="K140" t="s">
        <v>421</v>
      </c>
      <c r="L140" t="s">
        <v>139</v>
      </c>
      <c r="N140" t="s">
        <v>479</v>
      </c>
      <c r="Q140" t="s">
        <v>423</v>
      </c>
      <c r="S140" t="s">
        <v>144</v>
      </c>
      <c r="T140" t="s">
        <v>480</v>
      </c>
      <c r="V140" t="s">
        <v>481</v>
      </c>
      <c r="W140" t="s">
        <v>39</v>
      </c>
      <c r="X140" s="6" t="s">
        <v>482</v>
      </c>
      <c r="Y140" s="6"/>
      <c r="Z140" t="s">
        <v>148</v>
      </c>
      <c r="AA140" t="s">
        <v>149</v>
      </c>
      <c r="AC140" t="s">
        <v>150</v>
      </c>
      <c r="AD140" s="6" t="s">
        <v>773</v>
      </c>
      <c r="AE140" t="s">
        <v>1115</v>
      </c>
      <c r="AF140" s="3">
        <v>26352</v>
      </c>
      <c r="AG140">
        <v>54</v>
      </c>
      <c r="AH140" t="b">
        <v>0</v>
      </c>
      <c r="AI140" t="b">
        <v>1</v>
      </c>
      <c r="AJ140" s="6" t="s">
        <v>483</v>
      </c>
      <c r="AK140" s="6" t="s">
        <v>171</v>
      </c>
      <c r="AL140" t="b">
        <v>0</v>
      </c>
      <c r="AM140" s="6"/>
      <c r="AN140" s="6"/>
      <c r="AP140" t="b">
        <v>0</v>
      </c>
      <c r="AQ140" s="6"/>
      <c r="AR140" s="6"/>
      <c r="AT140" t="b">
        <v>0</v>
      </c>
      <c r="AU140" s="6"/>
      <c r="AV140" s="6"/>
      <c r="AX140" t="b">
        <v>0</v>
      </c>
      <c r="AY140" s="6"/>
      <c r="AZ140" s="6"/>
      <c r="BA140" t="b">
        <v>0</v>
      </c>
      <c r="BB140" s="6"/>
      <c r="BC140" t="b">
        <v>0</v>
      </c>
      <c r="BD140" s="6"/>
      <c r="BE140" s="6"/>
      <c r="BF140" t="b">
        <v>0</v>
      </c>
      <c r="BG140" s="6"/>
      <c r="BH140" t="b">
        <v>0</v>
      </c>
      <c r="BI140" s="6"/>
      <c r="BJ140" t="b">
        <v>0</v>
      </c>
      <c r="BL140" t="b">
        <v>0</v>
      </c>
      <c r="BM140" t="b">
        <v>0</v>
      </c>
      <c r="BN140" t="b">
        <v>0</v>
      </c>
      <c r="BO140" t="b">
        <v>1</v>
      </c>
      <c r="BQ140" t="b">
        <v>0</v>
      </c>
      <c r="BR140" s="6"/>
      <c r="BT140" t="b">
        <v>0</v>
      </c>
      <c r="BU140" t="s">
        <v>1112</v>
      </c>
      <c r="BV140" t="s">
        <v>504</v>
      </c>
      <c r="BW140" t="s">
        <v>171</v>
      </c>
      <c r="BY140" s="6" t="s">
        <v>485</v>
      </c>
      <c r="BZ140">
        <v>1</v>
      </c>
      <c r="CB140" s="7">
        <v>46315.0537962963</v>
      </c>
    </row>
    <row r="141" spans="1:80">
      <c r="A141" s="6" t="s">
        <v>1116</v>
      </c>
      <c r="B141" t="s">
        <v>491</v>
      </c>
      <c r="C141" s="6" t="s">
        <v>1103</v>
      </c>
      <c r="D141" s="6"/>
      <c r="E141" t="s">
        <v>1104</v>
      </c>
      <c r="F141" t="s">
        <v>1105</v>
      </c>
      <c r="G141" s="6">
        <v>8</v>
      </c>
      <c r="H141" s="6"/>
      <c r="I141" t="s">
        <v>491</v>
      </c>
      <c r="J141" s="3">
        <v>46295</v>
      </c>
      <c r="K141" t="s">
        <v>421</v>
      </c>
      <c r="L141" t="s">
        <v>139</v>
      </c>
      <c r="N141" t="s">
        <v>199</v>
      </c>
      <c r="Q141" t="s">
        <v>200</v>
      </c>
      <c r="R141" t="s">
        <v>201</v>
      </c>
      <c r="S141" t="s">
        <v>144</v>
      </c>
      <c r="T141" t="s">
        <v>202</v>
      </c>
      <c r="V141" t="s">
        <v>203</v>
      </c>
      <c r="W141" t="s">
        <v>34</v>
      </c>
      <c r="X141" s="6" t="s">
        <v>204</v>
      </c>
      <c r="Y141" s="6"/>
      <c r="Z141" t="s">
        <v>148</v>
      </c>
      <c r="AA141" t="s">
        <v>205</v>
      </c>
      <c r="AC141" t="s">
        <v>150</v>
      </c>
      <c r="AD141" s="6" t="s">
        <v>1117</v>
      </c>
      <c r="AE141" t="s">
        <v>1118</v>
      </c>
      <c r="AF141" s="3">
        <v>36152</v>
      </c>
      <c r="AG141">
        <v>27</v>
      </c>
      <c r="AH141" t="b">
        <v>0</v>
      </c>
      <c r="AI141" t="b">
        <v>1</v>
      </c>
      <c r="AJ141" s="6" t="s">
        <v>632</v>
      </c>
      <c r="AK141" s="6" t="s">
        <v>171</v>
      </c>
      <c r="AL141" t="b">
        <v>0</v>
      </c>
      <c r="AM141" s="6"/>
      <c r="AN141" s="6"/>
      <c r="AP141" t="b">
        <v>0</v>
      </c>
      <c r="AQ141" s="6"/>
      <c r="AR141" s="6"/>
      <c r="AT141" t="b">
        <v>0</v>
      </c>
      <c r="AU141" s="6"/>
      <c r="AV141" s="6"/>
      <c r="AX141" t="b">
        <v>0</v>
      </c>
      <c r="AY141" s="6"/>
      <c r="AZ141" s="6"/>
      <c r="BA141" t="b">
        <v>0</v>
      </c>
      <c r="BB141" s="6"/>
      <c r="BC141" t="b">
        <v>0</v>
      </c>
      <c r="BD141" s="6"/>
      <c r="BE141" s="6"/>
      <c r="BF141" t="b">
        <v>0</v>
      </c>
      <c r="BG141" s="6"/>
      <c r="BH141" t="b">
        <v>0</v>
      </c>
      <c r="BI141" s="6"/>
      <c r="BJ141" t="b">
        <v>0</v>
      </c>
      <c r="BL141" t="b">
        <v>0</v>
      </c>
      <c r="BM141" t="b">
        <v>0</v>
      </c>
      <c r="BN141" t="b">
        <v>0</v>
      </c>
      <c r="BO141" t="b">
        <v>1</v>
      </c>
      <c r="BQ141" t="b">
        <v>0</v>
      </c>
      <c r="BR141" s="6"/>
      <c r="BT141" t="b">
        <v>0</v>
      </c>
      <c r="BU141" t="s">
        <v>1112</v>
      </c>
      <c r="BV141" t="s">
        <v>504</v>
      </c>
      <c r="BW141" t="s">
        <v>154</v>
      </c>
      <c r="BX141" t="s">
        <v>43</v>
      </c>
      <c r="BY141" s="6" t="s">
        <v>207</v>
      </c>
      <c r="BZ141">
        <v>1</v>
      </c>
      <c r="CA141" t="s">
        <v>157</v>
      </c>
      <c r="CB141" s="7">
        <v>46315.0537962963</v>
      </c>
    </row>
    <row r="142" spans="1:80">
      <c r="A142" s="6" t="s">
        <v>1119</v>
      </c>
      <c r="B142" t="s">
        <v>491</v>
      </c>
      <c r="C142" s="6" t="s">
        <v>1103</v>
      </c>
      <c r="D142" s="6"/>
      <c r="E142" t="s">
        <v>1104</v>
      </c>
      <c r="F142" t="s">
        <v>1105</v>
      </c>
      <c r="G142" s="6">
        <v>9</v>
      </c>
      <c r="H142" s="6"/>
      <c r="I142" t="s">
        <v>491</v>
      </c>
      <c r="J142" s="3">
        <v>46295</v>
      </c>
      <c r="K142" t="s">
        <v>421</v>
      </c>
      <c r="L142" t="s">
        <v>139</v>
      </c>
      <c r="N142" t="s">
        <v>223</v>
      </c>
      <c r="O142" t="s">
        <v>1084</v>
      </c>
      <c r="P142" t="s">
        <v>224</v>
      </c>
      <c r="Q142" t="s">
        <v>225</v>
      </c>
      <c r="S142" t="s">
        <v>144</v>
      </c>
      <c r="T142" t="s">
        <v>226</v>
      </c>
      <c r="V142" t="s">
        <v>227</v>
      </c>
      <c r="W142" t="s">
        <v>37</v>
      </c>
      <c r="X142" s="6" t="s">
        <v>228</v>
      </c>
      <c r="Y142" s="6"/>
      <c r="Z142" t="s">
        <v>148</v>
      </c>
      <c r="AA142" t="s">
        <v>149</v>
      </c>
      <c r="AC142" t="s">
        <v>150</v>
      </c>
      <c r="AD142" s="6" t="s">
        <v>1120</v>
      </c>
      <c r="AE142" t="s">
        <v>1121</v>
      </c>
      <c r="AF142" s="3">
        <v>24202</v>
      </c>
      <c r="AG142">
        <v>60</v>
      </c>
      <c r="AH142" t="b">
        <v>0</v>
      </c>
      <c r="AI142" t="b">
        <v>1</v>
      </c>
      <c r="AJ142" s="6" t="s">
        <v>588</v>
      </c>
      <c r="AK142" s="6" t="s">
        <v>171</v>
      </c>
      <c r="AL142" t="b">
        <v>0</v>
      </c>
      <c r="AM142" s="6"/>
      <c r="AN142" s="6"/>
      <c r="AP142" t="b">
        <v>0</v>
      </c>
      <c r="AQ142" s="6"/>
      <c r="AR142" s="6"/>
      <c r="AT142" t="b">
        <v>0</v>
      </c>
      <c r="AU142" s="6"/>
      <c r="AV142" s="6"/>
      <c r="AX142" t="b">
        <v>0</v>
      </c>
      <c r="AY142" s="6"/>
      <c r="AZ142" s="6"/>
      <c r="BA142" t="b">
        <v>0</v>
      </c>
      <c r="BB142" s="6"/>
      <c r="BC142" t="b">
        <v>0</v>
      </c>
      <c r="BD142" s="6"/>
      <c r="BE142" s="6"/>
      <c r="BF142" t="b">
        <v>0</v>
      </c>
      <c r="BG142" s="6"/>
      <c r="BH142" t="b">
        <v>0</v>
      </c>
      <c r="BI142" s="6"/>
      <c r="BJ142" t="b">
        <v>0</v>
      </c>
      <c r="BL142" t="b">
        <v>0</v>
      </c>
      <c r="BM142" t="b">
        <v>0</v>
      </c>
      <c r="BN142" t="b">
        <v>0</v>
      </c>
      <c r="BO142" t="b">
        <v>1</v>
      </c>
      <c r="BQ142" t="b">
        <v>0</v>
      </c>
      <c r="BR142" s="6"/>
      <c r="BT142" t="b">
        <v>0</v>
      </c>
      <c r="BU142" t="s">
        <v>1112</v>
      </c>
      <c r="BV142" t="s">
        <v>504</v>
      </c>
      <c r="BW142" t="s">
        <v>154</v>
      </c>
      <c r="BX142" t="s">
        <v>45</v>
      </c>
      <c r="BY142" s="6" t="s">
        <v>230</v>
      </c>
      <c r="BZ142">
        <v>1</v>
      </c>
      <c r="CA142" t="s">
        <v>157</v>
      </c>
      <c r="CB142" s="7">
        <v>46315.0537962963</v>
      </c>
    </row>
    <row r="143" spans="1:80">
      <c r="A143" s="6" t="s">
        <v>1122</v>
      </c>
      <c r="B143" t="s">
        <v>491</v>
      </c>
      <c r="C143" s="6" t="s">
        <v>1103</v>
      </c>
      <c r="D143" s="6"/>
      <c r="E143" t="s">
        <v>1104</v>
      </c>
      <c r="F143" t="s">
        <v>1105</v>
      </c>
      <c r="G143" s="6">
        <v>10</v>
      </c>
      <c r="H143" s="6"/>
      <c r="I143" t="s">
        <v>491</v>
      </c>
      <c r="J143" s="3">
        <v>46295</v>
      </c>
      <c r="K143" t="s">
        <v>421</v>
      </c>
      <c r="L143" t="s">
        <v>139</v>
      </c>
      <c r="N143" t="s">
        <v>281</v>
      </c>
      <c r="O143" t="s">
        <v>868</v>
      </c>
      <c r="P143" t="s">
        <v>142</v>
      </c>
      <c r="Q143" t="s">
        <v>282</v>
      </c>
      <c r="S143" t="s">
        <v>144</v>
      </c>
      <c r="T143" t="s">
        <v>283</v>
      </c>
      <c r="V143" t="s">
        <v>284</v>
      </c>
      <c r="W143" t="s">
        <v>39</v>
      </c>
      <c r="X143" s="6" t="s">
        <v>627</v>
      </c>
      <c r="Y143" s="6"/>
      <c r="Z143" t="s">
        <v>148</v>
      </c>
      <c r="AA143" t="s">
        <v>149</v>
      </c>
      <c r="AC143" t="s">
        <v>150</v>
      </c>
      <c r="AD143" s="6" t="s">
        <v>1123</v>
      </c>
      <c r="AE143" t="s">
        <v>1124</v>
      </c>
      <c r="AF143" s="3">
        <v>25182</v>
      </c>
      <c r="AG143">
        <v>57</v>
      </c>
      <c r="AH143" t="b">
        <v>0</v>
      </c>
      <c r="AI143" t="b">
        <v>1</v>
      </c>
      <c r="AJ143" s="6" t="s">
        <v>628</v>
      </c>
      <c r="AK143" s="6" t="s">
        <v>171</v>
      </c>
      <c r="AL143" t="b">
        <v>0</v>
      </c>
      <c r="AM143" s="6"/>
      <c r="AN143" s="6"/>
      <c r="AP143" t="b">
        <v>0</v>
      </c>
      <c r="AQ143" s="6"/>
      <c r="AR143" s="6"/>
      <c r="AT143" t="b">
        <v>0</v>
      </c>
      <c r="AU143" s="6"/>
      <c r="AV143" s="6"/>
      <c r="AX143" t="b">
        <v>0</v>
      </c>
      <c r="AY143" s="6"/>
      <c r="AZ143" s="6"/>
      <c r="BA143" t="b">
        <v>0</v>
      </c>
      <c r="BB143" s="6"/>
      <c r="BC143" t="b">
        <v>0</v>
      </c>
      <c r="BD143" s="6"/>
      <c r="BE143" s="6"/>
      <c r="BF143" t="b">
        <v>0</v>
      </c>
      <c r="BG143" s="6"/>
      <c r="BH143" t="b">
        <v>0</v>
      </c>
      <c r="BI143" s="6"/>
      <c r="BJ143" t="b">
        <v>0</v>
      </c>
      <c r="BL143" t="b">
        <v>0</v>
      </c>
      <c r="BM143" t="b">
        <v>0</v>
      </c>
      <c r="BN143" t="b">
        <v>0</v>
      </c>
      <c r="BO143" t="b">
        <v>1</v>
      </c>
      <c r="BQ143" t="b">
        <v>0</v>
      </c>
      <c r="BR143" s="6"/>
      <c r="BT143" t="b">
        <v>0</v>
      </c>
      <c r="BU143" t="s">
        <v>1112</v>
      </c>
      <c r="BV143" t="s">
        <v>504</v>
      </c>
      <c r="BW143" t="s">
        <v>154</v>
      </c>
      <c r="BX143" t="s">
        <v>45</v>
      </c>
      <c r="BY143" s="6" t="s">
        <v>291</v>
      </c>
      <c r="BZ143">
        <v>0.9</v>
      </c>
      <c r="CA143" t="s">
        <v>157</v>
      </c>
      <c r="CB143" s="7">
        <v>46315.0537962963</v>
      </c>
    </row>
    <row r="144" spans="1:80">
      <c r="A144" s="6" t="s">
        <v>1125</v>
      </c>
      <c r="B144" t="s">
        <v>491</v>
      </c>
      <c r="C144" s="6" t="s">
        <v>1103</v>
      </c>
      <c r="D144" s="6"/>
      <c r="E144" t="s">
        <v>1104</v>
      </c>
      <c r="F144" t="s">
        <v>1105</v>
      </c>
      <c r="G144" s="6">
        <v>11</v>
      </c>
      <c r="H144" s="6"/>
      <c r="I144" t="s">
        <v>491</v>
      </c>
      <c r="J144" s="3">
        <v>46295</v>
      </c>
      <c r="K144" t="s">
        <v>421</v>
      </c>
      <c r="L144" t="s">
        <v>139</v>
      </c>
      <c r="N144" t="s">
        <v>298</v>
      </c>
      <c r="O144" t="s">
        <v>1126</v>
      </c>
      <c r="P144" t="s">
        <v>299</v>
      </c>
      <c r="Q144" t="s">
        <v>300</v>
      </c>
      <c r="S144" t="s">
        <v>144</v>
      </c>
      <c r="T144" t="s">
        <v>301</v>
      </c>
      <c r="V144" t="s">
        <v>302</v>
      </c>
      <c r="W144" t="s">
        <v>35</v>
      </c>
      <c r="X144" s="6" t="s">
        <v>303</v>
      </c>
      <c r="Y144" s="6"/>
      <c r="Z144" t="s">
        <v>148</v>
      </c>
      <c r="AA144" t="s">
        <v>149</v>
      </c>
      <c r="AC144" t="s">
        <v>150</v>
      </c>
      <c r="AD144" s="6" t="s">
        <v>1127</v>
      </c>
      <c r="AE144" t="s">
        <v>1128</v>
      </c>
      <c r="AF144" s="3">
        <v>20070</v>
      </c>
      <c r="AG144">
        <v>71</v>
      </c>
      <c r="AH144" t="b">
        <v>0</v>
      </c>
      <c r="AI144" t="b">
        <v>1</v>
      </c>
      <c r="AJ144" s="6" t="s">
        <v>573</v>
      </c>
      <c r="AK144" s="6" t="s">
        <v>171</v>
      </c>
      <c r="AL144" t="b">
        <v>0</v>
      </c>
      <c r="AM144" s="6"/>
      <c r="AN144" s="6"/>
      <c r="AP144" t="b">
        <v>0</v>
      </c>
      <c r="AQ144" s="6"/>
      <c r="AR144" s="6"/>
      <c r="AT144" t="b">
        <v>0</v>
      </c>
      <c r="AU144" s="6"/>
      <c r="AV144" s="6"/>
      <c r="AX144" t="b">
        <v>0</v>
      </c>
      <c r="AY144" s="6"/>
      <c r="AZ144" s="6"/>
      <c r="BA144" t="b">
        <v>0</v>
      </c>
      <c r="BB144" s="6"/>
      <c r="BC144" t="b">
        <v>0</v>
      </c>
      <c r="BD144" s="6"/>
      <c r="BE144" s="6"/>
      <c r="BF144" t="b">
        <v>0</v>
      </c>
      <c r="BG144" s="6"/>
      <c r="BH144" t="b">
        <v>0</v>
      </c>
      <c r="BI144" s="6"/>
      <c r="BJ144" t="b">
        <v>0</v>
      </c>
      <c r="BL144" t="b">
        <v>0</v>
      </c>
      <c r="BM144" t="b">
        <v>0</v>
      </c>
      <c r="BN144" t="b">
        <v>0</v>
      </c>
      <c r="BO144" t="b">
        <v>1</v>
      </c>
      <c r="BQ144" t="b">
        <v>0</v>
      </c>
      <c r="BR144" s="6"/>
      <c r="BT144" t="b">
        <v>0</v>
      </c>
      <c r="BU144" t="s">
        <v>1112</v>
      </c>
      <c r="BV144" t="s">
        <v>504</v>
      </c>
      <c r="BW144" t="s">
        <v>154</v>
      </c>
      <c r="BX144" t="s">
        <v>1129</v>
      </c>
      <c r="BY144" s="6" t="s">
        <v>306</v>
      </c>
      <c r="BZ144">
        <v>1</v>
      </c>
      <c r="CA144" t="s">
        <v>157</v>
      </c>
      <c r="CB144" s="7">
        <v>46315.0537962963</v>
      </c>
    </row>
    <row r="145" spans="1:80">
      <c r="A145" s="6" t="s">
        <v>1130</v>
      </c>
      <c r="B145" t="s">
        <v>491</v>
      </c>
      <c r="C145" s="6" t="s">
        <v>1103</v>
      </c>
      <c r="D145" s="6"/>
      <c r="E145" t="s">
        <v>1104</v>
      </c>
      <c r="F145" t="s">
        <v>1105</v>
      </c>
      <c r="G145" s="6">
        <v>12</v>
      </c>
      <c r="H145" s="6"/>
      <c r="I145" t="s">
        <v>491</v>
      </c>
      <c r="J145" s="3">
        <v>46295</v>
      </c>
      <c r="K145" t="s">
        <v>421</v>
      </c>
      <c r="L145" t="s">
        <v>139</v>
      </c>
      <c r="N145" t="s">
        <v>188</v>
      </c>
      <c r="O145" t="s">
        <v>298</v>
      </c>
      <c r="P145" t="s">
        <v>299</v>
      </c>
      <c r="Q145" t="s">
        <v>601</v>
      </c>
      <c r="S145" t="s">
        <v>144</v>
      </c>
      <c r="T145" t="s">
        <v>602</v>
      </c>
      <c r="V145" t="s">
        <v>603</v>
      </c>
      <c r="W145" t="s">
        <v>40</v>
      </c>
      <c r="X145" s="6" t="s">
        <v>604</v>
      </c>
      <c r="Y145" s="6"/>
      <c r="Z145" t="s">
        <v>148</v>
      </c>
      <c r="AA145" t="s">
        <v>149</v>
      </c>
      <c r="AC145" t="s">
        <v>150</v>
      </c>
      <c r="AD145" s="6" t="s">
        <v>1131</v>
      </c>
      <c r="AE145" t="s">
        <v>1132</v>
      </c>
      <c r="AF145" s="3">
        <v>27588</v>
      </c>
      <c r="AG145">
        <v>51</v>
      </c>
      <c r="AH145" t="b">
        <v>0</v>
      </c>
      <c r="AI145" t="b">
        <v>1</v>
      </c>
      <c r="AJ145" s="6" t="s">
        <v>605</v>
      </c>
      <c r="AK145" s="6" t="s">
        <v>171</v>
      </c>
      <c r="AL145" t="b">
        <v>0</v>
      </c>
      <c r="AM145" s="6"/>
      <c r="AN145" s="6"/>
      <c r="AP145" t="b">
        <v>0</v>
      </c>
      <c r="AQ145" s="6"/>
      <c r="AR145" s="6"/>
      <c r="AT145" t="b">
        <v>0</v>
      </c>
      <c r="AU145" s="6"/>
      <c r="AV145" s="6"/>
      <c r="AX145" t="b">
        <v>0</v>
      </c>
      <c r="AY145" s="6"/>
      <c r="AZ145" s="6"/>
      <c r="BA145" t="b">
        <v>0</v>
      </c>
      <c r="BB145" s="6"/>
      <c r="BC145" t="b">
        <v>0</v>
      </c>
      <c r="BD145" s="6"/>
      <c r="BE145" s="6"/>
      <c r="BF145" t="b">
        <v>0</v>
      </c>
      <c r="BG145" s="6"/>
      <c r="BH145" t="b">
        <v>0</v>
      </c>
      <c r="BI145" s="6"/>
      <c r="BJ145" t="b">
        <v>0</v>
      </c>
      <c r="BL145" t="b">
        <v>0</v>
      </c>
      <c r="BM145" t="b">
        <v>0</v>
      </c>
      <c r="BN145" t="b">
        <v>0</v>
      </c>
      <c r="BO145" t="b">
        <v>1</v>
      </c>
      <c r="BQ145" t="b">
        <v>0</v>
      </c>
      <c r="BR145" s="6"/>
      <c r="BT145" t="b">
        <v>0</v>
      </c>
      <c r="BU145" t="s">
        <v>1112</v>
      </c>
      <c r="BV145" t="s">
        <v>504</v>
      </c>
      <c r="BW145" t="s">
        <v>154</v>
      </c>
      <c r="BX145" t="s">
        <v>45</v>
      </c>
      <c r="BY145" s="6" t="s">
        <v>607</v>
      </c>
      <c r="BZ145">
        <v>1</v>
      </c>
      <c r="CA145" t="s">
        <v>157</v>
      </c>
      <c r="CB145" s="7">
        <v>46315.0537962963</v>
      </c>
    </row>
    <row r="146" spans="1:80">
      <c r="A146" s="6" t="s">
        <v>1133</v>
      </c>
      <c r="B146" t="s">
        <v>491</v>
      </c>
      <c r="C146" s="6" t="s">
        <v>1103</v>
      </c>
      <c r="D146" s="6"/>
      <c r="E146" t="s">
        <v>1104</v>
      </c>
      <c r="F146" t="s">
        <v>1105</v>
      </c>
      <c r="G146" s="6">
        <v>13</v>
      </c>
      <c r="H146" s="6"/>
      <c r="I146" t="s">
        <v>491</v>
      </c>
      <c r="J146" s="3">
        <v>46295</v>
      </c>
      <c r="K146" t="s">
        <v>421</v>
      </c>
      <c r="L146" t="s">
        <v>139</v>
      </c>
      <c r="N146" t="s">
        <v>234</v>
      </c>
      <c r="O146" t="s">
        <v>1134</v>
      </c>
      <c r="P146" t="s">
        <v>235</v>
      </c>
      <c r="Q146" t="s">
        <v>236</v>
      </c>
      <c r="S146" t="s">
        <v>144</v>
      </c>
      <c r="T146" t="s">
        <v>237</v>
      </c>
      <c r="V146" t="s">
        <v>238</v>
      </c>
      <c r="W146" t="s">
        <v>37</v>
      </c>
      <c r="X146" s="6" t="s">
        <v>239</v>
      </c>
      <c r="Y146" s="6"/>
      <c r="Z146" t="s">
        <v>148</v>
      </c>
      <c r="AA146" t="s">
        <v>149</v>
      </c>
      <c r="AC146" t="s">
        <v>150</v>
      </c>
      <c r="AD146" s="6" t="s">
        <v>1135</v>
      </c>
      <c r="AE146" t="s">
        <v>1136</v>
      </c>
      <c r="AF146" s="3">
        <v>19844</v>
      </c>
      <c r="AG146">
        <v>72</v>
      </c>
      <c r="AH146" t="b">
        <v>0</v>
      </c>
      <c r="AI146" t="b">
        <v>1</v>
      </c>
      <c r="AJ146" s="6" t="s">
        <v>713</v>
      </c>
      <c r="AK146" s="6" t="s">
        <v>171</v>
      </c>
      <c r="AL146" t="b">
        <v>0</v>
      </c>
      <c r="AM146" s="6"/>
      <c r="AN146" s="6"/>
      <c r="AP146" t="b">
        <v>0</v>
      </c>
      <c r="AQ146" s="6"/>
      <c r="AR146" s="6"/>
      <c r="AT146" t="b">
        <v>0</v>
      </c>
      <c r="AU146" s="6"/>
      <c r="AV146" s="6"/>
      <c r="AX146" t="b">
        <v>0</v>
      </c>
      <c r="AY146" s="6"/>
      <c r="AZ146" s="6"/>
      <c r="BA146" t="b">
        <v>0</v>
      </c>
      <c r="BB146" s="6"/>
      <c r="BC146" t="b">
        <v>0</v>
      </c>
      <c r="BD146" s="6"/>
      <c r="BE146" s="6"/>
      <c r="BF146" t="b">
        <v>0</v>
      </c>
      <c r="BG146" s="6"/>
      <c r="BH146" t="b">
        <v>0</v>
      </c>
      <c r="BI146" s="6"/>
      <c r="BJ146" t="b">
        <v>0</v>
      </c>
      <c r="BL146" t="b">
        <v>0</v>
      </c>
      <c r="BM146" t="b">
        <v>0</v>
      </c>
      <c r="BN146" t="b">
        <v>0</v>
      </c>
      <c r="BO146" t="b">
        <v>1</v>
      </c>
      <c r="BQ146" t="b">
        <v>0</v>
      </c>
      <c r="BR146" s="6"/>
      <c r="BT146" t="b">
        <v>0</v>
      </c>
      <c r="BU146" t="s">
        <v>1112</v>
      </c>
      <c r="BV146" t="s">
        <v>504</v>
      </c>
      <c r="BW146" t="s">
        <v>154</v>
      </c>
      <c r="BX146" t="s">
        <v>1137</v>
      </c>
      <c r="BY146" s="6" t="s">
        <v>241</v>
      </c>
      <c r="BZ146">
        <v>1</v>
      </c>
      <c r="CA146" t="s">
        <v>157</v>
      </c>
      <c r="CB146" s="7">
        <v>46315.0537962963</v>
      </c>
    </row>
    <row r="147" spans="1:80">
      <c r="A147" s="6" t="s">
        <v>1138</v>
      </c>
      <c r="B147" t="s">
        <v>491</v>
      </c>
      <c r="C147" s="6" t="s">
        <v>1103</v>
      </c>
      <c r="D147" s="6"/>
      <c r="E147" t="s">
        <v>1104</v>
      </c>
      <c r="F147" t="s">
        <v>1105</v>
      </c>
      <c r="G147" s="6">
        <v>14</v>
      </c>
      <c r="H147" s="6"/>
      <c r="I147" t="s">
        <v>491</v>
      </c>
      <c r="J147" s="3">
        <v>46295</v>
      </c>
      <c r="K147" t="s">
        <v>421</v>
      </c>
      <c r="L147" t="s">
        <v>139</v>
      </c>
      <c r="N147" t="s">
        <v>1139</v>
      </c>
      <c r="O147" t="s">
        <v>1140</v>
      </c>
      <c r="P147" t="s">
        <v>163</v>
      </c>
      <c r="Q147" t="s">
        <v>1141</v>
      </c>
      <c r="S147" t="s">
        <v>144</v>
      </c>
      <c r="T147" t="s">
        <v>800</v>
      </c>
      <c r="V147" t="s">
        <v>801</v>
      </c>
      <c r="W147" t="s">
        <v>33</v>
      </c>
      <c r="X147" s="6" t="s">
        <v>802</v>
      </c>
      <c r="Y147" s="6"/>
      <c r="Z147" t="s">
        <v>148</v>
      </c>
      <c r="AA147" t="s">
        <v>149</v>
      </c>
      <c r="AC147" t="s">
        <v>150</v>
      </c>
      <c r="AD147" s="6" t="s">
        <v>1142</v>
      </c>
      <c r="AE147" t="s">
        <v>1143</v>
      </c>
      <c r="AF147" s="3">
        <v>19689</v>
      </c>
      <c r="AG147">
        <v>72</v>
      </c>
      <c r="AH147" t="b">
        <v>0</v>
      </c>
      <c r="AI147" t="b">
        <v>1</v>
      </c>
      <c r="AJ147" s="6" t="s">
        <v>1144</v>
      </c>
      <c r="AK147" s="6" t="s">
        <v>171</v>
      </c>
      <c r="AL147" t="b">
        <v>0</v>
      </c>
      <c r="AM147" s="6"/>
      <c r="AN147" s="6"/>
      <c r="AP147" t="b">
        <v>0</v>
      </c>
      <c r="AQ147" s="6"/>
      <c r="AR147" s="6"/>
      <c r="AT147" t="b">
        <v>0</v>
      </c>
      <c r="AU147" s="6"/>
      <c r="AV147" s="6"/>
      <c r="AX147" t="b">
        <v>0</v>
      </c>
      <c r="AY147" s="6"/>
      <c r="AZ147" s="6"/>
      <c r="BA147" t="b">
        <v>0</v>
      </c>
      <c r="BB147" s="6"/>
      <c r="BC147" t="b">
        <v>0</v>
      </c>
      <c r="BD147" s="6"/>
      <c r="BE147" s="6"/>
      <c r="BF147" t="b">
        <v>0</v>
      </c>
      <c r="BG147" s="6"/>
      <c r="BH147" t="b">
        <v>0</v>
      </c>
      <c r="BI147" s="6"/>
      <c r="BJ147" t="b">
        <v>0</v>
      </c>
      <c r="BL147" t="b">
        <v>0</v>
      </c>
      <c r="BM147" t="b">
        <v>0</v>
      </c>
      <c r="BN147" t="b">
        <v>0</v>
      </c>
      <c r="BO147" t="b">
        <v>1</v>
      </c>
      <c r="BQ147" t="b">
        <v>0</v>
      </c>
      <c r="BR147" s="6"/>
      <c r="BT147" t="b">
        <v>0</v>
      </c>
      <c r="BU147" t="s">
        <v>1112</v>
      </c>
      <c r="BV147" t="s">
        <v>504</v>
      </c>
      <c r="BW147" t="s">
        <v>154</v>
      </c>
      <c r="BX147" t="s">
        <v>45</v>
      </c>
      <c r="BY147" s="6" t="s">
        <v>1145</v>
      </c>
      <c r="BZ147">
        <v>1</v>
      </c>
      <c r="CA147" t="s">
        <v>157</v>
      </c>
      <c r="CB147" s="7">
        <v>46315.0537962963</v>
      </c>
    </row>
    <row r="148" spans="1:80">
      <c r="A148" s="6" t="s">
        <v>1146</v>
      </c>
      <c r="B148" t="s">
        <v>491</v>
      </c>
      <c r="C148" s="6" t="s">
        <v>1103</v>
      </c>
      <c r="D148" s="6"/>
      <c r="E148" t="s">
        <v>1104</v>
      </c>
      <c r="F148" t="s">
        <v>1105</v>
      </c>
      <c r="G148" s="6">
        <v>15</v>
      </c>
      <c r="H148" s="6"/>
      <c r="I148" t="s">
        <v>491</v>
      </c>
      <c r="J148" s="3">
        <v>46295</v>
      </c>
      <c r="K148" t="s">
        <v>421</v>
      </c>
      <c r="L148" t="s">
        <v>139</v>
      </c>
      <c r="N148" t="s">
        <v>1147</v>
      </c>
      <c r="Q148" t="s">
        <v>1148</v>
      </c>
      <c r="S148" t="s">
        <v>144</v>
      </c>
      <c r="T148" t="s">
        <v>1149</v>
      </c>
      <c r="V148" t="s">
        <v>1150</v>
      </c>
      <c r="W148" t="s">
        <v>38</v>
      </c>
      <c r="X148" s="6" t="s">
        <v>1151</v>
      </c>
      <c r="Y148" s="6"/>
      <c r="Z148" t="s">
        <v>148</v>
      </c>
      <c r="AA148" t="s">
        <v>149</v>
      </c>
      <c r="AC148" t="s">
        <v>150</v>
      </c>
      <c r="AD148" s="6" t="s">
        <v>1152</v>
      </c>
      <c r="AE148" t="s">
        <v>1153</v>
      </c>
      <c r="AF148" s="3">
        <v>28284</v>
      </c>
      <c r="AG148">
        <v>49</v>
      </c>
      <c r="AH148" t="b">
        <v>0</v>
      </c>
      <c r="AI148" t="b">
        <v>1</v>
      </c>
      <c r="AJ148" s="6" t="s">
        <v>1154</v>
      </c>
      <c r="AK148" s="6" t="s">
        <v>1155</v>
      </c>
      <c r="AL148" t="b">
        <v>0</v>
      </c>
      <c r="AM148" s="6"/>
      <c r="AN148" s="6"/>
      <c r="AP148" t="b">
        <v>0</v>
      </c>
      <c r="AQ148" s="6"/>
      <c r="AR148" s="6"/>
      <c r="AT148" t="b">
        <v>0</v>
      </c>
      <c r="AU148" s="6"/>
      <c r="AV148" s="6"/>
      <c r="AX148" t="b">
        <v>0</v>
      </c>
      <c r="AY148" s="6"/>
      <c r="AZ148" s="6"/>
      <c r="BA148" t="b">
        <v>0</v>
      </c>
      <c r="BB148" s="6"/>
      <c r="BC148" t="b">
        <v>0</v>
      </c>
      <c r="BD148" s="6"/>
      <c r="BE148" s="6"/>
      <c r="BF148" t="b">
        <v>0</v>
      </c>
      <c r="BG148" s="6"/>
      <c r="BH148" t="b">
        <v>0</v>
      </c>
      <c r="BI148" s="6"/>
      <c r="BJ148" t="b">
        <v>0</v>
      </c>
      <c r="BL148" t="b">
        <v>0</v>
      </c>
      <c r="BM148" t="b">
        <v>0</v>
      </c>
      <c r="BN148" t="b">
        <v>0</v>
      </c>
      <c r="BO148" t="b">
        <v>1</v>
      </c>
      <c r="BQ148" t="b">
        <v>0</v>
      </c>
      <c r="BR148" s="6"/>
      <c r="BT148" t="b">
        <v>0</v>
      </c>
      <c r="BU148" t="s">
        <v>1112</v>
      </c>
      <c r="BV148" t="s">
        <v>504</v>
      </c>
      <c r="BW148" t="s">
        <v>289</v>
      </c>
      <c r="BX148" t="s">
        <v>1155</v>
      </c>
      <c r="BY148" s="6" t="s">
        <v>1156</v>
      </c>
      <c r="BZ148">
        <v>1</v>
      </c>
      <c r="CA148" t="s">
        <v>157</v>
      </c>
      <c r="CB148" s="7">
        <v>46315.0537962963</v>
      </c>
    </row>
    <row r="149" spans="1:80">
      <c r="A149" s="6" t="s">
        <v>1157</v>
      </c>
      <c r="B149" t="s">
        <v>491</v>
      </c>
      <c r="C149" s="6" t="s">
        <v>1103</v>
      </c>
      <c r="D149" s="6"/>
      <c r="E149" t="s">
        <v>1104</v>
      </c>
      <c r="F149" t="s">
        <v>1105</v>
      </c>
      <c r="G149" s="6">
        <v>16</v>
      </c>
      <c r="H149" s="6"/>
      <c r="I149" t="s">
        <v>491</v>
      </c>
      <c r="J149" s="3">
        <v>46295</v>
      </c>
      <c r="K149" t="s">
        <v>421</v>
      </c>
      <c r="L149" t="s">
        <v>139</v>
      </c>
      <c r="N149" t="s">
        <v>1158</v>
      </c>
      <c r="Q149" t="s">
        <v>1159</v>
      </c>
      <c r="S149" t="s">
        <v>144</v>
      </c>
      <c r="T149" t="s">
        <v>1160</v>
      </c>
      <c r="V149" t="s">
        <v>1161</v>
      </c>
      <c r="W149" t="s">
        <v>33</v>
      </c>
      <c r="X149" s="6" t="s">
        <v>1162</v>
      </c>
      <c r="Y149" s="6"/>
      <c r="Z149" t="s">
        <v>148</v>
      </c>
      <c r="AA149" t="s">
        <v>205</v>
      </c>
      <c r="AC149" t="s">
        <v>150</v>
      </c>
      <c r="AD149" s="6" t="s">
        <v>1163</v>
      </c>
      <c r="AE149" t="s">
        <v>1164</v>
      </c>
      <c r="AF149" s="3">
        <v>19001</v>
      </c>
      <c r="AG149">
        <v>74</v>
      </c>
      <c r="AH149" t="b">
        <v>0</v>
      </c>
      <c r="AI149" t="b">
        <v>1</v>
      </c>
      <c r="AJ149" s="6" t="s">
        <v>1165</v>
      </c>
      <c r="AK149" s="6" t="s">
        <v>171</v>
      </c>
      <c r="AL149" t="b">
        <v>0</v>
      </c>
      <c r="AM149" s="6"/>
      <c r="AN149" s="6"/>
      <c r="AP149" t="b">
        <v>0</v>
      </c>
      <c r="AQ149" s="6"/>
      <c r="AR149" s="6"/>
      <c r="AT149" t="b">
        <v>0</v>
      </c>
      <c r="AU149" s="6"/>
      <c r="AV149" s="6"/>
      <c r="AX149" t="b">
        <v>0</v>
      </c>
      <c r="AY149" s="6"/>
      <c r="AZ149" s="6"/>
      <c r="BA149" t="b">
        <v>0</v>
      </c>
      <c r="BB149" s="6"/>
      <c r="BC149" t="b">
        <v>0</v>
      </c>
      <c r="BD149" s="6"/>
      <c r="BE149" s="6"/>
      <c r="BF149" t="b">
        <v>0</v>
      </c>
      <c r="BG149" s="6"/>
      <c r="BH149" t="b">
        <v>0</v>
      </c>
      <c r="BI149" s="6"/>
      <c r="BJ149" t="b">
        <v>0</v>
      </c>
      <c r="BL149" t="b">
        <v>0</v>
      </c>
      <c r="BM149" t="b">
        <v>0</v>
      </c>
      <c r="BN149" t="b">
        <v>0</v>
      </c>
      <c r="BO149" t="b">
        <v>1</v>
      </c>
      <c r="BQ149" t="b">
        <v>0</v>
      </c>
      <c r="BR149" s="6"/>
      <c r="BT149" t="b">
        <v>0</v>
      </c>
      <c r="BU149" t="s">
        <v>1112</v>
      </c>
      <c r="BV149" t="s">
        <v>504</v>
      </c>
      <c r="BW149" t="s">
        <v>154</v>
      </c>
      <c r="BX149" t="s">
        <v>1166</v>
      </c>
      <c r="BY149" s="6" t="s">
        <v>1167</v>
      </c>
      <c r="BZ149">
        <v>1</v>
      </c>
      <c r="CA149" t="s">
        <v>157</v>
      </c>
      <c r="CB149" s="7">
        <v>46315.0537962963</v>
      </c>
    </row>
    <row r="150" spans="1:80">
      <c r="A150" s="6" t="s">
        <v>1168</v>
      </c>
      <c r="B150" t="s">
        <v>491</v>
      </c>
      <c r="C150" s="6" t="s">
        <v>1103</v>
      </c>
      <c r="D150" s="6"/>
      <c r="E150" t="s">
        <v>1104</v>
      </c>
      <c r="F150" t="s">
        <v>1105</v>
      </c>
      <c r="G150" s="6">
        <v>17</v>
      </c>
      <c r="H150" s="6"/>
      <c r="I150" t="s">
        <v>491</v>
      </c>
      <c r="J150" s="3">
        <v>46295</v>
      </c>
      <c r="K150" t="s">
        <v>421</v>
      </c>
      <c r="L150" t="s">
        <v>139</v>
      </c>
      <c r="N150" t="s">
        <v>177</v>
      </c>
      <c r="O150" t="s">
        <v>1169</v>
      </c>
      <c r="P150" t="s">
        <v>178</v>
      </c>
      <c r="Q150" t="s">
        <v>179</v>
      </c>
      <c r="S150" t="s">
        <v>144</v>
      </c>
      <c r="T150" t="s">
        <v>180</v>
      </c>
      <c r="V150" t="s">
        <v>181</v>
      </c>
      <c r="W150" t="s">
        <v>40</v>
      </c>
      <c r="X150" s="6" t="s">
        <v>182</v>
      </c>
      <c r="Y150" s="6"/>
      <c r="Z150" t="s">
        <v>148</v>
      </c>
      <c r="AA150" t="s">
        <v>149</v>
      </c>
      <c r="AC150" t="s">
        <v>150</v>
      </c>
      <c r="AD150" s="6" t="s">
        <v>386</v>
      </c>
      <c r="AE150" t="s">
        <v>1170</v>
      </c>
      <c r="AF150" s="3">
        <v>31930</v>
      </c>
      <c r="AG150">
        <v>39</v>
      </c>
      <c r="AH150" t="b">
        <v>0</v>
      </c>
      <c r="AI150" t="b">
        <v>1</v>
      </c>
      <c r="AJ150" s="6" t="s">
        <v>387</v>
      </c>
      <c r="AK150" s="6" t="s">
        <v>171</v>
      </c>
      <c r="AL150" t="b">
        <v>0</v>
      </c>
      <c r="AM150" s="6"/>
      <c r="AN150" s="6"/>
      <c r="AP150" t="b">
        <v>0</v>
      </c>
      <c r="AQ150" s="6"/>
      <c r="AR150" s="6"/>
      <c r="AT150" t="b">
        <v>0</v>
      </c>
      <c r="AU150" s="6"/>
      <c r="AV150" s="6"/>
      <c r="AX150" t="b">
        <v>0</v>
      </c>
      <c r="AY150" s="6"/>
      <c r="AZ150" s="6"/>
      <c r="BA150" t="b">
        <v>0</v>
      </c>
      <c r="BB150" s="6"/>
      <c r="BC150" t="b">
        <v>0</v>
      </c>
      <c r="BD150" s="6"/>
      <c r="BE150" s="6"/>
      <c r="BF150" t="b">
        <v>0</v>
      </c>
      <c r="BG150" s="6"/>
      <c r="BH150" t="b">
        <v>0</v>
      </c>
      <c r="BI150" s="6"/>
      <c r="BJ150" t="b">
        <v>0</v>
      </c>
      <c r="BL150" t="b">
        <v>0</v>
      </c>
      <c r="BM150" t="b">
        <v>0</v>
      </c>
      <c r="BN150" t="b">
        <v>0</v>
      </c>
      <c r="BO150" t="b">
        <v>1</v>
      </c>
      <c r="BQ150" t="b">
        <v>0</v>
      </c>
      <c r="BR150" s="6"/>
      <c r="BT150" t="b">
        <v>0</v>
      </c>
      <c r="BU150" t="s">
        <v>1112</v>
      </c>
      <c r="BV150" t="s">
        <v>504</v>
      </c>
      <c r="BW150" t="s">
        <v>154</v>
      </c>
      <c r="BX150" t="s">
        <v>45</v>
      </c>
      <c r="BY150" s="6" t="s">
        <v>184</v>
      </c>
      <c r="BZ150">
        <v>1</v>
      </c>
      <c r="CA150" t="s">
        <v>157</v>
      </c>
      <c r="CB150" s="7">
        <v>46315.0537962963</v>
      </c>
    </row>
    <row r="151" spans="1:80">
      <c r="A151" s="6" t="s">
        <v>1171</v>
      </c>
      <c r="B151" t="s">
        <v>491</v>
      </c>
      <c r="C151" s="6" t="s">
        <v>1103</v>
      </c>
      <c r="D151" s="6"/>
      <c r="E151" t="s">
        <v>1104</v>
      </c>
      <c r="F151" t="s">
        <v>1105</v>
      </c>
      <c r="G151" s="6">
        <v>18</v>
      </c>
      <c r="H151" s="6"/>
      <c r="I151" t="s">
        <v>491</v>
      </c>
      <c r="J151" s="3">
        <v>46295</v>
      </c>
      <c r="K151" t="s">
        <v>421</v>
      </c>
      <c r="L151" t="s">
        <v>139</v>
      </c>
      <c r="N151" t="s">
        <v>546</v>
      </c>
      <c r="O151" t="s">
        <v>1172</v>
      </c>
      <c r="P151" t="s">
        <v>1173</v>
      </c>
      <c r="Q151" t="s">
        <v>547</v>
      </c>
      <c r="S151" t="s">
        <v>144</v>
      </c>
      <c r="T151" t="s">
        <v>548</v>
      </c>
      <c r="V151" t="s">
        <v>549</v>
      </c>
      <c r="W151" t="s">
        <v>33</v>
      </c>
      <c r="X151" s="6" t="s">
        <v>550</v>
      </c>
      <c r="Y151" s="6"/>
      <c r="Z151" t="s">
        <v>148</v>
      </c>
      <c r="AA151" t="s">
        <v>149</v>
      </c>
      <c r="AC151" t="s">
        <v>150</v>
      </c>
      <c r="AD151" s="6" t="s">
        <v>1174</v>
      </c>
      <c r="AE151" t="s">
        <v>1175</v>
      </c>
      <c r="AF151" s="3">
        <v>25307</v>
      </c>
      <c r="AG151">
        <v>57</v>
      </c>
      <c r="AH151" t="b">
        <v>0</v>
      </c>
      <c r="AI151" t="b">
        <v>1</v>
      </c>
      <c r="AJ151" s="6" t="s">
        <v>551</v>
      </c>
      <c r="AK151" s="6" t="s">
        <v>171</v>
      </c>
      <c r="AL151" t="b">
        <v>0</v>
      </c>
      <c r="AM151" s="6"/>
      <c r="AN151" s="6"/>
      <c r="AP151" t="b">
        <v>0</v>
      </c>
      <c r="AQ151" s="6"/>
      <c r="AR151" s="6"/>
      <c r="AT151" t="b">
        <v>0</v>
      </c>
      <c r="AU151" s="6"/>
      <c r="AV151" s="6"/>
      <c r="AX151" t="b">
        <v>0</v>
      </c>
      <c r="AY151" s="6"/>
      <c r="AZ151" s="6"/>
      <c r="BA151" t="b">
        <v>0</v>
      </c>
      <c r="BB151" s="6"/>
      <c r="BC151" t="b">
        <v>0</v>
      </c>
      <c r="BD151" s="6"/>
      <c r="BE151" s="6"/>
      <c r="BF151" t="b">
        <v>0</v>
      </c>
      <c r="BG151" s="6"/>
      <c r="BH151" t="b">
        <v>0</v>
      </c>
      <c r="BI151" s="6"/>
      <c r="BJ151" t="b">
        <v>0</v>
      </c>
      <c r="BL151" t="b">
        <v>0</v>
      </c>
      <c r="BM151" t="b">
        <v>0</v>
      </c>
      <c r="BN151" t="b">
        <v>0</v>
      </c>
      <c r="BO151" t="b">
        <v>1</v>
      </c>
      <c r="BQ151" t="b">
        <v>0</v>
      </c>
      <c r="BR151" s="6"/>
      <c r="BT151" t="b">
        <v>0</v>
      </c>
      <c r="BU151" t="s">
        <v>1112</v>
      </c>
      <c r="BV151" t="s">
        <v>504</v>
      </c>
      <c r="BW151" t="s">
        <v>154</v>
      </c>
      <c r="BX151" t="s">
        <v>1137</v>
      </c>
      <c r="BY151" s="6" t="s">
        <v>553</v>
      </c>
      <c r="BZ151">
        <v>1</v>
      </c>
      <c r="CA151" t="s">
        <v>157</v>
      </c>
      <c r="CB151" s="7">
        <v>46315.0537962963</v>
      </c>
    </row>
    <row r="152" spans="1:80">
      <c r="A152" s="6" t="s">
        <v>1176</v>
      </c>
      <c r="B152" t="s">
        <v>491</v>
      </c>
      <c r="C152" s="6" t="s">
        <v>1103</v>
      </c>
      <c r="D152" s="6"/>
      <c r="E152" t="s">
        <v>1104</v>
      </c>
      <c r="F152" t="s">
        <v>1105</v>
      </c>
      <c r="G152" s="6">
        <v>19</v>
      </c>
      <c r="H152" s="6"/>
      <c r="I152" t="s">
        <v>491</v>
      </c>
      <c r="J152" s="3">
        <v>46295</v>
      </c>
      <c r="K152" t="s">
        <v>421</v>
      </c>
      <c r="L152" t="s">
        <v>139</v>
      </c>
      <c r="N152" t="s">
        <v>266</v>
      </c>
      <c r="O152" t="s">
        <v>585</v>
      </c>
      <c r="P152" t="s">
        <v>267</v>
      </c>
      <c r="Q152" t="s">
        <v>268</v>
      </c>
      <c r="S152" t="s">
        <v>144</v>
      </c>
      <c r="T152" t="s">
        <v>269</v>
      </c>
      <c r="V152" t="s">
        <v>636</v>
      </c>
      <c r="W152" t="s">
        <v>33</v>
      </c>
      <c r="X152" s="6" t="s">
        <v>271</v>
      </c>
      <c r="Y152" s="6"/>
      <c r="Z152" t="s">
        <v>148</v>
      </c>
      <c r="AA152" t="s">
        <v>149</v>
      </c>
      <c r="AC152" t="s">
        <v>150</v>
      </c>
      <c r="AD152" s="6" t="s">
        <v>1177</v>
      </c>
      <c r="AE152" t="s">
        <v>1178</v>
      </c>
      <c r="AF152" s="3">
        <v>24084</v>
      </c>
      <c r="AG152">
        <v>60</v>
      </c>
      <c r="AH152" t="b">
        <v>0</v>
      </c>
      <c r="AI152" t="b">
        <v>1</v>
      </c>
      <c r="AJ152" s="6" t="s">
        <v>637</v>
      </c>
      <c r="AK152" s="6" t="s">
        <v>171</v>
      </c>
      <c r="AL152" t="b">
        <v>0</v>
      </c>
      <c r="AM152" s="6"/>
      <c r="AN152" s="6"/>
      <c r="AP152" t="b">
        <v>0</v>
      </c>
      <c r="AQ152" s="6"/>
      <c r="AR152" s="6"/>
      <c r="AT152" t="b">
        <v>0</v>
      </c>
      <c r="AU152" s="6"/>
      <c r="AV152" s="6"/>
      <c r="AX152" t="b">
        <v>0</v>
      </c>
      <c r="AY152" s="6"/>
      <c r="AZ152" s="6"/>
      <c r="BA152" t="b">
        <v>0</v>
      </c>
      <c r="BB152" s="6"/>
      <c r="BC152" t="b">
        <v>0</v>
      </c>
      <c r="BD152" s="6"/>
      <c r="BE152" s="6"/>
      <c r="BF152" t="b">
        <v>0</v>
      </c>
      <c r="BG152" s="6"/>
      <c r="BH152" t="b">
        <v>0</v>
      </c>
      <c r="BI152" s="6"/>
      <c r="BJ152" t="b">
        <v>0</v>
      </c>
      <c r="BL152" t="b">
        <v>0</v>
      </c>
      <c r="BM152" t="b">
        <v>0</v>
      </c>
      <c r="BN152" t="b">
        <v>0</v>
      </c>
      <c r="BO152" t="b">
        <v>1</v>
      </c>
      <c r="BQ152" t="b">
        <v>0</v>
      </c>
      <c r="BR152" s="6"/>
      <c r="BT152" t="b">
        <v>0</v>
      </c>
      <c r="BU152" t="s">
        <v>1112</v>
      </c>
      <c r="BV152" t="s">
        <v>504</v>
      </c>
      <c r="BW152" t="s">
        <v>154</v>
      </c>
      <c r="BX152" t="s">
        <v>1137</v>
      </c>
      <c r="BY152" s="6" t="s">
        <v>277</v>
      </c>
      <c r="BZ152">
        <v>1</v>
      </c>
      <c r="CA152" t="s">
        <v>157</v>
      </c>
      <c r="CB152" s="7">
        <v>46315.0537962963</v>
      </c>
    </row>
    <row r="153" spans="1:80">
      <c r="A153" s="6" t="s">
        <v>1179</v>
      </c>
      <c r="B153" t="s">
        <v>491</v>
      </c>
      <c r="C153" s="6" t="s">
        <v>1103</v>
      </c>
      <c r="D153" s="6"/>
      <c r="E153" t="s">
        <v>1104</v>
      </c>
      <c r="F153" t="s">
        <v>1105</v>
      </c>
      <c r="G153" s="6">
        <v>20</v>
      </c>
      <c r="H153" s="6"/>
      <c r="I153" t="s">
        <v>491</v>
      </c>
      <c r="J153" s="3">
        <v>46295</v>
      </c>
      <c r="K153" t="s">
        <v>421</v>
      </c>
      <c r="L153" t="s">
        <v>139</v>
      </c>
      <c r="N153" t="s">
        <v>535</v>
      </c>
      <c r="O153" t="s">
        <v>162</v>
      </c>
      <c r="P153" t="s">
        <v>1180</v>
      </c>
      <c r="Q153" t="s">
        <v>536</v>
      </c>
      <c r="S153" t="s">
        <v>144</v>
      </c>
      <c r="T153" t="s">
        <v>537</v>
      </c>
      <c r="V153" t="s">
        <v>538</v>
      </c>
      <c r="W153" t="s">
        <v>40</v>
      </c>
      <c r="X153" s="6" t="s">
        <v>539</v>
      </c>
      <c r="Y153" s="6"/>
      <c r="Z153" t="s">
        <v>148</v>
      </c>
      <c r="AA153" t="s">
        <v>205</v>
      </c>
      <c r="AC153" t="s">
        <v>150</v>
      </c>
      <c r="AD153" s="6" t="s">
        <v>1181</v>
      </c>
      <c r="AE153" t="s">
        <v>1182</v>
      </c>
      <c r="AF153" s="3">
        <v>34510</v>
      </c>
      <c r="AG153">
        <v>32</v>
      </c>
      <c r="AH153" t="b">
        <v>0</v>
      </c>
      <c r="AI153" t="b">
        <v>1</v>
      </c>
      <c r="AJ153" s="6" t="s">
        <v>540</v>
      </c>
      <c r="AK153" s="6" t="s">
        <v>171</v>
      </c>
      <c r="AL153" t="b">
        <v>0</v>
      </c>
      <c r="AM153" s="6"/>
      <c r="AN153" s="6"/>
      <c r="AP153" t="b">
        <v>0</v>
      </c>
      <c r="AQ153" s="6"/>
      <c r="AR153" s="6"/>
      <c r="AT153" t="b">
        <v>0</v>
      </c>
      <c r="AU153" s="6"/>
      <c r="AV153" s="6"/>
      <c r="AX153" t="b">
        <v>0</v>
      </c>
      <c r="AY153" s="6"/>
      <c r="AZ153" s="6"/>
      <c r="BA153" t="b">
        <v>0</v>
      </c>
      <c r="BB153" s="6"/>
      <c r="BC153" t="b">
        <v>0</v>
      </c>
      <c r="BD153" s="6"/>
      <c r="BE153" s="6"/>
      <c r="BF153" t="b">
        <v>0</v>
      </c>
      <c r="BG153" s="6"/>
      <c r="BH153" t="b">
        <v>0</v>
      </c>
      <c r="BI153" s="6"/>
      <c r="BJ153" t="b">
        <v>0</v>
      </c>
      <c r="BL153" t="b">
        <v>0</v>
      </c>
      <c r="BM153" t="b">
        <v>0</v>
      </c>
      <c r="BN153" t="b">
        <v>0</v>
      </c>
      <c r="BO153" t="b">
        <v>1</v>
      </c>
      <c r="BQ153" t="b">
        <v>0</v>
      </c>
      <c r="BR153" s="6"/>
      <c r="BT153" t="b">
        <v>0</v>
      </c>
      <c r="BU153" t="s">
        <v>1112</v>
      </c>
      <c r="BV153" t="s">
        <v>504</v>
      </c>
      <c r="BW153" t="s">
        <v>154</v>
      </c>
      <c r="BX153" t="s">
        <v>1183</v>
      </c>
      <c r="BY153" s="6" t="s">
        <v>542</v>
      </c>
      <c r="BZ153">
        <v>1</v>
      </c>
      <c r="CA153" t="s">
        <v>157</v>
      </c>
      <c r="CB153" s="7">
        <v>46315.0537962963</v>
      </c>
    </row>
    <row r="154" spans="1:80">
      <c r="A154" s="6" t="s">
        <v>1184</v>
      </c>
      <c r="B154" t="s">
        <v>491</v>
      </c>
      <c r="C154" s="6" t="s">
        <v>1103</v>
      </c>
      <c r="D154" s="6"/>
      <c r="E154" t="s">
        <v>1104</v>
      </c>
      <c r="F154" t="s">
        <v>1105</v>
      </c>
      <c r="G154" s="6">
        <v>21</v>
      </c>
      <c r="H154" s="6"/>
      <c r="I154" t="s">
        <v>491</v>
      </c>
      <c r="J154" s="3">
        <v>46295</v>
      </c>
      <c r="K154" t="s">
        <v>421</v>
      </c>
      <c r="L154" t="s">
        <v>139</v>
      </c>
      <c r="N154" t="s">
        <v>422</v>
      </c>
      <c r="O154" t="s">
        <v>371</v>
      </c>
      <c r="P154" t="s">
        <v>163</v>
      </c>
      <c r="Q154" t="s">
        <v>423</v>
      </c>
      <c r="S154" t="s">
        <v>144</v>
      </c>
      <c r="T154" t="s">
        <v>645</v>
      </c>
      <c r="V154" t="s">
        <v>646</v>
      </c>
      <c r="W154" t="s">
        <v>40</v>
      </c>
      <c r="X154" s="6" t="s">
        <v>647</v>
      </c>
      <c r="Y154" s="6"/>
      <c r="Z154" t="s">
        <v>148</v>
      </c>
      <c r="AA154" t="s">
        <v>149</v>
      </c>
      <c r="AC154" t="s">
        <v>150</v>
      </c>
      <c r="AD154" s="6" t="s">
        <v>1185</v>
      </c>
      <c r="AE154" t="s">
        <v>1186</v>
      </c>
      <c r="AF154" s="3">
        <v>24586</v>
      </c>
      <c r="AG154">
        <v>59</v>
      </c>
      <c r="AH154" t="b">
        <v>0</v>
      </c>
      <c r="AI154" t="b">
        <v>1</v>
      </c>
      <c r="AJ154" s="6" t="s">
        <v>427</v>
      </c>
      <c r="AK154" s="6" t="s">
        <v>171</v>
      </c>
      <c r="AL154" t="b">
        <v>0</v>
      </c>
      <c r="AM154" s="6"/>
      <c r="AN154" s="6"/>
      <c r="AP154" t="b">
        <v>0</v>
      </c>
      <c r="AQ154" s="6"/>
      <c r="AR154" s="6"/>
      <c r="AT154" t="b">
        <v>0</v>
      </c>
      <c r="AU154" s="6"/>
      <c r="AV154" s="6"/>
      <c r="AX154" t="b">
        <v>0</v>
      </c>
      <c r="AY154" s="6"/>
      <c r="AZ154" s="6"/>
      <c r="BA154" t="b">
        <v>0</v>
      </c>
      <c r="BB154" s="6"/>
      <c r="BC154" t="b">
        <v>0</v>
      </c>
      <c r="BD154" s="6"/>
      <c r="BE154" s="6"/>
      <c r="BF154" t="b">
        <v>0</v>
      </c>
      <c r="BG154" s="6"/>
      <c r="BH154" t="b">
        <v>0</v>
      </c>
      <c r="BI154" s="6"/>
      <c r="BJ154" t="b">
        <v>0</v>
      </c>
      <c r="BL154" t="b">
        <v>0</v>
      </c>
      <c r="BM154" t="b">
        <v>0</v>
      </c>
      <c r="BN154" t="b">
        <v>0</v>
      </c>
      <c r="BO154" t="b">
        <v>1</v>
      </c>
      <c r="BQ154" t="b">
        <v>0</v>
      </c>
      <c r="BR154" s="6"/>
      <c r="BT154" t="b">
        <v>0</v>
      </c>
      <c r="BU154" t="s">
        <v>1112</v>
      </c>
      <c r="BV154" t="s">
        <v>504</v>
      </c>
      <c r="BW154" t="s">
        <v>154</v>
      </c>
      <c r="BX154" t="s">
        <v>45</v>
      </c>
      <c r="BY154" s="6" t="s">
        <v>429</v>
      </c>
      <c r="BZ154">
        <v>1</v>
      </c>
      <c r="CA154" t="s">
        <v>157</v>
      </c>
      <c r="CB154" s="7">
        <v>46315.0537962963</v>
      </c>
    </row>
    <row r="155" spans="1:80">
      <c r="A155" s="6" t="s">
        <v>1187</v>
      </c>
      <c r="B155" t="s">
        <v>491</v>
      </c>
      <c r="C155" s="6" t="s">
        <v>1103</v>
      </c>
      <c r="D155" s="6"/>
      <c r="E155" t="s">
        <v>1104</v>
      </c>
      <c r="F155" t="s">
        <v>1105</v>
      </c>
      <c r="G155" s="6">
        <v>22</v>
      </c>
      <c r="H155" s="6"/>
      <c r="I155" t="s">
        <v>491</v>
      </c>
      <c r="J155" s="3">
        <v>46295</v>
      </c>
      <c r="K155" t="s">
        <v>421</v>
      </c>
      <c r="L155" t="s">
        <v>139</v>
      </c>
      <c r="N155" t="s">
        <v>188</v>
      </c>
      <c r="O155" t="s">
        <v>1188</v>
      </c>
      <c r="P155" t="s">
        <v>189</v>
      </c>
      <c r="Q155" t="s">
        <v>190</v>
      </c>
      <c r="S155" t="s">
        <v>144</v>
      </c>
      <c r="T155" t="s">
        <v>191</v>
      </c>
      <c r="V155" t="s">
        <v>192</v>
      </c>
      <c r="W155" t="s">
        <v>38</v>
      </c>
      <c r="X155" s="6" t="s">
        <v>193</v>
      </c>
      <c r="Y155" s="6"/>
      <c r="Z155" t="s">
        <v>148</v>
      </c>
      <c r="AA155" t="s">
        <v>149</v>
      </c>
      <c r="AC155" t="s">
        <v>150</v>
      </c>
      <c r="AD155" s="6" t="s">
        <v>1189</v>
      </c>
      <c r="AE155" t="s">
        <v>1190</v>
      </c>
      <c r="AF155" s="3">
        <v>27063</v>
      </c>
      <c r="AG155">
        <v>52</v>
      </c>
      <c r="AH155" t="b">
        <v>0</v>
      </c>
      <c r="AI155" t="b">
        <v>1</v>
      </c>
      <c r="AJ155" s="6" t="s">
        <v>715</v>
      </c>
      <c r="AK155" s="6" t="s">
        <v>171</v>
      </c>
      <c r="AL155" t="b">
        <v>0</v>
      </c>
      <c r="AM155" s="6"/>
      <c r="AN155" s="6"/>
      <c r="AP155" t="b">
        <v>0</v>
      </c>
      <c r="AQ155" s="6"/>
      <c r="AR155" s="6"/>
      <c r="AT155" t="b">
        <v>0</v>
      </c>
      <c r="AU155" s="6"/>
      <c r="AV155" s="6"/>
      <c r="AX155" t="b">
        <v>0</v>
      </c>
      <c r="AY155" s="6"/>
      <c r="AZ155" s="6"/>
      <c r="BA155" t="b">
        <v>0</v>
      </c>
      <c r="BB155" s="6"/>
      <c r="BC155" t="b">
        <v>0</v>
      </c>
      <c r="BD155" s="6"/>
      <c r="BE155" s="6"/>
      <c r="BF155" t="b">
        <v>0</v>
      </c>
      <c r="BG155" s="6"/>
      <c r="BH155" t="b">
        <v>0</v>
      </c>
      <c r="BI155" s="6"/>
      <c r="BJ155" t="b">
        <v>0</v>
      </c>
      <c r="BL155" t="b">
        <v>0</v>
      </c>
      <c r="BM155" t="b">
        <v>0</v>
      </c>
      <c r="BN155" t="b">
        <v>0</v>
      </c>
      <c r="BO155" t="b">
        <v>1</v>
      </c>
      <c r="BQ155" t="b">
        <v>0</v>
      </c>
      <c r="BR155" s="6"/>
      <c r="BT155" t="b">
        <v>0</v>
      </c>
      <c r="BU155" t="s">
        <v>1112</v>
      </c>
      <c r="BV155" t="s">
        <v>504</v>
      </c>
      <c r="BW155" t="s">
        <v>154</v>
      </c>
      <c r="BX155" t="s">
        <v>45</v>
      </c>
      <c r="BY155" s="6" t="s">
        <v>195</v>
      </c>
      <c r="BZ155">
        <v>1</v>
      </c>
      <c r="CA155" t="s">
        <v>157</v>
      </c>
      <c r="CB155" s="7">
        <v>46315.0537962963</v>
      </c>
    </row>
    <row r="156" spans="1:80">
      <c r="A156" s="6" t="s">
        <v>1191</v>
      </c>
      <c r="B156" t="s">
        <v>491</v>
      </c>
      <c r="C156" s="6" t="s">
        <v>1103</v>
      </c>
      <c r="D156" s="6"/>
      <c r="E156" t="s">
        <v>1104</v>
      </c>
      <c r="F156" t="s">
        <v>1105</v>
      </c>
      <c r="G156" s="6">
        <v>23</v>
      </c>
      <c r="H156" s="6"/>
      <c r="I156" t="s">
        <v>491</v>
      </c>
      <c r="J156" s="3">
        <v>46295</v>
      </c>
      <c r="K156" t="s">
        <v>421</v>
      </c>
      <c r="L156" t="s">
        <v>139</v>
      </c>
      <c r="N156" t="s">
        <v>331</v>
      </c>
      <c r="O156" t="s">
        <v>1192</v>
      </c>
      <c r="P156" t="s">
        <v>142</v>
      </c>
      <c r="Q156" t="s">
        <v>332</v>
      </c>
      <c r="S156" t="s">
        <v>144</v>
      </c>
      <c r="T156" t="s">
        <v>333</v>
      </c>
      <c r="V156" t="s">
        <v>334</v>
      </c>
      <c r="W156" t="s">
        <v>33</v>
      </c>
      <c r="X156" s="6" t="s">
        <v>335</v>
      </c>
      <c r="Y156" s="6"/>
      <c r="Z156" t="s">
        <v>148</v>
      </c>
      <c r="AA156" t="s">
        <v>149</v>
      </c>
      <c r="AC156" t="s">
        <v>150</v>
      </c>
      <c r="AD156" s="6" t="s">
        <v>346</v>
      </c>
      <c r="AE156" t="s">
        <v>347</v>
      </c>
      <c r="AF156" s="3">
        <v>31194</v>
      </c>
      <c r="AG156">
        <v>41</v>
      </c>
      <c r="AH156" t="b">
        <v>0</v>
      </c>
      <c r="AI156" t="b">
        <v>1</v>
      </c>
      <c r="AJ156" s="6" t="s">
        <v>348</v>
      </c>
      <c r="AK156" s="6" t="s">
        <v>171</v>
      </c>
      <c r="AL156" t="b">
        <v>0</v>
      </c>
      <c r="AM156" s="6"/>
      <c r="AN156" s="6"/>
      <c r="AP156" t="b">
        <v>0</v>
      </c>
      <c r="AQ156" s="6"/>
      <c r="AR156" s="6"/>
      <c r="AT156" t="b">
        <v>0</v>
      </c>
      <c r="AU156" s="6"/>
      <c r="AV156" s="6"/>
      <c r="AX156" t="b">
        <v>0</v>
      </c>
      <c r="AY156" s="6"/>
      <c r="AZ156" s="6"/>
      <c r="BA156" t="b">
        <v>0</v>
      </c>
      <c r="BB156" s="6"/>
      <c r="BC156" t="b">
        <v>0</v>
      </c>
      <c r="BD156" s="6"/>
      <c r="BE156" s="6"/>
      <c r="BF156" t="b">
        <v>0</v>
      </c>
      <c r="BG156" s="6"/>
      <c r="BH156" t="b">
        <v>0</v>
      </c>
      <c r="BI156" s="6"/>
      <c r="BJ156" t="b">
        <v>0</v>
      </c>
      <c r="BL156" t="b">
        <v>0</v>
      </c>
      <c r="BM156" t="b">
        <v>0</v>
      </c>
      <c r="BN156" t="b">
        <v>0</v>
      </c>
      <c r="BO156" t="b">
        <v>1</v>
      </c>
      <c r="BQ156" t="b">
        <v>0</v>
      </c>
      <c r="BR156" s="6"/>
      <c r="BT156" t="b">
        <v>0</v>
      </c>
      <c r="BU156" t="s">
        <v>1112</v>
      </c>
      <c r="BV156" t="s">
        <v>504</v>
      </c>
      <c r="BW156" t="s">
        <v>154</v>
      </c>
      <c r="BX156" t="s">
        <v>1193</v>
      </c>
      <c r="BY156" s="6" t="s">
        <v>336</v>
      </c>
      <c r="BZ156">
        <v>1</v>
      </c>
      <c r="CA156" t="s">
        <v>157</v>
      </c>
      <c r="CB156" s="7">
        <v>46315.0537962963</v>
      </c>
    </row>
    <row r="157" spans="1:80">
      <c r="A157" s="6" t="s">
        <v>1194</v>
      </c>
      <c r="B157" t="s">
        <v>491</v>
      </c>
      <c r="C157" s="6" t="s">
        <v>1103</v>
      </c>
      <c r="D157" s="6"/>
      <c r="E157" t="s">
        <v>1104</v>
      </c>
      <c r="F157" t="s">
        <v>1105</v>
      </c>
      <c r="G157" s="6">
        <v>24</v>
      </c>
      <c r="H157" s="6"/>
      <c r="I157" t="s">
        <v>491</v>
      </c>
      <c r="J157" s="3">
        <v>46295</v>
      </c>
      <c r="K157" t="s">
        <v>421</v>
      </c>
      <c r="L157" t="s">
        <v>139</v>
      </c>
      <c r="N157" t="s">
        <v>468</v>
      </c>
      <c r="O157" t="s">
        <v>468</v>
      </c>
      <c r="P157" t="s">
        <v>163</v>
      </c>
      <c r="Q157" t="s">
        <v>469</v>
      </c>
      <c r="S157" t="s">
        <v>144</v>
      </c>
      <c r="T157" t="s">
        <v>470</v>
      </c>
      <c r="V157" t="s">
        <v>471</v>
      </c>
      <c r="W157" t="s">
        <v>38</v>
      </c>
      <c r="X157" s="6" t="s">
        <v>472</v>
      </c>
      <c r="Y157" s="6"/>
      <c r="Z157" t="s">
        <v>148</v>
      </c>
      <c r="AA157" t="s">
        <v>149</v>
      </c>
      <c r="AC157" t="s">
        <v>150</v>
      </c>
      <c r="AD157" s="6" t="s">
        <v>1004</v>
      </c>
      <c r="AE157" t="s">
        <v>1195</v>
      </c>
      <c r="AF157" s="3">
        <v>35923</v>
      </c>
      <c r="AG157">
        <v>28</v>
      </c>
      <c r="AH157" t="b">
        <v>0</v>
      </c>
      <c r="AI157" t="b">
        <v>1</v>
      </c>
      <c r="AJ157" s="6" t="s">
        <v>473</v>
      </c>
      <c r="AK157" s="6" t="s">
        <v>171</v>
      </c>
      <c r="AL157" t="b">
        <v>0</v>
      </c>
      <c r="AM157" s="6"/>
      <c r="AN157" s="6"/>
      <c r="AP157" t="b">
        <v>0</v>
      </c>
      <c r="AQ157" s="6"/>
      <c r="AR157" s="6"/>
      <c r="AT157" t="b">
        <v>0</v>
      </c>
      <c r="AU157" s="6"/>
      <c r="AV157" s="6"/>
      <c r="AX157" t="b">
        <v>0</v>
      </c>
      <c r="AY157" s="6"/>
      <c r="AZ157" s="6"/>
      <c r="BA157" t="b">
        <v>0</v>
      </c>
      <c r="BB157" s="6"/>
      <c r="BC157" t="b">
        <v>0</v>
      </c>
      <c r="BD157" s="6"/>
      <c r="BE157" s="6"/>
      <c r="BF157" t="b">
        <v>0</v>
      </c>
      <c r="BG157" s="6"/>
      <c r="BH157" t="b">
        <v>0</v>
      </c>
      <c r="BI157" s="6"/>
      <c r="BJ157" t="b">
        <v>0</v>
      </c>
      <c r="BL157" t="b">
        <v>0</v>
      </c>
      <c r="BM157" t="b">
        <v>0</v>
      </c>
      <c r="BN157" t="b">
        <v>0</v>
      </c>
      <c r="BO157" t="b">
        <v>1</v>
      </c>
      <c r="BQ157" t="b">
        <v>0</v>
      </c>
      <c r="BR157" s="6"/>
      <c r="BT157" t="b">
        <v>0</v>
      </c>
      <c r="BU157" t="s">
        <v>1112</v>
      </c>
      <c r="BV157" t="s">
        <v>504</v>
      </c>
      <c r="BW157" t="s">
        <v>154</v>
      </c>
      <c r="BX157" t="s">
        <v>45</v>
      </c>
      <c r="BY157" s="6" t="s">
        <v>475</v>
      </c>
      <c r="BZ157">
        <v>1</v>
      </c>
      <c r="CA157" t="s">
        <v>157</v>
      </c>
      <c r="CB157" s="7">
        <v>46315.0537962963</v>
      </c>
    </row>
    <row r="158" spans="1:80">
      <c r="A158" s="6" t="s">
        <v>1196</v>
      </c>
      <c r="B158" t="s">
        <v>491</v>
      </c>
      <c r="C158" s="6" t="s">
        <v>1103</v>
      </c>
      <c r="D158" s="6"/>
      <c r="E158" t="s">
        <v>1104</v>
      </c>
      <c r="F158" t="s">
        <v>1105</v>
      </c>
      <c r="G158" s="6">
        <v>25</v>
      </c>
      <c r="H158" s="6"/>
      <c r="I158" t="s">
        <v>491</v>
      </c>
      <c r="J158" s="3">
        <v>46295</v>
      </c>
      <c r="K158" t="s">
        <v>421</v>
      </c>
      <c r="L158" t="s">
        <v>139</v>
      </c>
      <c r="N158" t="s">
        <v>592</v>
      </c>
      <c r="Q158" t="s">
        <v>593</v>
      </c>
      <c r="S158" t="s">
        <v>144</v>
      </c>
      <c r="T158" t="s">
        <v>594</v>
      </c>
      <c r="V158" t="s">
        <v>595</v>
      </c>
      <c r="W158" t="s">
        <v>37</v>
      </c>
      <c r="X158" s="6" t="s">
        <v>596</v>
      </c>
      <c r="Y158" s="6"/>
      <c r="Z158" t="s">
        <v>148</v>
      </c>
      <c r="AA158" t="s">
        <v>205</v>
      </c>
      <c r="AC158" t="s">
        <v>150</v>
      </c>
      <c r="AD158" s="6" t="s">
        <v>1045</v>
      </c>
      <c r="AE158" t="s">
        <v>1197</v>
      </c>
      <c r="AF158" s="3">
        <v>37086</v>
      </c>
      <c r="AG158">
        <v>25</v>
      </c>
      <c r="AH158" t="b">
        <v>0</v>
      </c>
      <c r="AI158" t="b">
        <v>1</v>
      </c>
      <c r="AJ158" s="6" t="s">
        <v>597</v>
      </c>
      <c r="AK158" s="6" t="s">
        <v>171</v>
      </c>
      <c r="AL158" t="b">
        <v>0</v>
      </c>
      <c r="AM158" s="6"/>
      <c r="AN158" s="6"/>
      <c r="AP158" t="b">
        <v>0</v>
      </c>
      <c r="AQ158" s="6"/>
      <c r="AR158" s="6"/>
      <c r="AT158" t="b">
        <v>0</v>
      </c>
      <c r="AU158" s="6"/>
      <c r="AV158" s="6"/>
      <c r="AX158" t="b">
        <v>0</v>
      </c>
      <c r="AY158" s="6"/>
      <c r="AZ158" s="6"/>
      <c r="BA158" t="b">
        <v>0</v>
      </c>
      <c r="BB158" s="6"/>
      <c r="BC158" t="b">
        <v>0</v>
      </c>
      <c r="BD158" s="6"/>
      <c r="BE158" s="6"/>
      <c r="BF158" t="b">
        <v>0</v>
      </c>
      <c r="BG158" s="6"/>
      <c r="BH158" t="b">
        <v>0</v>
      </c>
      <c r="BI158" s="6"/>
      <c r="BJ158" t="b">
        <v>0</v>
      </c>
      <c r="BL158" t="b">
        <v>0</v>
      </c>
      <c r="BM158" t="b">
        <v>0</v>
      </c>
      <c r="BN158" t="b">
        <v>0</v>
      </c>
      <c r="BO158" t="b">
        <v>1</v>
      </c>
      <c r="BQ158" t="b">
        <v>0</v>
      </c>
      <c r="BR158" s="6"/>
      <c r="BT158" t="b">
        <v>0</v>
      </c>
      <c r="BU158" t="s">
        <v>1112</v>
      </c>
      <c r="BV158" t="s">
        <v>504</v>
      </c>
      <c r="BW158" t="s">
        <v>154</v>
      </c>
      <c r="BX158" t="s">
        <v>43</v>
      </c>
      <c r="BY158" s="6" t="s">
        <v>599</v>
      </c>
      <c r="BZ158">
        <v>1</v>
      </c>
      <c r="CA158" t="s">
        <v>157</v>
      </c>
      <c r="CB158" s="7">
        <v>46315.0537962963</v>
      </c>
    </row>
    <row r="159" spans="1:80">
      <c r="A159" s="6" t="s">
        <v>1198</v>
      </c>
      <c r="B159" t="s">
        <v>491</v>
      </c>
      <c r="C159" s="6" t="s">
        <v>1103</v>
      </c>
      <c r="D159" s="6"/>
      <c r="E159" t="s">
        <v>1104</v>
      </c>
      <c r="F159" t="s">
        <v>1105</v>
      </c>
      <c r="G159" s="6">
        <v>26</v>
      </c>
      <c r="H159" s="6"/>
      <c r="I159" t="s">
        <v>491</v>
      </c>
      <c r="J159" s="3">
        <v>46295</v>
      </c>
      <c r="K159" t="s">
        <v>421</v>
      </c>
      <c r="L159" t="s">
        <v>139</v>
      </c>
      <c r="N159" t="s">
        <v>694</v>
      </c>
      <c r="O159" t="s">
        <v>1199</v>
      </c>
      <c r="P159" t="s">
        <v>1200</v>
      </c>
      <c r="Q159" t="s">
        <v>695</v>
      </c>
      <c r="S159" t="s">
        <v>144</v>
      </c>
      <c r="T159" t="s">
        <v>696</v>
      </c>
      <c r="V159" t="s">
        <v>697</v>
      </c>
      <c r="W159" t="s">
        <v>40</v>
      </c>
      <c r="X159" s="6" t="s">
        <v>698</v>
      </c>
      <c r="Y159" s="6"/>
      <c r="Z159" t="s">
        <v>148</v>
      </c>
      <c r="AA159" t="s">
        <v>149</v>
      </c>
      <c r="AC159" t="s">
        <v>150</v>
      </c>
      <c r="AD159" s="6" t="s">
        <v>1201</v>
      </c>
      <c r="AE159" t="s">
        <v>1202</v>
      </c>
      <c r="AF159" s="3">
        <v>25058</v>
      </c>
      <c r="AG159">
        <v>58</v>
      </c>
      <c r="AH159" t="b">
        <v>0</v>
      </c>
      <c r="AI159" t="b">
        <v>1</v>
      </c>
      <c r="AJ159" s="6" t="s">
        <v>699</v>
      </c>
      <c r="AK159" s="6" t="s">
        <v>171</v>
      </c>
      <c r="AL159" t="b">
        <v>0</v>
      </c>
      <c r="AM159" s="6"/>
      <c r="AN159" s="6"/>
      <c r="AP159" t="b">
        <v>0</v>
      </c>
      <c r="AQ159" s="6"/>
      <c r="AR159" s="6"/>
      <c r="AT159" t="b">
        <v>0</v>
      </c>
      <c r="AU159" s="6"/>
      <c r="AV159" s="6"/>
      <c r="AX159" t="b">
        <v>0</v>
      </c>
      <c r="AY159" s="6"/>
      <c r="AZ159" s="6"/>
      <c r="BA159" t="b">
        <v>0</v>
      </c>
      <c r="BB159" s="6"/>
      <c r="BC159" t="b">
        <v>0</v>
      </c>
      <c r="BD159" s="6"/>
      <c r="BE159" s="6"/>
      <c r="BF159" t="b">
        <v>0</v>
      </c>
      <c r="BG159" s="6"/>
      <c r="BH159" t="b">
        <v>0</v>
      </c>
      <c r="BI159" s="6"/>
      <c r="BJ159" t="b">
        <v>0</v>
      </c>
      <c r="BL159" t="b">
        <v>0</v>
      </c>
      <c r="BM159" t="b">
        <v>0</v>
      </c>
      <c r="BN159" t="b">
        <v>0</v>
      </c>
      <c r="BO159" t="b">
        <v>1</v>
      </c>
      <c r="BQ159" t="b">
        <v>0</v>
      </c>
      <c r="BR159" s="6"/>
      <c r="BT159" t="b">
        <v>0</v>
      </c>
      <c r="BU159" t="s">
        <v>1112</v>
      </c>
      <c r="BV159" t="s">
        <v>504</v>
      </c>
      <c r="BW159" t="s">
        <v>154</v>
      </c>
      <c r="BX159" t="s">
        <v>45</v>
      </c>
      <c r="BY159" s="6" t="s">
        <v>701</v>
      </c>
      <c r="BZ159">
        <v>1</v>
      </c>
      <c r="CA159" t="s">
        <v>157</v>
      </c>
      <c r="CB159" s="7">
        <v>46315.0537962963</v>
      </c>
    </row>
    <row r="160" spans="1:80">
      <c r="A160" s="6" t="s">
        <v>1203</v>
      </c>
      <c r="B160" t="s">
        <v>491</v>
      </c>
      <c r="C160" s="6" t="s">
        <v>1103</v>
      </c>
      <c r="D160" s="6"/>
      <c r="E160" t="s">
        <v>1104</v>
      </c>
      <c r="F160" t="s">
        <v>1105</v>
      </c>
      <c r="G160" s="6">
        <v>27</v>
      </c>
      <c r="H160" s="6"/>
      <c r="I160" t="s">
        <v>491</v>
      </c>
      <c r="J160" s="3">
        <v>46295</v>
      </c>
      <c r="K160" t="s">
        <v>421</v>
      </c>
      <c r="L160" t="s">
        <v>139</v>
      </c>
      <c r="N160" t="s">
        <v>162</v>
      </c>
      <c r="O160" t="s">
        <v>1204</v>
      </c>
      <c r="P160" t="s">
        <v>163</v>
      </c>
      <c r="Q160" t="s">
        <v>164</v>
      </c>
      <c r="S160" t="s">
        <v>144</v>
      </c>
      <c r="T160" t="s">
        <v>165</v>
      </c>
      <c r="V160" t="s">
        <v>166</v>
      </c>
      <c r="W160" t="s">
        <v>38</v>
      </c>
      <c r="X160" s="6" t="s">
        <v>167</v>
      </c>
      <c r="Y160" s="6"/>
      <c r="Z160" t="s">
        <v>148</v>
      </c>
      <c r="AA160" t="s">
        <v>149</v>
      </c>
      <c r="AC160" t="s">
        <v>150</v>
      </c>
      <c r="AD160" s="6" t="s">
        <v>899</v>
      </c>
      <c r="AE160" t="s">
        <v>1205</v>
      </c>
      <c r="AF160" s="3">
        <v>35582</v>
      </c>
      <c r="AG160">
        <v>29</v>
      </c>
      <c r="AH160" t="b">
        <v>0</v>
      </c>
      <c r="AI160" t="b">
        <v>1</v>
      </c>
      <c r="AJ160" s="6" t="s">
        <v>1206</v>
      </c>
      <c r="AK160" s="6" t="s">
        <v>171</v>
      </c>
      <c r="AL160" t="b">
        <v>0</v>
      </c>
      <c r="AM160" s="6"/>
      <c r="AN160" s="6"/>
      <c r="AP160" t="b">
        <v>0</v>
      </c>
      <c r="AQ160" s="6"/>
      <c r="AR160" s="6"/>
      <c r="AT160" t="b">
        <v>0</v>
      </c>
      <c r="AU160" s="6"/>
      <c r="AV160" s="6"/>
      <c r="AX160" t="b">
        <v>0</v>
      </c>
      <c r="AY160" s="6"/>
      <c r="AZ160" s="6"/>
      <c r="BA160" t="b">
        <v>0</v>
      </c>
      <c r="BB160" s="6"/>
      <c r="BC160" t="b">
        <v>0</v>
      </c>
      <c r="BD160" s="6"/>
      <c r="BE160" s="6"/>
      <c r="BF160" t="b">
        <v>0</v>
      </c>
      <c r="BG160" s="6"/>
      <c r="BH160" t="b">
        <v>0</v>
      </c>
      <c r="BI160" s="6"/>
      <c r="BJ160" t="b">
        <v>0</v>
      </c>
      <c r="BL160" t="b">
        <v>0</v>
      </c>
      <c r="BM160" t="b">
        <v>0</v>
      </c>
      <c r="BN160" t="b">
        <v>0</v>
      </c>
      <c r="BO160" t="b">
        <v>1</v>
      </c>
      <c r="BQ160" t="b">
        <v>0</v>
      </c>
      <c r="BR160" s="6"/>
      <c r="BT160" t="b">
        <v>0</v>
      </c>
      <c r="BU160" t="s">
        <v>1112</v>
      </c>
      <c r="BV160" t="s">
        <v>504</v>
      </c>
      <c r="BW160" t="s">
        <v>154</v>
      </c>
      <c r="BX160" t="s">
        <v>45</v>
      </c>
      <c r="BY160" s="6" t="s">
        <v>173</v>
      </c>
      <c r="BZ160">
        <v>1</v>
      </c>
      <c r="CA160" t="s">
        <v>157</v>
      </c>
      <c r="CB160" s="7">
        <v>46315.0537962963</v>
      </c>
    </row>
    <row r="161" spans="1:80">
      <c r="A161" s="6" t="s">
        <v>1207</v>
      </c>
      <c r="B161" t="s">
        <v>491</v>
      </c>
      <c r="C161" s="6" t="s">
        <v>1103</v>
      </c>
      <c r="D161" s="6"/>
      <c r="E161" t="s">
        <v>1104</v>
      </c>
      <c r="F161" t="s">
        <v>1105</v>
      </c>
      <c r="G161" s="6">
        <v>28</v>
      </c>
      <c r="H161" s="6"/>
      <c r="I161" t="s">
        <v>491</v>
      </c>
      <c r="J161" s="3">
        <v>46295</v>
      </c>
      <c r="K161" t="s">
        <v>421</v>
      </c>
      <c r="L161" t="s">
        <v>139</v>
      </c>
      <c r="N161" t="s">
        <v>371</v>
      </c>
      <c r="Q161" t="s">
        <v>372</v>
      </c>
      <c r="S161" t="s">
        <v>144</v>
      </c>
      <c r="T161" t="s">
        <v>373</v>
      </c>
      <c r="U161" t="s">
        <v>374</v>
      </c>
      <c r="V161" t="s">
        <v>375</v>
      </c>
      <c r="W161" t="s">
        <v>33</v>
      </c>
      <c r="X161" s="6" t="s">
        <v>376</v>
      </c>
      <c r="Y161" s="6"/>
      <c r="Z161" t="s">
        <v>148</v>
      </c>
      <c r="AA161" t="s">
        <v>149</v>
      </c>
      <c r="AC161" t="s">
        <v>150</v>
      </c>
      <c r="AD161" s="6" t="s">
        <v>377</v>
      </c>
      <c r="AE161" t="s">
        <v>378</v>
      </c>
      <c r="AF161" s="3">
        <v>23557</v>
      </c>
      <c r="AG161">
        <v>62</v>
      </c>
      <c r="AH161" t="b">
        <v>0</v>
      </c>
      <c r="AI161" t="b">
        <v>1</v>
      </c>
      <c r="AJ161" s="6" t="s">
        <v>379</v>
      </c>
      <c r="AK161" s="6" t="s">
        <v>171</v>
      </c>
      <c r="AL161" t="b">
        <v>0</v>
      </c>
      <c r="AM161" s="6"/>
      <c r="AN161" s="6"/>
      <c r="AP161" t="b">
        <v>0</v>
      </c>
      <c r="AQ161" s="6"/>
      <c r="AR161" s="6"/>
      <c r="AT161" t="b">
        <v>0</v>
      </c>
      <c r="AU161" s="6"/>
      <c r="AV161" s="6"/>
      <c r="AX161" t="b">
        <v>0</v>
      </c>
      <c r="AY161" s="6"/>
      <c r="AZ161" s="6"/>
      <c r="BA161" t="b">
        <v>0</v>
      </c>
      <c r="BB161" s="6"/>
      <c r="BC161" t="b">
        <v>0</v>
      </c>
      <c r="BD161" s="6"/>
      <c r="BE161" s="6"/>
      <c r="BF161" t="b">
        <v>0</v>
      </c>
      <c r="BG161" s="6"/>
      <c r="BH161" t="b">
        <v>0</v>
      </c>
      <c r="BI161" s="6"/>
      <c r="BJ161" t="b">
        <v>0</v>
      </c>
      <c r="BL161" t="b">
        <v>0</v>
      </c>
      <c r="BM161" t="b">
        <v>0</v>
      </c>
      <c r="BN161" t="b">
        <v>0</v>
      </c>
      <c r="BO161" t="b">
        <v>1</v>
      </c>
      <c r="BQ161" t="b">
        <v>0</v>
      </c>
      <c r="BR161" s="6"/>
      <c r="BT161" t="b">
        <v>0</v>
      </c>
      <c r="BU161" t="s">
        <v>1112</v>
      </c>
      <c r="BV161" t="s">
        <v>504</v>
      </c>
      <c r="BW161" t="s">
        <v>171</v>
      </c>
      <c r="BX161" t="s">
        <v>50</v>
      </c>
      <c r="BY161" s="6" t="s">
        <v>382</v>
      </c>
      <c r="BZ161">
        <v>1</v>
      </c>
      <c r="CB161" s="7">
        <v>46315.0537962963</v>
      </c>
    </row>
    <row r="162" spans="1:80">
      <c r="A162" s="6" t="s">
        <v>1208</v>
      </c>
      <c r="B162" t="s">
        <v>491</v>
      </c>
      <c r="C162" s="6" t="s">
        <v>1103</v>
      </c>
      <c r="D162" s="6"/>
      <c r="E162" t="s">
        <v>1104</v>
      </c>
      <c r="F162" t="s">
        <v>1105</v>
      </c>
      <c r="G162" s="6">
        <v>29</v>
      </c>
      <c r="H162" s="6"/>
      <c r="I162" t="s">
        <v>491</v>
      </c>
      <c r="J162" s="3">
        <v>46295</v>
      </c>
      <c r="K162" t="s">
        <v>421</v>
      </c>
      <c r="L162" t="s">
        <v>139</v>
      </c>
      <c r="N162" t="s">
        <v>507</v>
      </c>
      <c r="O162" t="s">
        <v>1209</v>
      </c>
      <c r="P162" t="s">
        <v>1180</v>
      </c>
      <c r="Q162" t="s">
        <v>508</v>
      </c>
      <c r="S162" t="s">
        <v>144</v>
      </c>
      <c r="T162" t="s">
        <v>509</v>
      </c>
      <c r="V162" t="s">
        <v>510</v>
      </c>
      <c r="W162" t="s">
        <v>37</v>
      </c>
      <c r="X162" s="6" t="s">
        <v>511</v>
      </c>
      <c r="Y162" s="6"/>
      <c r="Z162" t="s">
        <v>148</v>
      </c>
      <c r="AA162" t="s">
        <v>149</v>
      </c>
      <c r="AC162" t="s">
        <v>150</v>
      </c>
      <c r="AD162" s="6" t="s">
        <v>1210</v>
      </c>
      <c r="AE162" t="s">
        <v>1211</v>
      </c>
      <c r="AF162" s="3">
        <v>37605</v>
      </c>
      <c r="AG162">
        <v>23</v>
      </c>
      <c r="AH162" t="b">
        <v>0</v>
      </c>
      <c r="AI162" t="b">
        <v>1</v>
      </c>
      <c r="AJ162" s="6" t="s">
        <v>512</v>
      </c>
      <c r="AK162" s="6" t="s">
        <v>171</v>
      </c>
      <c r="AL162" t="b">
        <v>0</v>
      </c>
      <c r="AM162" s="6"/>
      <c r="AN162" s="6"/>
      <c r="AP162" t="b">
        <v>0</v>
      </c>
      <c r="AQ162" s="6"/>
      <c r="AR162" s="6"/>
      <c r="AT162" t="b">
        <v>0</v>
      </c>
      <c r="AU162" s="6"/>
      <c r="AV162" s="6"/>
      <c r="AX162" t="b">
        <v>0</v>
      </c>
      <c r="AY162" s="6"/>
      <c r="AZ162" s="6"/>
      <c r="BA162" t="b">
        <v>0</v>
      </c>
      <c r="BB162" s="6"/>
      <c r="BC162" t="b">
        <v>0</v>
      </c>
      <c r="BD162" s="6"/>
      <c r="BE162" s="6"/>
      <c r="BF162" t="b">
        <v>0</v>
      </c>
      <c r="BG162" s="6"/>
      <c r="BH162" t="b">
        <v>0</v>
      </c>
      <c r="BI162" s="6"/>
      <c r="BJ162" t="b">
        <v>0</v>
      </c>
      <c r="BL162" t="b">
        <v>0</v>
      </c>
      <c r="BM162" t="b">
        <v>0</v>
      </c>
      <c r="BN162" t="b">
        <v>0</v>
      </c>
      <c r="BO162" t="b">
        <v>1</v>
      </c>
      <c r="BQ162" t="b">
        <v>0</v>
      </c>
      <c r="BR162" s="6"/>
      <c r="BT162" t="b">
        <v>0</v>
      </c>
      <c r="BU162" t="s">
        <v>1112</v>
      </c>
      <c r="BV162" t="s">
        <v>504</v>
      </c>
      <c r="BW162" t="s">
        <v>154</v>
      </c>
      <c r="BX162" t="s">
        <v>1137</v>
      </c>
      <c r="BY162" s="6" t="s">
        <v>514</v>
      </c>
      <c r="BZ162">
        <v>1</v>
      </c>
      <c r="CA162" t="s">
        <v>157</v>
      </c>
      <c r="CB162" s="7">
        <v>46315.0537962963</v>
      </c>
    </row>
    <row r="163" spans="1:80">
      <c r="A163" s="6" t="s">
        <v>1212</v>
      </c>
      <c r="B163" t="s">
        <v>491</v>
      </c>
      <c r="C163" s="6" t="s">
        <v>1103</v>
      </c>
      <c r="D163" s="6"/>
      <c r="E163" t="s">
        <v>1104</v>
      </c>
      <c r="F163" t="s">
        <v>1105</v>
      </c>
      <c r="G163" s="6">
        <v>30</v>
      </c>
      <c r="H163" s="6"/>
      <c r="I163" t="s">
        <v>491</v>
      </c>
      <c r="J163" s="3">
        <v>46295</v>
      </c>
      <c r="K163" t="s">
        <v>421</v>
      </c>
      <c r="L163" t="s">
        <v>139</v>
      </c>
      <c r="N163" t="s">
        <v>667</v>
      </c>
      <c r="Q163" t="s">
        <v>668</v>
      </c>
      <c r="S163" t="s">
        <v>144</v>
      </c>
      <c r="T163" t="s">
        <v>669</v>
      </c>
      <c r="U163" t="s">
        <v>670</v>
      </c>
      <c r="V163" t="s">
        <v>671</v>
      </c>
      <c r="W163" t="s">
        <v>39</v>
      </c>
      <c r="X163" s="6" t="s">
        <v>672</v>
      </c>
      <c r="Y163" s="6"/>
      <c r="Z163" t="s">
        <v>148</v>
      </c>
      <c r="AA163" t="s">
        <v>149</v>
      </c>
      <c r="AC163" t="s">
        <v>150</v>
      </c>
      <c r="AD163" s="6" t="s">
        <v>1023</v>
      </c>
      <c r="AE163" t="s">
        <v>1213</v>
      </c>
      <c r="AF163" s="3">
        <v>35083</v>
      </c>
      <c r="AG163">
        <v>30</v>
      </c>
      <c r="AH163" t="b">
        <v>0</v>
      </c>
      <c r="AI163" t="b">
        <v>1</v>
      </c>
      <c r="AJ163" s="6" t="s">
        <v>673</v>
      </c>
      <c r="AK163" s="6" t="s">
        <v>171</v>
      </c>
      <c r="AL163" t="b">
        <v>0</v>
      </c>
      <c r="AM163" s="6"/>
      <c r="AN163" s="6"/>
      <c r="AP163" t="b">
        <v>0</v>
      </c>
      <c r="AQ163" s="6"/>
      <c r="AR163" s="6"/>
      <c r="AT163" t="b">
        <v>0</v>
      </c>
      <c r="AU163" s="6"/>
      <c r="AV163" s="6"/>
      <c r="AX163" t="b">
        <v>0</v>
      </c>
      <c r="AY163" s="6"/>
      <c r="AZ163" s="6"/>
      <c r="BA163" t="b">
        <v>0</v>
      </c>
      <c r="BB163" s="6"/>
      <c r="BC163" t="b">
        <v>0</v>
      </c>
      <c r="BD163" s="6"/>
      <c r="BE163" s="6"/>
      <c r="BF163" t="b">
        <v>0</v>
      </c>
      <c r="BG163" s="6"/>
      <c r="BH163" t="b">
        <v>0</v>
      </c>
      <c r="BI163" s="6"/>
      <c r="BJ163" t="b">
        <v>0</v>
      </c>
      <c r="BL163" t="b">
        <v>0</v>
      </c>
      <c r="BM163" t="b">
        <v>0</v>
      </c>
      <c r="BN163" t="b">
        <v>0</v>
      </c>
      <c r="BO163" t="b">
        <v>1</v>
      </c>
      <c r="BQ163" t="b">
        <v>0</v>
      </c>
      <c r="BR163" s="6"/>
      <c r="BT163" t="b">
        <v>0</v>
      </c>
      <c r="BU163" t="s">
        <v>1112</v>
      </c>
      <c r="BV163" t="s">
        <v>504</v>
      </c>
      <c r="BW163" t="s">
        <v>171</v>
      </c>
      <c r="BX163" t="s">
        <v>675</v>
      </c>
      <c r="BY163" s="6" t="s">
        <v>676</v>
      </c>
      <c r="BZ163">
        <v>1</v>
      </c>
      <c r="CB163" s="7">
        <v>46315.0537962963</v>
      </c>
    </row>
    <row r="164" spans="1:80">
      <c r="A164" s="6" t="s">
        <v>1214</v>
      </c>
      <c r="B164" t="s">
        <v>491</v>
      </c>
      <c r="C164" s="6" t="s">
        <v>1103</v>
      </c>
      <c r="D164" s="6"/>
      <c r="E164" t="s">
        <v>1104</v>
      </c>
      <c r="F164" t="s">
        <v>1105</v>
      </c>
      <c r="G164" s="6">
        <v>31</v>
      </c>
      <c r="H164" s="6"/>
      <c r="I164" t="s">
        <v>491</v>
      </c>
      <c r="J164" s="3">
        <v>46295</v>
      </c>
      <c r="K164" t="s">
        <v>421</v>
      </c>
      <c r="L164" t="s">
        <v>139</v>
      </c>
      <c r="N164" t="s">
        <v>458</v>
      </c>
      <c r="O164" t="s">
        <v>1215</v>
      </c>
      <c r="P164" t="s">
        <v>163</v>
      </c>
      <c r="Q164" t="s">
        <v>459</v>
      </c>
      <c r="S164" t="s">
        <v>144</v>
      </c>
      <c r="T164" t="s">
        <v>460</v>
      </c>
      <c r="V164" t="s">
        <v>461</v>
      </c>
      <c r="W164" t="s">
        <v>37</v>
      </c>
      <c r="X164" s="6" t="s">
        <v>462</v>
      </c>
      <c r="Y164" s="6"/>
      <c r="Z164" t="s">
        <v>148</v>
      </c>
      <c r="AA164" t="s">
        <v>149</v>
      </c>
      <c r="AC164" t="s">
        <v>150</v>
      </c>
      <c r="AD164" s="6" t="s">
        <v>1216</v>
      </c>
      <c r="AE164" t="s">
        <v>1217</v>
      </c>
      <c r="AF164" s="3">
        <v>22018</v>
      </c>
      <c r="AG164">
        <v>66</v>
      </c>
      <c r="AH164" t="b">
        <v>0</v>
      </c>
      <c r="AI164" t="b">
        <v>1</v>
      </c>
      <c r="AJ164" s="6" t="s">
        <v>463</v>
      </c>
      <c r="AK164" s="6" t="s">
        <v>171</v>
      </c>
      <c r="AL164" t="b">
        <v>0</v>
      </c>
      <c r="AM164" s="6"/>
      <c r="AN164" s="6"/>
      <c r="AP164" t="b">
        <v>0</v>
      </c>
      <c r="AQ164" s="6"/>
      <c r="AR164" s="6"/>
      <c r="AT164" t="b">
        <v>0</v>
      </c>
      <c r="AU164" s="6"/>
      <c r="AV164" s="6"/>
      <c r="AX164" t="b">
        <v>0</v>
      </c>
      <c r="AY164" s="6"/>
      <c r="AZ164" s="6"/>
      <c r="BA164" t="b">
        <v>0</v>
      </c>
      <c r="BB164" s="6"/>
      <c r="BC164" t="b">
        <v>0</v>
      </c>
      <c r="BD164" s="6"/>
      <c r="BE164" s="6"/>
      <c r="BF164" t="b">
        <v>0</v>
      </c>
      <c r="BG164" s="6"/>
      <c r="BH164" t="b">
        <v>0</v>
      </c>
      <c r="BI164" s="6"/>
      <c r="BJ164" t="b">
        <v>0</v>
      </c>
      <c r="BL164" t="b">
        <v>0</v>
      </c>
      <c r="BM164" t="b">
        <v>0</v>
      </c>
      <c r="BN164" t="b">
        <v>0</v>
      </c>
      <c r="BO164" t="b">
        <v>1</v>
      </c>
      <c r="BQ164" t="b">
        <v>0</v>
      </c>
      <c r="BR164" s="6"/>
      <c r="BT164" t="b">
        <v>0</v>
      </c>
      <c r="BU164" t="s">
        <v>1112</v>
      </c>
      <c r="BV164" t="s">
        <v>504</v>
      </c>
      <c r="BW164" t="s">
        <v>154</v>
      </c>
      <c r="BX164" t="s">
        <v>1218</v>
      </c>
      <c r="BY164" s="6" t="s">
        <v>464</v>
      </c>
      <c r="BZ164">
        <v>1</v>
      </c>
      <c r="CA164" t="s">
        <v>157</v>
      </c>
      <c r="CB164" s="7">
        <v>46315.0537962963</v>
      </c>
    </row>
    <row r="165" spans="1:80">
      <c r="A165" s="6" t="s">
        <v>1219</v>
      </c>
      <c r="B165" t="s">
        <v>491</v>
      </c>
      <c r="C165" s="6" t="s">
        <v>1103</v>
      </c>
      <c r="D165" s="6"/>
      <c r="E165" t="s">
        <v>1104</v>
      </c>
      <c r="F165" t="s">
        <v>1105</v>
      </c>
      <c r="G165" s="6">
        <v>33</v>
      </c>
      <c r="H165" s="6"/>
      <c r="I165" t="s">
        <v>491</v>
      </c>
      <c r="J165" s="3">
        <v>46295</v>
      </c>
      <c r="K165" t="s">
        <v>421</v>
      </c>
      <c r="L165" t="s">
        <v>139</v>
      </c>
      <c r="N165" t="s">
        <v>433</v>
      </c>
      <c r="O165" t="s">
        <v>1220</v>
      </c>
      <c r="P165" t="s">
        <v>434</v>
      </c>
      <c r="Q165" t="s">
        <v>435</v>
      </c>
      <c r="S165" t="s">
        <v>144</v>
      </c>
      <c r="T165" t="s">
        <v>436</v>
      </c>
      <c r="V165" t="s">
        <v>437</v>
      </c>
      <c r="W165" t="s">
        <v>40</v>
      </c>
      <c r="X165" s="6" t="s">
        <v>438</v>
      </c>
      <c r="Y165" s="6"/>
      <c r="Z165" t="s">
        <v>148</v>
      </c>
      <c r="AA165" t="s">
        <v>149</v>
      </c>
      <c r="AC165" t="s">
        <v>150</v>
      </c>
      <c r="AD165" s="6" t="s">
        <v>796</v>
      </c>
      <c r="AE165" t="s">
        <v>1221</v>
      </c>
      <c r="AF165" s="3">
        <v>27425</v>
      </c>
      <c r="AG165">
        <v>51</v>
      </c>
      <c r="AH165" t="b">
        <v>0</v>
      </c>
      <c r="AI165" t="b">
        <v>1</v>
      </c>
      <c r="AJ165" s="6" t="s">
        <v>439</v>
      </c>
      <c r="AK165" s="6" t="s">
        <v>171</v>
      </c>
      <c r="AL165" t="b">
        <v>0</v>
      </c>
      <c r="AM165" s="6"/>
      <c r="AN165" s="6"/>
      <c r="AP165" t="b">
        <v>0</v>
      </c>
      <c r="AQ165" s="6"/>
      <c r="AR165" s="6"/>
      <c r="AT165" t="b">
        <v>0</v>
      </c>
      <c r="AU165" s="6"/>
      <c r="AV165" s="6"/>
      <c r="AX165" t="b">
        <v>0</v>
      </c>
      <c r="AY165" s="6"/>
      <c r="AZ165" s="6"/>
      <c r="BA165" t="b">
        <v>0</v>
      </c>
      <c r="BB165" s="6"/>
      <c r="BC165" t="b">
        <v>0</v>
      </c>
      <c r="BD165" s="6"/>
      <c r="BE165" s="6"/>
      <c r="BF165" t="b">
        <v>0</v>
      </c>
      <c r="BG165" s="6"/>
      <c r="BH165" t="b">
        <v>0</v>
      </c>
      <c r="BI165" s="6"/>
      <c r="BJ165" t="b">
        <v>0</v>
      </c>
      <c r="BL165" t="b">
        <v>0</v>
      </c>
      <c r="BM165" t="b">
        <v>0</v>
      </c>
      <c r="BN165" t="b">
        <v>0</v>
      </c>
      <c r="BO165" t="b">
        <v>1</v>
      </c>
      <c r="BQ165" t="b">
        <v>0</v>
      </c>
      <c r="BR165" s="6"/>
      <c r="BT165" t="b">
        <v>0</v>
      </c>
      <c r="BU165" t="s">
        <v>1112</v>
      </c>
      <c r="BV165" t="s">
        <v>504</v>
      </c>
      <c r="BW165" t="s">
        <v>154</v>
      </c>
      <c r="BX165" t="s">
        <v>1137</v>
      </c>
      <c r="BY165" s="6" t="s">
        <v>440</v>
      </c>
      <c r="BZ165">
        <v>1</v>
      </c>
      <c r="CA165" t="s">
        <v>157</v>
      </c>
      <c r="CB165" s="7">
        <v>46315.0537962963</v>
      </c>
    </row>
    <row r="166" spans="1:80">
      <c r="A166" s="6" t="s">
        <v>1222</v>
      </c>
      <c r="B166" t="s">
        <v>491</v>
      </c>
      <c r="C166" s="6" t="s">
        <v>1103</v>
      </c>
      <c r="D166" s="6"/>
      <c r="E166" t="s">
        <v>1104</v>
      </c>
      <c r="F166" t="s">
        <v>1105</v>
      </c>
      <c r="G166" s="6">
        <v>34</v>
      </c>
      <c r="H166" s="6"/>
      <c r="I166" t="s">
        <v>491</v>
      </c>
      <c r="J166" s="3">
        <v>46295</v>
      </c>
      <c r="K166" t="s">
        <v>421</v>
      </c>
      <c r="L166" t="s">
        <v>139</v>
      </c>
      <c r="N166" t="s">
        <v>141</v>
      </c>
      <c r="O166" t="s">
        <v>1223</v>
      </c>
      <c r="P166" t="s">
        <v>142</v>
      </c>
      <c r="Q166" t="s">
        <v>143</v>
      </c>
      <c r="S166" t="s">
        <v>144</v>
      </c>
      <c r="T166" t="s">
        <v>145</v>
      </c>
      <c r="V166" t="s">
        <v>146</v>
      </c>
      <c r="W166" t="s">
        <v>33</v>
      </c>
      <c r="X166" s="6" t="s">
        <v>147</v>
      </c>
      <c r="Y166" s="6"/>
      <c r="Z166" t="s">
        <v>148</v>
      </c>
      <c r="AA166" t="s">
        <v>149</v>
      </c>
      <c r="AC166" t="s">
        <v>150</v>
      </c>
      <c r="AD166" s="6" t="s">
        <v>1224</v>
      </c>
      <c r="AE166" t="s">
        <v>1225</v>
      </c>
      <c r="AF166" s="3">
        <v>26808</v>
      </c>
      <c r="AG166">
        <v>53</v>
      </c>
      <c r="AH166" t="b">
        <v>0</v>
      </c>
      <c r="AI166" t="b">
        <v>1</v>
      </c>
      <c r="AJ166" s="6" t="s">
        <v>590</v>
      </c>
      <c r="AK166" s="6" t="s">
        <v>171</v>
      </c>
      <c r="AL166" t="b">
        <v>0</v>
      </c>
      <c r="AM166" s="6"/>
      <c r="AN166" s="6"/>
      <c r="AP166" t="b">
        <v>0</v>
      </c>
      <c r="AQ166" s="6"/>
      <c r="AR166" s="6"/>
      <c r="AT166" t="b">
        <v>0</v>
      </c>
      <c r="AU166" s="6"/>
      <c r="AV166" s="6"/>
      <c r="AX166" t="b">
        <v>0</v>
      </c>
      <c r="AY166" s="6"/>
      <c r="AZ166" s="6"/>
      <c r="BA166" t="b">
        <v>0</v>
      </c>
      <c r="BB166" s="6"/>
      <c r="BC166" t="b">
        <v>0</v>
      </c>
      <c r="BD166" s="6"/>
      <c r="BE166" s="6"/>
      <c r="BF166" t="b">
        <v>0</v>
      </c>
      <c r="BG166" s="6"/>
      <c r="BH166" t="b">
        <v>0</v>
      </c>
      <c r="BI166" s="6"/>
      <c r="BJ166" t="b">
        <v>0</v>
      </c>
      <c r="BL166" t="b">
        <v>0</v>
      </c>
      <c r="BM166" t="b">
        <v>0</v>
      </c>
      <c r="BN166" t="b">
        <v>0</v>
      </c>
      <c r="BO166" t="b">
        <v>1</v>
      </c>
      <c r="BQ166" t="b">
        <v>0</v>
      </c>
      <c r="BR166" s="6"/>
      <c r="BT166" t="b">
        <v>0</v>
      </c>
      <c r="BU166" t="s">
        <v>1112</v>
      </c>
      <c r="BV166" t="s">
        <v>504</v>
      </c>
      <c r="BW166" t="s">
        <v>154</v>
      </c>
      <c r="BX166" t="s">
        <v>1137</v>
      </c>
      <c r="BY166" s="6" t="s">
        <v>156</v>
      </c>
      <c r="BZ166">
        <v>1</v>
      </c>
      <c r="CA166" t="s">
        <v>157</v>
      </c>
      <c r="CB166" s="7">
        <v>46315.0537962963</v>
      </c>
    </row>
    <row r="167" spans="1:80">
      <c r="A167" s="6" t="s">
        <v>1226</v>
      </c>
      <c r="B167" t="s">
        <v>491</v>
      </c>
      <c r="C167" s="6" t="s">
        <v>1103</v>
      </c>
      <c r="D167" s="6"/>
      <c r="E167" t="s">
        <v>1104</v>
      </c>
      <c r="F167" t="s">
        <v>1105</v>
      </c>
      <c r="G167" s="6">
        <v>35</v>
      </c>
      <c r="H167" s="6"/>
      <c r="I167" t="s">
        <v>491</v>
      </c>
      <c r="J167" s="3">
        <v>46295</v>
      </c>
      <c r="K167" t="s">
        <v>421</v>
      </c>
      <c r="L167" t="s">
        <v>139</v>
      </c>
      <c r="N167" t="s">
        <v>331</v>
      </c>
      <c r="O167" t="s">
        <v>1227</v>
      </c>
      <c r="P167" t="s">
        <v>163</v>
      </c>
      <c r="Q167" t="s">
        <v>816</v>
      </c>
      <c r="S167" t="s">
        <v>144</v>
      </c>
      <c r="T167" t="s">
        <v>447</v>
      </c>
      <c r="V167" t="s">
        <v>203</v>
      </c>
      <c r="W167" t="s">
        <v>34</v>
      </c>
      <c r="X167" s="6" t="s">
        <v>448</v>
      </c>
      <c r="Y167" s="6"/>
      <c r="Z167" t="s">
        <v>148</v>
      </c>
      <c r="AA167" t="s">
        <v>149</v>
      </c>
      <c r="AC167" t="s">
        <v>150</v>
      </c>
      <c r="AD167" s="6" t="s">
        <v>1228</v>
      </c>
      <c r="AE167" t="s">
        <v>1229</v>
      </c>
      <c r="AF167" s="3">
        <v>22462</v>
      </c>
      <c r="AG167">
        <v>65</v>
      </c>
      <c r="AH167" t="b">
        <v>0</v>
      </c>
      <c r="AI167" t="b">
        <v>1</v>
      </c>
      <c r="AJ167" s="6" t="s">
        <v>1230</v>
      </c>
      <c r="AK167" s="6" t="s">
        <v>171</v>
      </c>
      <c r="AL167" t="b">
        <v>0</v>
      </c>
      <c r="AM167" s="6"/>
      <c r="AN167" s="6"/>
      <c r="AP167" t="b">
        <v>0</v>
      </c>
      <c r="AQ167" s="6"/>
      <c r="AR167" s="6"/>
      <c r="AT167" t="b">
        <v>0</v>
      </c>
      <c r="AU167" s="6"/>
      <c r="AV167" s="6"/>
      <c r="AX167" t="b">
        <v>0</v>
      </c>
      <c r="AY167" s="6"/>
      <c r="AZ167" s="6"/>
      <c r="BA167" t="b">
        <v>0</v>
      </c>
      <c r="BB167" s="6"/>
      <c r="BC167" t="b">
        <v>0</v>
      </c>
      <c r="BD167" s="6"/>
      <c r="BE167" s="6"/>
      <c r="BF167" t="b">
        <v>0</v>
      </c>
      <c r="BG167" s="6"/>
      <c r="BH167" t="b">
        <v>0</v>
      </c>
      <c r="BI167" s="6"/>
      <c r="BJ167" t="b">
        <v>0</v>
      </c>
      <c r="BL167" t="b">
        <v>0</v>
      </c>
      <c r="BM167" t="b">
        <v>0</v>
      </c>
      <c r="BN167" t="b">
        <v>0</v>
      </c>
      <c r="BO167" t="b">
        <v>1</v>
      </c>
      <c r="BQ167" t="b">
        <v>0</v>
      </c>
      <c r="BR167" s="6"/>
      <c r="BT167" t="b">
        <v>0</v>
      </c>
      <c r="BU167" t="s">
        <v>1112</v>
      </c>
      <c r="BV167" t="s">
        <v>504</v>
      </c>
      <c r="BW167" t="s">
        <v>154</v>
      </c>
      <c r="BX167" t="s">
        <v>45</v>
      </c>
      <c r="BY167" s="6" t="s">
        <v>1231</v>
      </c>
      <c r="BZ167">
        <v>1</v>
      </c>
      <c r="CA167" t="s">
        <v>157</v>
      </c>
      <c r="CB167" s="7">
        <v>46315.0537962963</v>
      </c>
    </row>
    <row r="168" spans="1:80">
      <c r="A168" s="6" t="s">
        <v>1232</v>
      </c>
      <c r="B168" t="s">
        <v>491</v>
      </c>
      <c r="C168" s="6" t="s">
        <v>1103</v>
      </c>
      <c r="D168" s="6"/>
      <c r="E168" t="s">
        <v>1104</v>
      </c>
      <c r="F168" t="s">
        <v>1105</v>
      </c>
      <c r="G168" s="6">
        <v>36</v>
      </c>
      <c r="H168" s="6"/>
      <c r="I168" t="s">
        <v>491</v>
      </c>
      <c r="J168" s="3">
        <v>46295</v>
      </c>
      <c r="K168" t="s">
        <v>421</v>
      </c>
      <c r="L168" t="s">
        <v>139</v>
      </c>
      <c r="N168" t="s">
        <v>393</v>
      </c>
      <c r="O168" t="s">
        <v>668</v>
      </c>
      <c r="P168" t="s">
        <v>299</v>
      </c>
      <c r="Q168" t="s">
        <v>394</v>
      </c>
      <c r="S168" t="s">
        <v>144</v>
      </c>
      <c r="T168" t="s">
        <v>395</v>
      </c>
      <c r="V168" t="s">
        <v>396</v>
      </c>
      <c r="W168" t="s">
        <v>38</v>
      </c>
      <c r="X168" s="6" t="s">
        <v>397</v>
      </c>
      <c r="Y168" s="6"/>
      <c r="Z168" t="s">
        <v>148</v>
      </c>
      <c r="AA168" t="s">
        <v>149</v>
      </c>
      <c r="AC168" t="s">
        <v>150</v>
      </c>
      <c r="AD168" s="6" t="s">
        <v>398</v>
      </c>
      <c r="AE168" t="s">
        <v>399</v>
      </c>
      <c r="AF168" s="3">
        <v>30192</v>
      </c>
      <c r="AG168">
        <v>44</v>
      </c>
      <c r="AH168" t="b">
        <v>0</v>
      </c>
      <c r="AI168" t="b">
        <v>1</v>
      </c>
      <c r="AJ168" s="6" t="s">
        <v>400</v>
      </c>
      <c r="AK168" s="6" t="s">
        <v>171</v>
      </c>
      <c r="AL168" t="b">
        <v>0</v>
      </c>
      <c r="AM168" s="6"/>
      <c r="AN168" s="6"/>
      <c r="AP168" t="b">
        <v>0</v>
      </c>
      <c r="AQ168" s="6"/>
      <c r="AR168" s="6"/>
      <c r="AT168" t="b">
        <v>0</v>
      </c>
      <c r="AU168" s="6"/>
      <c r="AV168" s="6"/>
      <c r="AX168" t="b">
        <v>0</v>
      </c>
      <c r="AY168" s="6"/>
      <c r="AZ168" s="6"/>
      <c r="BA168" t="b">
        <v>0</v>
      </c>
      <c r="BB168" s="6"/>
      <c r="BC168" t="b">
        <v>0</v>
      </c>
      <c r="BD168" s="6"/>
      <c r="BE168" s="6"/>
      <c r="BF168" t="b">
        <v>0</v>
      </c>
      <c r="BG168" s="6"/>
      <c r="BH168" t="b">
        <v>0</v>
      </c>
      <c r="BI168" s="6"/>
      <c r="BJ168" t="b">
        <v>0</v>
      </c>
      <c r="BL168" t="b">
        <v>0</v>
      </c>
      <c r="BM168" t="b">
        <v>0</v>
      </c>
      <c r="BN168" t="b">
        <v>0</v>
      </c>
      <c r="BO168" t="b">
        <v>1</v>
      </c>
      <c r="BQ168" t="b">
        <v>0</v>
      </c>
      <c r="BR168" s="6"/>
      <c r="BT168" t="b">
        <v>0</v>
      </c>
      <c r="BU168" t="s">
        <v>1112</v>
      </c>
      <c r="BV168" t="s">
        <v>504</v>
      </c>
      <c r="BW168" t="s">
        <v>154</v>
      </c>
      <c r="BX168" t="s">
        <v>45</v>
      </c>
      <c r="BY168" s="6" t="s">
        <v>403</v>
      </c>
      <c r="BZ168">
        <v>1</v>
      </c>
      <c r="CA168" t="s">
        <v>157</v>
      </c>
      <c r="CB168" s="7">
        <v>46315.0537962963</v>
      </c>
    </row>
    <row r="169" spans="1:80">
      <c r="A169" s="6" t="s">
        <v>1233</v>
      </c>
      <c r="B169" t="s">
        <v>491</v>
      </c>
      <c r="C169" s="6" t="s">
        <v>1103</v>
      </c>
      <c r="D169" s="6"/>
      <c r="E169" t="s">
        <v>1104</v>
      </c>
      <c r="F169" t="s">
        <v>1105</v>
      </c>
      <c r="G169" s="6">
        <v>37</v>
      </c>
      <c r="H169" s="6"/>
      <c r="I169" t="s">
        <v>491</v>
      </c>
      <c r="J169" s="3">
        <v>46295</v>
      </c>
      <c r="K169" t="s">
        <v>421</v>
      </c>
      <c r="L169" t="s">
        <v>139</v>
      </c>
      <c r="N169" t="s">
        <v>1234</v>
      </c>
      <c r="O169" t="s">
        <v>1235</v>
      </c>
      <c r="P169" t="s">
        <v>142</v>
      </c>
      <c r="Q169" t="s">
        <v>1236</v>
      </c>
      <c r="S169" t="s">
        <v>144</v>
      </c>
      <c r="T169" t="s">
        <v>660</v>
      </c>
      <c r="V169" t="s">
        <v>661</v>
      </c>
      <c r="W169" t="s">
        <v>34</v>
      </c>
      <c r="X169" s="6" t="s">
        <v>662</v>
      </c>
      <c r="Y169" s="6"/>
      <c r="Z169" t="s">
        <v>148</v>
      </c>
      <c r="AA169" t="s">
        <v>149</v>
      </c>
      <c r="AC169" t="s">
        <v>150</v>
      </c>
      <c r="AD169" s="6" t="s">
        <v>1237</v>
      </c>
      <c r="AE169" t="s">
        <v>1238</v>
      </c>
      <c r="AF169" s="3">
        <v>19966</v>
      </c>
      <c r="AG169">
        <v>72</v>
      </c>
      <c r="AH169" t="b">
        <v>0</v>
      </c>
      <c r="AI169" t="b">
        <v>1</v>
      </c>
      <c r="AJ169" s="6" t="s">
        <v>1239</v>
      </c>
      <c r="AK169" s="6" t="s">
        <v>171</v>
      </c>
      <c r="AL169" t="b">
        <v>0</v>
      </c>
      <c r="AM169" s="6"/>
      <c r="AN169" s="6"/>
      <c r="AP169" t="b">
        <v>0</v>
      </c>
      <c r="AQ169" s="6"/>
      <c r="AR169" s="6"/>
      <c r="AT169" t="b">
        <v>0</v>
      </c>
      <c r="AU169" s="6"/>
      <c r="AV169" s="6"/>
      <c r="AX169" t="b">
        <v>0</v>
      </c>
      <c r="AY169" s="6"/>
      <c r="AZ169" s="6"/>
      <c r="BA169" t="b">
        <v>0</v>
      </c>
      <c r="BB169" s="6"/>
      <c r="BC169" t="b">
        <v>0</v>
      </c>
      <c r="BD169" s="6"/>
      <c r="BE169" s="6"/>
      <c r="BF169" t="b">
        <v>0</v>
      </c>
      <c r="BG169" s="6"/>
      <c r="BH169" t="b">
        <v>0</v>
      </c>
      <c r="BI169" s="6"/>
      <c r="BJ169" t="b">
        <v>0</v>
      </c>
      <c r="BL169" t="b">
        <v>0</v>
      </c>
      <c r="BM169" t="b">
        <v>0</v>
      </c>
      <c r="BN169" t="b">
        <v>0</v>
      </c>
      <c r="BO169" t="b">
        <v>1</v>
      </c>
      <c r="BQ169" t="b">
        <v>0</v>
      </c>
      <c r="BR169" s="6"/>
      <c r="BT169" t="b">
        <v>0</v>
      </c>
      <c r="BU169" t="s">
        <v>1112</v>
      </c>
      <c r="BV169" t="s">
        <v>504</v>
      </c>
      <c r="BW169" t="s">
        <v>154</v>
      </c>
      <c r="BX169" t="s">
        <v>45</v>
      </c>
      <c r="BY169" s="6" t="s">
        <v>1240</v>
      </c>
      <c r="BZ169">
        <v>1</v>
      </c>
      <c r="CA169" t="s">
        <v>157</v>
      </c>
      <c r="CB169" s="7">
        <v>46315.0537962963</v>
      </c>
    </row>
    <row r="170" spans="1:80">
      <c r="A170" s="6" t="s">
        <v>1241</v>
      </c>
      <c r="B170" t="s">
        <v>491</v>
      </c>
      <c r="C170" s="6" t="s">
        <v>1103</v>
      </c>
      <c r="D170" s="6"/>
      <c r="E170" t="s">
        <v>1104</v>
      </c>
      <c r="F170" t="s">
        <v>1105</v>
      </c>
      <c r="G170" s="6">
        <v>38</v>
      </c>
      <c r="H170" s="6"/>
      <c r="I170" t="s">
        <v>491</v>
      </c>
      <c r="J170" s="3">
        <v>46295</v>
      </c>
      <c r="K170" t="s">
        <v>421</v>
      </c>
      <c r="L170" t="s">
        <v>139</v>
      </c>
      <c r="N170" t="s">
        <v>642</v>
      </c>
      <c r="O170" t="s">
        <v>188</v>
      </c>
      <c r="P170" t="s">
        <v>163</v>
      </c>
      <c r="Q170" t="s">
        <v>659</v>
      </c>
      <c r="S170" t="s">
        <v>144</v>
      </c>
      <c r="T170" t="s">
        <v>1242</v>
      </c>
      <c r="V170" t="s">
        <v>1243</v>
      </c>
      <c r="W170" t="s">
        <v>40</v>
      </c>
      <c r="X170" s="6" t="s">
        <v>1244</v>
      </c>
      <c r="Y170" s="6"/>
      <c r="Z170" t="s">
        <v>148</v>
      </c>
      <c r="AA170" t="s">
        <v>205</v>
      </c>
      <c r="AC170" t="s">
        <v>150</v>
      </c>
      <c r="AD170" s="6" t="s">
        <v>1245</v>
      </c>
      <c r="AE170" t="s">
        <v>1246</v>
      </c>
      <c r="AF170" s="3">
        <v>19811</v>
      </c>
      <c r="AG170">
        <v>72</v>
      </c>
      <c r="AH170" t="b">
        <v>0</v>
      </c>
      <c r="AI170" t="b">
        <v>1</v>
      </c>
      <c r="AJ170" s="6" t="s">
        <v>1247</v>
      </c>
      <c r="AK170" s="6" t="s">
        <v>171</v>
      </c>
      <c r="AL170" t="b">
        <v>0</v>
      </c>
      <c r="AM170" s="6"/>
      <c r="AN170" s="6"/>
      <c r="AP170" t="b">
        <v>0</v>
      </c>
      <c r="AQ170" s="6"/>
      <c r="AR170" s="6"/>
      <c r="AT170" t="b">
        <v>0</v>
      </c>
      <c r="AU170" s="6"/>
      <c r="AV170" s="6"/>
      <c r="AX170" t="b">
        <v>0</v>
      </c>
      <c r="AY170" s="6"/>
      <c r="AZ170" s="6"/>
      <c r="BA170" t="b">
        <v>0</v>
      </c>
      <c r="BB170" s="6"/>
      <c r="BC170" t="b">
        <v>0</v>
      </c>
      <c r="BD170" s="6"/>
      <c r="BE170" s="6"/>
      <c r="BF170" t="b">
        <v>0</v>
      </c>
      <c r="BG170" s="6"/>
      <c r="BH170" t="b">
        <v>0</v>
      </c>
      <c r="BI170" s="6"/>
      <c r="BJ170" t="b">
        <v>0</v>
      </c>
      <c r="BL170" t="b">
        <v>0</v>
      </c>
      <c r="BM170" t="b">
        <v>0</v>
      </c>
      <c r="BN170" t="b">
        <v>0</v>
      </c>
      <c r="BO170" t="b">
        <v>1</v>
      </c>
      <c r="BQ170" t="b">
        <v>0</v>
      </c>
      <c r="BR170" s="6"/>
      <c r="BT170" t="b">
        <v>0</v>
      </c>
      <c r="BU170" t="s">
        <v>1112</v>
      </c>
      <c r="BV170" t="s">
        <v>504</v>
      </c>
      <c r="BW170" t="s">
        <v>154</v>
      </c>
      <c r="BX170" t="s">
        <v>1248</v>
      </c>
      <c r="BY170" s="6" t="s">
        <v>1249</v>
      </c>
      <c r="BZ170">
        <v>1</v>
      </c>
      <c r="CA170" t="s">
        <v>157</v>
      </c>
      <c r="CB170" s="7">
        <v>46315.0537962963</v>
      </c>
    </row>
    <row r="171" spans="1:80">
      <c r="A171" s="6" t="s">
        <v>1250</v>
      </c>
      <c r="B171" t="s">
        <v>491</v>
      </c>
      <c r="C171" s="6" t="s">
        <v>1103</v>
      </c>
      <c r="D171" s="6"/>
      <c r="E171" t="s">
        <v>1104</v>
      </c>
      <c r="F171" t="s">
        <v>1105</v>
      </c>
      <c r="G171" s="6">
        <v>39</v>
      </c>
      <c r="H171" s="6"/>
      <c r="I171" t="s">
        <v>491</v>
      </c>
      <c r="J171" s="3">
        <v>46295</v>
      </c>
      <c r="K171" t="s">
        <v>421</v>
      </c>
      <c r="L171" t="s">
        <v>139</v>
      </c>
      <c r="N171" t="s">
        <v>507</v>
      </c>
      <c r="Q171" t="s">
        <v>703</v>
      </c>
      <c r="S171" t="s">
        <v>144</v>
      </c>
      <c r="T171" t="s">
        <v>704</v>
      </c>
      <c r="V171" t="s">
        <v>705</v>
      </c>
      <c r="W171" t="s">
        <v>36</v>
      </c>
      <c r="X171" s="6" t="s">
        <v>706</v>
      </c>
      <c r="Y171" s="6"/>
      <c r="Z171" t="s">
        <v>148</v>
      </c>
      <c r="AA171" t="s">
        <v>149</v>
      </c>
      <c r="AC171" t="s">
        <v>150</v>
      </c>
      <c r="AD171" s="6" t="s">
        <v>984</v>
      </c>
      <c r="AE171" t="s">
        <v>1251</v>
      </c>
      <c r="AF171" s="3">
        <v>23873</v>
      </c>
      <c r="AG171">
        <v>61</v>
      </c>
      <c r="AH171" t="b">
        <v>0</v>
      </c>
      <c r="AI171" t="b">
        <v>1</v>
      </c>
      <c r="AJ171" s="6" t="s">
        <v>707</v>
      </c>
      <c r="AK171" s="6" t="s">
        <v>171</v>
      </c>
      <c r="AL171" t="b">
        <v>0</v>
      </c>
      <c r="AM171" s="6"/>
      <c r="AN171" s="6"/>
      <c r="AP171" t="b">
        <v>0</v>
      </c>
      <c r="AQ171" s="6"/>
      <c r="AR171" s="6"/>
      <c r="AT171" t="b">
        <v>0</v>
      </c>
      <c r="AU171" s="6"/>
      <c r="AV171" s="6"/>
      <c r="AX171" t="b">
        <v>0</v>
      </c>
      <c r="AY171" s="6"/>
      <c r="AZ171" s="6"/>
      <c r="BA171" t="b">
        <v>0</v>
      </c>
      <c r="BB171" s="6"/>
      <c r="BC171" t="b">
        <v>0</v>
      </c>
      <c r="BD171" s="6"/>
      <c r="BE171" s="6"/>
      <c r="BF171" t="b">
        <v>0</v>
      </c>
      <c r="BG171" s="6"/>
      <c r="BH171" t="b">
        <v>0</v>
      </c>
      <c r="BI171" s="6"/>
      <c r="BJ171" t="b">
        <v>0</v>
      </c>
      <c r="BL171" t="b">
        <v>0</v>
      </c>
      <c r="BM171" t="b">
        <v>0</v>
      </c>
      <c r="BN171" t="b">
        <v>0</v>
      </c>
      <c r="BO171" t="b">
        <v>1</v>
      </c>
      <c r="BQ171" t="b">
        <v>0</v>
      </c>
      <c r="BR171" s="6"/>
      <c r="BT171" t="b">
        <v>0</v>
      </c>
      <c r="BU171" t="s">
        <v>1112</v>
      </c>
      <c r="BV171" t="s">
        <v>504</v>
      </c>
      <c r="BW171" t="s">
        <v>154</v>
      </c>
      <c r="BX171" t="s">
        <v>1252</v>
      </c>
      <c r="BY171" s="6" t="s">
        <v>709</v>
      </c>
      <c r="BZ171">
        <v>1</v>
      </c>
      <c r="CA171" t="s">
        <v>157</v>
      </c>
      <c r="CB171" s="7">
        <v>46315.0537962963</v>
      </c>
    </row>
    <row r="172" spans="1:80">
      <c r="A172" s="6" t="s">
        <v>1253</v>
      </c>
      <c r="B172" t="s">
        <v>491</v>
      </c>
      <c r="C172" s="6" t="s">
        <v>1103</v>
      </c>
      <c r="D172" s="6"/>
      <c r="E172" t="s">
        <v>1104</v>
      </c>
      <c r="F172" t="s">
        <v>1105</v>
      </c>
      <c r="G172" s="6">
        <v>40</v>
      </c>
      <c r="H172" s="6"/>
      <c r="I172" t="s">
        <v>491</v>
      </c>
      <c r="J172" s="3">
        <v>46295</v>
      </c>
      <c r="K172" t="s">
        <v>421</v>
      </c>
      <c r="L172" t="s">
        <v>139</v>
      </c>
      <c r="N172" t="s">
        <v>407</v>
      </c>
      <c r="Q172" t="s">
        <v>408</v>
      </c>
      <c r="S172" t="s">
        <v>144</v>
      </c>
      <c r="T172" t="s">
        <v>409</v>
      </c>
      <c r="V172" t="s">
        <v>410</v>
      </c>
      <c r="W172" t="s">
        <v>39</v>
      </c>
      <c r="X172" s="6" t="s">
        <v>411</v>
      </c>
      <c r="Y172" s="6"/>
      <c r="Z172" t="s">
        <v>148</v>
      </c>
      <c r="AA172" t="s">
        <v>149</v>
      </c>
      <c r="AC172" t="s">
        <v>150</v>
      </c>
      <c r="AD172" s="6" t="s">
        <v>412</v>
      </c>
      <c r="AE172" t="s">
        <v>1254</v>
      </c>
      <c r="AF172" s="3">
        <v>20473</v>
      </c>
      <c r="AG172">
        <v>70</v>
      </c>
      <c r="AH172" t="b">
        <v>0</v>
      </c>
      <c r="AI172" t="b">
        <v>1</v>
      </c>
      <c r="AJ172" s="6" t="s">
        <v>413</v>
      </c>
      <c r="AK172" s="6" t="s">
        <v>171</v>
      </c>
      <c r="AL172" t="b">
        <v>0</v>
      </c>
      <c r="AM172" s="6"/>
      <c r="AN172" s="6"/>
      <c r="AP172" t="b">
        <v>0</v>
      </c>
      <c r="AQ172" s="6"/>
      <c r="AR172" s="6"/>
      <c r="AT172" t="b">
        <v>0</v>
      </c>
      <c r="AU172" s="6"/>
      <c r="AV172" s="6"/>
      <c r="AX172" t="b">
        <v>0</v>
      </c>
      <c r="AY172" s="6"/>
      <c r="AZ172" s="6"/>
      <c r="BA172" t="b">
        <v>0</v>
      </c>
      <c r="BB172" s="6"/>
      <c r="BC172" t="b">
        <v>0</v>
      </c>
      <c r="BD172" s="6"/>
      <c r="BE172" s="6"/>
      <c r="BF172" t="b">
        <v>0</v>
      </c>
      <c r="BG172" s="6"/>
      <c r="BH172" t="b">
        <v>0</v>
      </c>
      <c r="BI172" s="6"/>
      <c r="BJ172" t="b">
        <v>0</v>
      </c>
      <c r="BL172" t="b">
        <v>0</v>
      </c>
      <c r="BM172" t="b">
        <v>0</v>
      </c>
      <c r="BN172" t="b">
        <v>0</v>
      </c>
      <c r="BO172" t="b">
        <v>1</v>
      </c>
      <c r="BQ172" t="b">
        <v>0</v>
      </c>
      <c r="BR172" s="6"/>
      <c r="BT172" t="b">
        <v>0</v>
      </c>
      <c r="BU172" t="s">
        <v>1112</v>
      </c>
      <c r="BV172" t="s">
        <v>504</v>
      </c>
      <c r="BW172" t="s">
        <v>171</v>
      </c>
      <c r="BY172" s="6" t="s">
        <v>416</v>
      </c>
      <c r="BZ172">
        <v>1</v>
      </c>
      <c r="CB172" s="7">
        <v>46315.0537962963</v>
      </c>
    </row>
    <row r="173" spans="1:80">
      <c r="A173" s="6" t="s">
        <v>1255</v>
      </c>
      <c r="B173" t="s">
        <v>491</v>
      </c>
      <c r="C173" s="6" t="s">
        <v>1103</v>
      </c>
      <c r="D173" s="6"/>
      <c r="E173" t="s">
        <v>1104</v>
      </c>
      <c r="F173" t="s">
        <v>1105</v>
      </c>
      <c r="G173" s="6">
        <v>41</v>
      </c>
      <c r="H173" s="6"/>
      <c r="I173" t="s">
        <v>491</v>
      </c>
      <c r="J173" s="3">
        <v>46295</v>
      </c>
      <c r="K173" t="s">
        <v>421</v>
      </c>
      <c r="L173" t="s">
        <v>139</v>
      </c>
      <c r="N173" t="s">
        <v>1256</v>
      </c>
      <c r="Q173" t="s">
        <v>970</v>
      </c>
      <c r="S173" t="s">
        <v>144</v>
      </c>
      <c r="T173" t="s">
        <v>1257</v>
      </c>
      <c r="V173" t="s">
        <v>1258</v>
      </c>
      <c r="W173" t="s">
        <v>36</v>
      </c>
      <c r="X173" s="6" t="s">
        <v>1259</v>
      </c>
      <c r="Y173" s="6"/>
      <c r="Z173" t="s">
        <v>148</v>
      </c>
      <c r="AA173" t="s">
        <v>149</v>
      </c>
      <c r="AC173" t="s">
        <v>150</v>
      </c>
      <c r="AD173" s="6" t="s">
        <v>1260</v>
      </c>
      <c r="AE173" t="s">
        <v>1261</v>
      </c>
      <c r="AF173" s="3">
        <v>33667</v>
      </c>
      <c r="AG173">
        <v>34</v>
      </c>
      <c r="AH173" t="b">
        <v>0</v>
      </c>
      <c r="AI173" t="b">
        <v>1</v>
      </c>
      <c r="AJ173" s="6" t="s">
        <v>1262</v>
      </c>
      <c r="AK173" s="6" t="s">
        <v>171</v>
      </c>
      <c r="AL173" t="b">
        <v>0</v>
      </c>
      <c r="AM173" s="6"/>
      <c r="AN173" s="6"/>
      <c r="AP173" t="b">
        <v>0</v>
      </c>
      <c r="AQ173" s="6"/>
      <c r="AR173" s="6"/>
      <c r="AT173" t="b">
        <v>0</v>
      </c>
      <c r="AU173" s="6"/>
      <c r="AV173" s="6"/>
      <c r="AX173" t="b">
        <v>0</v>
      </c>
      <c r="AY173" s="6"/>
      <c r="AZ173" s="6"/>
      <c r="BA173" t="b">
        <v>0</v>
      </c>
      <c r="BB173" s="6"/>
      <c r="BC173" t="b">
        <v>0</v>
      </c>
      <c r="BD173" s="6"/>
      <c r="BE173" s="6"/>
      <c r="BF173" t="b">
        <v>0</v>
      </c>
      <c r="BG173" s="6"/>
      <c r="BH173" t="b">
        <v>0</v>
      </c>
      <c r="BI173" s="6"/>
      <c r="BJ173" t="b">
        <v>0</v>
      </c>
      <c r="BL173" t="b">
        <v>0</v>
      </c>
      <c r="BM173" t="b">
        <v>0</v>
      </c>
      <c r="BN173" t="b">
        <v>0</v>
      </c>
      <c r="BO173" t="b">
        <v>1</v>
      </c>
      <c r="BQ173" t="b">
        <v>0</v>
      </c>
      <c r="BR173" s="6"/>
      <c r="BT173" t="b">
        <v>0</v>
      </c>
      <c r="BU173" t="s">
        <v>1112</v>
      </c>
      <c r="BV173" t="s">
        <v>504</v>
      </c>
      <c r="BW173" t="s">
        <v>154</v>
      </c>
      <c r="BX173" t="s">
        <v>1263</v>
      </c>
      <c r="BY173" s="6" t="s">
        <v>1264</v>
      </c>
      <c r="BZ173">
        <v>1</v>
      </c>
      <c r="CA173" t="s">
        <v>157</v>
      </c>
      <c r="CB173" s="7">
        <v>46315.0537962963</v>
      </c>
    </row>
    <row r="174" spans="1:80">
      <c r="A174" s="6" t="s">
        <v>1265</v>
      </c>
      <c r="B174" t="s">
        <v>491</v>
      </c>
      <c r="C174" s="6" t="s">
        <v>1103</v>
      </c>
      <c r="D174" s="6"/>
      <c r="E174" t="s">
        <v>1104</v>
      </c>
      <c r="F174" t="s">
        <v>1105</v>
      </c>
      <c r="G174" s="6">
        <v>42</v>
      </c>
      <c r="H174" s="6"/>
      <c r="I174" t="s">
        <v>491</v>
      </c>
      <c r="J174" s="3">
        <v>46295</v>
      </c>
      <c r="K174" t="s">
        <v>421</v>
      </c>
      <c r="L174" t="s">
        <v>139</v>
      </c>
      <c r="N174" t="s">
        <v>1266</v>
      </c>
      <c r="O174" t="s">
        <v>969</v>
      </c>
      <c r="P174" t="s">
        <v>142</v>
      </c>
      <c r="Q174" t="s">
        <v>1267</v>
      </c>
      <c r="S174" t="s">
        <v>144</v>
      </c>
      <c r="T174" t="s">
        <v>1268</v>
      </c>
      <c r="V174" t="s">
        <v>565</v>
      </c>
      <c r="W174" t="s">
        <v>37</v>
      </c>
      <c r="X174" s="6" t="s">
        <v>1269</v>
      </c>
      <c r="Y174" s="6"/>
      <c r="Z174" t="s">
        <v>148</v>
      </c>
      <c r="AA174" t="s">
        <v>205</v>
      </c>
      <c r="AC174" t="s">
        <v>150</v>
      </c>
      <c r="AD174" s="6" t="s">
        <v>1270</v>
      </c>
      <c r="AE174" t="s">
        <v>1271</v>
      </c>
      <c r="AF174" s="3">
        <v>17017</v>
      </c>
      <c r="AG174">
        <v>80</v>
      </c>
      <c r="AH174" t="b">
        <v>0</v>
      </c>
      <c r="AI174" t="b">
        <v>1</v>
      </c>
      <c r="AJ174" s="6" t="s">
        <v>1272</v>
      </c>
      <c r="AK174" s="6" t="s">
        <v>171</v>
      </c>
      <c r="AL174" t="b">
        <v>0</v>
      </c>
      <c r="AM174" s="6"/>
      <c r="AN174" s="6"/>
      <c r="AP174" t="b">
        <v>0</v>
      </c>
      <c r="AQ174" s="6"/>
      <c r="AR174" s="6"/>
      <c r="AT174" t="b">
        <v>0</v>
      </c>
      <c r="AU174" s="6"/>
      <c r="AV174" s="6"/>
      <c r="AX174" t="b">
        <v>0</v>
      </c>
      <c r="AY174" s="6"/>
      <c r="AZ174" s="6"/>
      <c r="BA174" t="b">
        <v>0</v>
      </c>
      <c r="BB174" s="6"/>
      <c r="BC174" t="b">
        <v>0</v>
      </c>
      <c r="BD174" s="6"/>
      <c r="BE174" s="6"/>
      <c r="BF174" t="b">
        <v>0</v>
      </c>
      <c r="BG174" s="6"/>
      <c r="BH174" t="b">
        <v>0</v>
      </c>
      <c r="BI174" s="6"/>
      <c r="BJ174" t="b">
        <v>0</v>
      </c>
      <c r="BL174" t="b">
        <v>0</v>
      </c>
      <c r="BM174" t="b">
        <v>0</v>
      </c>
      <c r="BN174" t="b">
        <v>0</v>
      </c>
      <c r="BO174" t="b">
        <v>1</v>
      </c>
      <c r="BQ174" t="b">
        <v>0</v>
      </c>
      <c r="BR174" s="6"/>
      <c r="BT174" t="b">
        <v>0</v>
      </c>
      <c r="BU174" t="s">
        <v>1112</v>
      </c>
      <c r="BV174" t="s">
        <v>504</v>
      </c>
      <c r="BW174" t="s">
        <v>154</v>
      </c>
      <c r="BX174" t="s">
        <v>1273</v>
      </c>
      <c r="BY174" s="6" t="s">
        <v>1274</v>
      </c>
      <c r="BZ174">
        <v>1</v>
      </c>
      <c r="CA174" t="s">
        <v>157</v>
      </c>
      <c r="CB174" s="7">
        <v>46315.0537962963</v>
      </c>
    </row>
    <row r="175" spans="1:80">
      <c r="A175" s="6" t="s">
        <v>1275</v>
      </c>
      <c r="B175" t="s">
        <v>491</v>
      </c>
      <c r="C175" s="6" t="s">
        <v>1103</v>
      </c>
      <c r="D175" s="6"/>
      <c r="E175" t="s">
        <v>1104</v>
      </c>
      <c r="F175" t="s">
        <v>1105</v>
      </c>
      <c r="G175" s="6">
        <v>43</v>
      </c>
      <c r="H175" s="6"/>
      <c r="I175" t="s">
        <v>491</v>
      </c>
      <c r="J175" s="3">
        <v>46295</v>
      </c>
      <c r="K175" t="s">
        <v>421</v>
      </c>
      <c r="L175" t="s">
        <v>139</v>
      </c>
      <c r="N175" t="s">
        <v>356</v>
      </c>
      <c r="Q175" t="s">
        <v>357</v>
      </c>
      <c r="S175" t="s">
        <v>144</v>
      </c>
      <c r="T175" t="s">
        <v>358</v>
      </c>
      <c r="V175" t="s">
        <v>359</v>
      </c>
      <c r="W175" t="s">
        <v>33</v>
      </c>
      <c r="X175" s="6" t="s">
        <v>360</v>
      </c>
      <c r="Y175" s="6"/>
      <c r="Z175" t="s">
        <v>148</v>
      </c>
      <c r="AA175" t="s">
        <v>205</v>
      </c>
      <c r="AC175" t="s">
        <v>150</v>
      </c>
      <c r="AD175" s="6" t="s">
        <v>361</v>
      </c>
      <c r="AE175" t="s">
        <v>1276</v>
      </c>
      <c r="AF175" s="3">
        <v>19920</v>
      </c>
      <c r="AG175">
        <v>72</v>
      </c>
      <c r="AH175" t="b">
        <v>0</v>
      </c>
      <c r="AI175" t="b">
        <v>1</v>
      </c>
      <c r="AJ175" s="6" t="s">
        <v>362</v>
      </c>
      <c r="AK175" s="6" t="s">
        <v>171</v>
      </c>
      <c r="AL175" t="b">
        <v>0</v>
      </c>
      <c r="AM175" s="6"/>
      <c r="AN175" s="6"/>
      <c r="AP175" t="b">
        <v>0</v>
      </c>
      <c r="AQ175" s="6"/>
      <c r="AR175" s="6"/>
      <c r="AT175" t="b">
        <v>0</v>
      </c>
      <c r="AU175" s="6"/>
      <c r="AV175" s="6"/>
      <c r="AX175" t="b">
        <v>0</v>
      </c>
      <c r="AY175" s="6"/>
      <c r="AZ175" s="6"/>
      <c r="BA175" t="b">
        <v>0</v>
      </c>
      <c r="BB175" s="6"/>
      <c r="BC175" t="b">
        <v>0</v>
      </c>
      <c r="BD175" s="6"/>
      <c r="BE175" s="6"/>
      <c r="BF175" t="b">
        <v>0</v>
      </c>
      <c r="BG175" s="6"/>
      <c r="BH175" t="b">
        <v>0</v>
      </c>
      <c r="BI175" s="6"/>
      <c r="BJ175" t="b">
        <v>0</v>
      </c>
      <c r="BL175" t="b">
        <v>0</v>
      </c>
      <c r="BM175" t="b">
        <v>0</v>
      </c>
      <c r="BN175" t="b">
        <v>0</v>
      </c>
      <c r="BO175" t="b">
        <v>1</v>
      </c>
      <c r="BQ175" t="b">
        <v>0</v>
      </c>
      <c r="BR175" s="6"/>
      <c r="BT175" t="b">
        <v>0</v>
      </c>
      <c r="BU175" t="s">
        <v>1112</v>
      </c>
      <c r="BV175" t="s">
        <v>504</v>
      </c>
      <c r="BW175" t="s">
        <v>154</v>
      </c>
      <c r="BX175" t="s">
        <v>1166</v>
      </c>
      <c r="BY175" s="6" t="s">
        <v>367</v>
      </c>
      <c r="BZ175">
        <v>1</v>
      </c>
      <c r="CA175" t="s">
        <v>157</v>
      </c>
      <c r="CB175" s="7">
        <v>46315.0537962963</v>
      </c>
    </row>
    <row r="176" spans="1:80">
      <c r="A176" s="6" t="s">
        <v>1277</v>
      </c>
      <c r="B176" t="s">
        <v>491</v>
      </c>
      <c r="C176" s="6" t="s">
        <v>1103</v>
      </c>
      <c r="D176" s="6"/>
      <c r="E176" t="s">
        <v>1104</v>
      </c>
      <c r="F176" t="s">
        <v>1105</v>
      </c>
      <c r="G176" s="6">
        <v>44</v>
      </c>
      <c r="H176" s="6"/>
      <c r="I176" t="s">
        <v>491</v>
      </c>
      <c r="J176" s="3">
        <v>46295</v>
      </c>
      <c r="K176" t="s">
        <v>421</v>
      </c>
      <c r="L176" t="s">
        <v>139</v>
      </c>
      <c r="N176" t="s">
        <v>832</v>
      </c>
      <c r="O176" t="s">
        <v>1084</v>
      </c>
      <c r="P176" t="s">
        <v>224</v>
      </c>
      <c r="Q176" t="s">
        <v>601</v>
      </c>
      <c r="S176" t="s">
        <v>144</v>
      </c>
      <c r="T176" t="s">
        <v>1278</v>
      </c>
      <c r="V176" t="s">
        <v>1279</v>
      </c>
      <c r="W176" t="s">
        <v>34</v>
      </c>
      <c r="X176" s="6" t="s">
        <v>1280</v>
      </c>
      <c r="Y176" s="6"/>
      <c r="Z176" t="s">
        <v>148</v>
      </c>
      <c r="AA176" t="s">
        <v>149</v>
      </c>
      <c r="AC176" t="s">
        <v>150</v>
      </c>
      <c r="AD176" s="6" t="s">
        <v>1281</v>
      </c>
      <c r="AE176" t="s">
        <v>1282</v>
      </c>
      <c r="AF176" s="3">
        <v>28645</v>
      </c>
      <c r="AG176">
        <v>48</v>
      </c>
      <c r="AH176" t="b">
        <v>0</v>
      </c>
      <c r="AI176" t="b">
        <v>1</v>
      </c>
      <c r="AJ176" s="6" t="s">
        <v>1283</v>
      </c>
      <c r="AK176" s="6" t="s">
        <v>171</v>
      </c>
      <c r="AL176" t="b">
        <v>0</v>
      </c>
      <c r="AM176" s="6"/>
      <c r="AN176" s="6"/>
      <c r="AP176" t="b">
        <v>0</v>
      </c>
      <c r="AQ176" s="6"/>
      <c r="AR176" s="6"/>
      <c r="AT176" t="b">
        <v>0</v>
      </c>
      <c r="AU176" s="6"/>
      <c r="AV176" s="6"/>
      <c r="AX176" t="b">
        <v>0</v>
      </c>
      <c r="AY176" s="6"/>
      <c r="AZ176" s="6"/>
      <c r="BA176" t="b">
        <v>0</v>
      </c>
      <c r="BB176" s="6"/>
      <c r="BC176" t="b">
        <v>0</v>
      </c>
      <c r="BD176" s="6"/>
      <c r="BE176" s="6"/>
      <c r="BF176" t="b">
        <v>0</v>
      </c>
      <c r="BG176" s="6"/>
      <c r="BH176" t="b">
        <v>0</v>
      </c>
      <c r="BI176" s="6"/>
      <c r="BJ176" t="b">
        <v>0</v>
      </c>
      <c r="BL176" t="b">
        <v>0</v>
      </c>
      <c r="BM176" t="b">
        <v>0</v>
      </c>
      <c r="BN176" t="b">
        <v>0</v>
      </c>
      <c r="BO176" t="b">
        <v>1</v>
      </c>
      <c r="BQ176" t="b">
        <v>0</v>
      </c>
      <c r="BR176" s="6"/>
      <c r="BT176" t="b">
        <v>0</v>
      </c>
      <c r="BU176" t="s">
        <v>1112</v>
      </c>
      <c r="BV176" t="s">
        <v>504</v>
      </c>
      <c r="BW176" t="s">
        <v>154</v>
      </c>
      <c r="BX176" t="s">
        <v>45</v>
      </c>
      <c r="BY176" s="6" t="s">
        <v>1284</v>
      </c>
      <c r="BZ176">
        <v>1</v>
      </c>
      <c r="CA176" t="s">
        <v>157</v>
      </c>
      <c r="CB176" s="7">
        <v>46315.0537962963</v>
      </c>
    </row>
    <row r="177" spans="1:80">
      <c r="A177" s="6" t="s">
        <v>1285</v>
      </c>
      <c r="B177" t="s">
        <v>491</v>
      </c>
      <c r="C177" s="6" t="s">
        <v>1103</v>
      </c>
      <c r="D177" s="6"/>
      <c r="E177" t="s">
        <v>1104</v>
      </c>
      <c r="F177" t="s">
        <v>1105</v>
      </c>
      <c r="G177" s="6">
        <v>45</v>
      </c>
      <c r="H177" s="6"/>
      <c r="I177" t="s">
        <v>491</v>
      </c>
      <c r="J177" s="3">
        <v>46295</v>
      </c>
      <c r="K177" t="s">
        <v>421</v>
      </c>
      <c r="L177" t="s">
        <v>139</v>
      </c>
      <c r="N177" t="s">
        <v>685</v>
      </c>
      <c r="O177" t="s">
        <v>1286</v>
      </c>
      <c r="P177" t="s">
        <v>212</v>
      </c>
      <c r="Q177" t="s">
        <v>686</v>
      </c>
      <c r="S177" t="s">
        <v>144</v>
      </c>
      <c r="T177" t="s">
        <v>687</v>
      </c>
      <c r="V177" t="s">
        <v>688</v>
      </c>
      <c r="W177" t="s">
        <v>38</v>
      </c>
      <c r="X177" s="6" t="s">
        <v>689</v>
      </c>
      <c r="Y177" s="6"/>
      <c r="Z177" t="s">
        <v>148</v>
      </c>
      <c r="AA177" t="s">
        <v>205</v>
      </c>
      <c r="AC177" t="s">
        <v>150</v>
      </c>
      <c r="AD177" s="6" t="s">
        <v>1287</v>
      </c>
      <c r="AE177" t="s">
        <v>1288</v>
      </c>
      <c r="AF177" s="3">
        <v>21687</v>
      </c>
      <c r="AG177">
        <v>67</v>
      </c>
      <c r="AH177" t="b">
        <v>0</v>
      </c>
      <c r="AI177" t="b">
        <v>1</v>
      </c>
      <c r="AJ177" s="6" t="s">
        <v>690</v>
      </c>
      <c r="AK177" s="6" t="s">
        <v>171</v>
      </c>
      <c r="AL177" t="b">
        <v>0</v>
      </c>
      <c r="AM177" s="6"/>
      <c r="AN177" s="6"/>
      <c r="AP177" t="b">
        <v>0</v>
      </c>
      <c r="AQ177" s="6"/>
      <c r="AR177" s="6"/>
      <c r="AT177" t="b">
        <v>0</v>
      </c>
      <c r="AU177" s="6"/>
      <c r="AV177" s="6"/>
      <c r="AX177" t="b">
        <v>0</v>
      </c>
      <c r="AY177" s="6"/>
      <c r="AZ177" s="6"/>
      <c r="BA177" t="b">
        <v>0</v>
      </c>
      <c r="BB177" s="6"/>
      <c r="BC177" t="b">
        <v>0</v>
      </c>
      <c r="BD177" s="6"/>
      <c r="BE177" s="6"/>
      <c r="BF177" t="b">
        <v>0</v>
      </c>
      <c r="BG177" s="6"/>
      <c r="BH177" t="b">
        <v>0</v>
      </c>
      <c r="BI177" s="6"/>
      <c r="BJ177" t="b">
        <v>0</v>
      </c>
      <c r="BL177" t="b">
        <v>0</v>
      </c>
      <c r="BM177" t="b">
        <v>0</v>
      </c>
      <c r="BN177" t="b">
        <v>0</v>
      </c>
      <c r="BO177" t="b">
        <v>1</v>
      </c>
      <c r="BQ177" t="b">
        <v>0</v>
      </c>
      <c r="BR177" s="6"/>
      <c r="BT177" t="b">
        <v>0</v>
      </c>
      <c r="BU177" t="s">
        <v>1112</v>
      </c>
      <c r="BV177" t="s">
        <v>504</v>
      </c>
      <c r="BW177" t="s">
        <v>154</v>
      </c>
      <c r="BX177" t="s">
        <v>1273</v>
      </c>
      <c r="BY177" s="6" t="s">
        <v>692</v>
      </c>
      <c r="BZ177">
        <v>1</v>
      </c>
      <c r="CA177" t="s">
        <v>157</v>
      </c>
      <c r="CB177" s="7">
        <v>46315.0537962963</v>
      </c>
    </row>
    <row r="178" spans="1:80">
      <c r="A178" s="6" t="s">
        <v>1289</v>
      </c>
      <c r="B178" t="s">
        <v>491</v>
      </c>
      <c r="C178" s="6" t="s">
        <v>1103</v>
      </c>
      <c r="D178" s="6"/>
      <c r="E178" t="s">
        <v>1104</v>
      </c>
      <c r="F178" t="s">
        <v>1105</v>
      </c>
      <c r="G178" s="6">
        <v>46</v>
      </c>
      <c r="H178" s="6"/>
      <c r="I178" t="s">
        <v>491</v>
      </c>
      <c r="J178" s="3">
        <v>46295</v>
      </c>
      <c r="K178" t="s">
        <v>421</v>
      </c>
      <c r="L178" t="s">
        <v>139</v>
      </c>
      <c r="N178" t="s">
        <v>298</v>
      </c>
      <c r="Q178" t="s">
        <v>824</v>
      </c>
      <c r="S178" t="s">
        <v>144</v>
      </c>
      <c r="T178" t="s">
        <v>1290</v>
      </c>
      <c r="V178" t="s">
        <v>603</v>
      </c>
      <c r="W178" t="s">
        <v>40</v>
      </c>
      <c r="X178" s="6" t="s">
        <v>1291</v>
      </c>
      <c r="Y178" s="6"/>
      <c r="Z178" t="s">
        <v>148</v>
      </c>
      <c r="AA178" t="s">
        <v>205</v>
      </c>
      <c r="AC178" t="s">
        <v>150</v>
      </c>
      <c r="AD178" s="6" t="s">
        <v>1292</v>
      </c>
      <c r="AE178" t="s">
        <v>1293</v>
      </c>
      <c r="AF178" s="3">
        <v>34690</v>
      </c>
      <c r="AG178">
        <v>31</v>
      </c>
      <c r="AH178" t="b">
        <v>0</v>
      </c>
      <c r="AI178" t="b">
        <v>1</v>
      </c>
      <c r="AJ178" s="6" t="s">
        <v>1294</v>
      </c>
      <c r="AK178" s="6" t="s">
        <v>171</v>
      </c>
      <c r="AL178" t="b">
        <v>0</v>
      </c>
      <c r="AM178" s="6"/>
      <c r="AN178" s="6"/>
      <c r="AP178" t="b">
        <v>0</v>
      </c>
      <c r="AQ178" s="6"/>
      <c r="AR178" s="6"/>
      <c r="AT178" t="b">
        <v>0</v>
      </c>
      <c r="AU178" s="6"/>
      <c r="AV178" s="6"/>
      <c r="AX178" t="b">
        <v>0</v>
      </c>
      <c r="AY178" s="6"/>
      <c r="AZ178" s="6"/>
      <c r="BA178" t="b">
        <v>0</v>
      </c>
      <c r="BB178" s="6"/>
      <c r="BC178" t="b">
        <v>0</v>
      </c>
      <c r="BD178" s="6"/>
      <c r="BE178" s="6"/>
      <c r="BF178" t="b">
        <v>0</v>
      </c>
      <c r="BG178" s="6"/>
      <c r="BH178" t="b">
        <v>0</v>
      </c>
      <c r="BI178" s="6"/>
      <c r="BJ178" t="b">
        <v>0</v>
      </c>
      <c r="BL178" t="b">
        <v>0</v>
      </c>
      <c r="BM178" t="b">
        <v>0</v>
      </c>
      <c r="BN178" t="b">
        <v>0</v>
      </c>
      <c r="BO178" t="b">
        <v>1</v>
      </c>
      <c r="BQ178" t="b">
        <v>0</v>
      </c>
      <c r="BR178" s="6"/>
      <c r="BT178" t="b">
        <v>0</v>
      </c>
      <c r="BU178" t="s">
        <v>1112</v>
      </c>
      <c r="BV178" t="s">
        <v>504</v>
      </c>
      <c r="BW178" t="s">
        <v>154</v>
      </c>
      <c r="BX178" t="s">
        <v>43</v>
      </c>
      <c r="BY178" s="6" t="s">
        <v>1295</v>
      </c>
      <c r="BZ178">
        <v>1</v>
      </c>
      <c r="CA178" t="s">
        <v>157</v>
      </c>
      <c r="CB178" s="7">
        <v>46315.0537962963</v>
      </c>
    </row>
    <row r="179" spans="1:80">
      <c r="A179" s="6" t="s">
        <v>1296</v>
      </c>
      <c r="B179" t="s">
        <v>491</v>
      </c>
      <c r="C179" s="6" t="s">
        <v>1103</v>
      </c>
      <c r="D179" s="6"/>
      <c r="E179" t="s">
        <v>1104</v>
      </c>
      <c r="F179" t="s">
        <v>1105</v>
      </c>
      <c r="G179" s="6">
        <v>47</v>
      </c>
      <c r="H179" s="6"/>
      <c r="I179" t="s">
        <v>491</v>
      </c>
      <c r="J179" s="3">
        <v>46295</v>
      </c>
      <c r="K179" t="s">
        <v>421</v>
      </c>
      <c r="L179" t="s">
        <v>139</v>
      </c>
      <c r="N179" t="s">
        <v>496</v>
      </c>
      <c r="O179" t="s">
        <v>1297</v>
      </c>
      <c r="P179" t="s">
        <v>324</v>
      </c>
      <c r="Q179" t="s">
        <v>497</v>
      </c>
      <c r="S179" t="s">
        <v>144</v>
      </c>
      <c r="T179" t="s">
        <v>498</v>
      </c>
      <c r="V179" t="s">
        <v>499</v>
      </c>
      <c r="W179" t="s">
        <v>35</v>
      </c>
      <c r="X179" s="6" t="s">
        <v>500</v>
      </c>
      <c r="Y179" s="6"/>
      <c r="Z179" t="s">
        <v>148</v>
      </c>
      <c r="AA179" t="s">
        <v>149</v>
      </c>
      <c r="AC179" t="s">
        <v>150</v>
      </c>
      <c r="AD179" s="6" t="s">
        <v>1298</v>
      </c>
      <c r="AE179" t="s">
        <v>1299</v>
      </c>
      <c r="AF179" s="3">
        <v>25641</v>
      </c>
      <c r="AG179">
        <v>56</v>
      </c>
      <c r="AH179" t="b">
        <v>0</v>
      </c>
      <c r="AI179" t="b">
        <v>1</v>
      </c>
      <c r="AJ179" s="6" t="s">
        <v>501</v>
      </c>
      <c r="AK179" s="6" t="s">
        <v>171</v>
      </c>
      <c r="AL179" t="b">
        <v>0</v>
      </c>
      <c r="AM179" s="6"/>
      <c r="AN179" s="6"/>
      <c r="AP179" t="b">
        <v>0</v>
      </c>
      <c r="AQ179" s="6"/>
      <c r="AR179" s="6"/>
      <c r="AT179" t="b">
        <v>0</v>
      </c>
      <c r="AU179" s="6"/>
      <c r="AV179" s="6"/>
      <c r="AX179" t="b">
        <v>0</v>
      </c>
      <c r="AY179" s="6"/>
      <c r="AZ179" s="6"/>
      <c r="BA179" t="b">
        <v>0</v>
      </c>
      <c r="BB179" s="6"/>
      <c r="BC179" t="b">
        <v>0</v>
      </c>
      <c r="BD179" s="6"/>
      <c r="BE179" s="6"/>
      <c r="BF179" t="b">
        <v>0</v>
      </c>
      <c r="BG179" s="6"/>
      <c r="BH179" t="b">
        <v>0</v>
      </c>
      <c r="BI179" s="6"/>
      <c r="BJ179" t="b">
        <v>0</v>
      </c>
      <c r="BL179" t="b">
        <v>0</v>
      </c>
      <c r="BM179" t="b">
        <v>0</v>
      </c>
      <c r="BN179" t="b">
        <v>0</v>
      </c>
      <c r="BO179" t="b">
        <v>1</v>
      </c>
      <c r="BQ179" t="b">
        <v>0</v>
      </c>
      <c r="BR179" s="6"/>
      <c r="BT179" t="b">
        <v>0</v>
      </c>
      <c r="BU179" t="s">
        <v>1112</v>
      </c>
      <c r="BV179" t="s">
        <v>504</v>
      </c>
      <c r="BW179" t="s">
        <v>154</v>
      </c>
      <c r="BX179" t="s">
        <v>1300</v>
      </c>
      <c r="BY179" s="6" t="s">
        <v>505</v>
      </c>
      <c r="BZ179">
        <v>1</v>
      </c>
      <c r="CA179" t="s">
        <v>157</v>
      </c>
      <c r="CB179" s="7">
        <v>46315.0537962963</v>
      </c>
    </row>
    <row r="180" spans="1:80">
      <c r="A180" s="6" t="s">
        <v>1301</v>
      </c>
      <c r="B180" t="s">
        <v>491</v>
      </c>
      <c r="C180" s="6" t="s">
        <v>1103</v>
      </c>
      <c r="D180" s="6"/>
      <c r="E180" t="s">
        <v>1104</v>
      </c>
      <c r="F180" t="s">
        <v>1105</v>
      </c>
      <c r="G180" s="6">
        <v>48</v>
      </c>
      <c r="H180" s="6"/>
      <c r="I180" t="s">
        <v>491</v>
      </c>
      <c r="J180" s="3">
        <v>46295</v>
      </c>
      <c r="K180" t="s">
        <v>421</v>
      </c>
      <c r="L180" t="s">
        <v>139</v>
      </c>
      <c r="N180" t="s">
        <v>247</v>
      </c>
      <c r="O180" t="s">
        <v>1048</v>
      </c>
      <c r="P180" t="s">
        <v>224</v>
      </c>
      <c r="Q180" t="s">
        <v>248</v>
      </c>
      <c r="S180" t="s">
        <v>144</v>
      </c>
      <c r="T180" t="s">
        <v>250</v>
      </c>
      <c r="V180" t="s">
        <v>251</v>
      </c>
      <c r="W180" t="s">
        <v>39</v>
      </c>
      <c r="X180" s="6" t="s">
        <v>252</v>
      </c>
      <c r="Y180" s="6"/>
      <c r="Z180" t="s">
        <v>148</v>
      </c>
      <c r="AA180" t="s">
        <v>149</v>
      </c>
      <c r="AC180" t="s">
        <v>150</v>
      </c>
      <c r="AD180" s="6" t="s">
        <v>1302</v>
      </c>
      <c r="AE180" t="s">
        <v>1303</v>
      </c>
      <c r="AF180" s="3">
        <v>32257</v>
      </c>
      <c r="AG180">
        <v>38</v>
      </c>
      <c r="AH180" t="b">
        <v>0</v>
      </c>
      <c r="AI180" t="b">
        <v>1</v>
      </c>
      <c r="AJ180" s="6" t="s">
        <v>582</v>
      </c>
      <c r="AK180" s="6" t="s">
        <v>171</v>
      </c>
      <c r="AL180" t="b">
        <v>0</v>
      </c>
      <c r="AM180" s="6"/>
      <c r="AN180" s="6"/>
      <c r="AP180" t="b">
        <v>0</v>
      </c>
      <c r="AQ180" s="6"/>
      <c r="AR180" s="6"/>
      <c r="AT180" t="b">
        <v>0</v>
      </c>
      <c r="AU180" s="6"/>
      <c r="AV180" s="6"/>
      <c r="AX180" t="b">
        <v>0</v>
      </c>
      <c r="AY180" s="6"/>
      <c r="AZ180" s="6"/>
      <c r="BA180" t="b">
        <v>0</v>
      </c>
      <c r="BB180" s="6"/>
      <c r="BC180" t="b">
        <v>0</v>
      </c>
      <c r="BD180" s="6"/>
      <c r="BE180" s="6"/>
      <c r="BF180" t="b">
        <v>0</v>
      </c>
      <c r="BG180" s="6"/>
      <c r="BH180" t="b">
        <v>0</v>
      </c>
      <c r="BI180" s="6"/>
      <c r="BJ180" t="b">
        <v>0</v>
      </c>
      <c r="BL180" t="b">
        <v>0</v>
      </c>
      <c r="BM180" t="b">
        <v>0</v>
      </c>
      <c r="BN180" t="b">
        <v>0</v>
      </c>
      <c r="BO180" t="b">
        <v>1</v>
      </c>
      <c r="BQ180" t="b">
        <v>0</v>
      </c>
      <c r="BR180" s="6"/>
      <c r="BT180" t="b">
        <v>0</v>
      </c>
      <c r="BU180" t="s">
        <v>1112</v>
      </c>
      <c r="BV180" t="s">
        <v>504</v>
      </c>
      <c r="BW180" t="s">
        <v>154</v>
      </c>
      <c r="BX180" t="s">
        <v>1137</v>
      </c>
      <c r="BY180" s="6" t="s">
        <v>256</v>
      </c>
      <c r="BZ180">
        <v>1</v>
      </c>
      <c r="CA180" t="s">
        <v>157</v>
      </c>
      <c r="CB180" s="7">
        <v>46315.0537962963</v>
      </c>
    </row>
    <row r="181" spans="1:80">
      <c r="A181" s="6" t="s">
        <v>1304</v>
      </c>
      <c r="B181" t="s">
        <v>491</v>
      </c>
      <c r="C181" s="6" t="s">
        <v>1103</v>
      </c>
      <c r="D181" s="6"/>
      <c r="E181" t="s">
        <v>1104</v>
      </c>
      <c r="F181" t="s">
        <v>1105</v>
      </c>
      <c r="G181" s="6">
        <v>49</v>
      </c>
      <c r="H181" s="6"/>
      <c r="I181" t="s">
        <v>491</v>
      </c>
      <c r="J181" s="3">
        <v>46295</v>
      </c>
      <c r="K181" t="s">
        <v>421</v>
      </c>
      <c r="L181" t="s">
        <v>139</v>
      </c>
      <c r="N181" t="s">
        <v>610</v>
      </c>
      <c r="Q181" t="s">
        <v>611</v>
      </c>
      <c r="S181" t="s">
        <v>144</v>
      </c>
      <c r="T181" t="s">
        <v>612</v>
      </c>
      <c r="U181" t="s">
        <v>613</v>
      </c>
      <c r="V181" t="s">
        <v>614</v>
      </c>
      <c r="W181" t="s">
        <v>39</v>
      </c>
      <c r="X181" s="6" t="s">
        <v>615</v>
      </c>
      <c r="Y181" s="6"/>
      <c r="Z181" t="s">
        <v>148</v>
      </c>
      <c r="AA181" t="s">
        <v>205</v>
      </c>
      <c r="AC181" t="s">
        <v>150</v>
      </c>
      <c r="AD181" s="6" t="s">
        <v>770</v>
      </c>
      <c r="AE181" t="s">
        <v>1305</v>
      </c>
      <c r="AF181" s="3">
        <v>28350</v>
      </c>
      <c r="AG181">
        <v>49</v>
      </c>
      <c r="AH181" t="b">
        <v>0</v>
      </c>
      <c r="AI181" t="b">
        <v>1</v>
      </c>
      <c r="AJ181" s="6" t="s">
        <v>616</v>
      </c>
      <c r="AK181" s="6" t="s">
        <v>171</v>
      </c>
      <c r="AL181" t="b">
        <v>0</v>
      </c>
      <c r="AM181" s="6"/>
      <c r="AN181" s="6"/>
      <c r="AP181" t="b">
        <v>0</v>
      </c>
      <c r="AQ181" s="6"/>
      <c r="AR181" s="6"/>
      <c r="AT181" t="b">
        <v>0</v>
      </c>
      <c r="AU181" s="6"/>
      <c r="AV181" s="6"/>
      <c r="AX181" t="b">
        <v>0</v>
      </c>
      <c r="AY181" s="6"/>
      <c r="AZ181" s="6"/>
      <c r="BA181" t="b">
        <v>0</v>
      </c>
      <c r="BB181" s="6"/>
      <c r="BC181" t="b">
        <v>0</v>
      </c>
      <c r="BD181" s="6"/>
      <c r="BE181" s="6"/>
      <c r="BF181" t="b">
        <v>0</v>
      </c>
      <c r="BG181" s="6"/>
      <c r="BH181" t="b">
        <v>0</v>
      </c>
      <c r="BI181" s="6"/>
      <c r="BJ181" t="b">
        <v>0</v>
      </c>
      <c r="BL181" t="b">
        <v>0</v>
      </c>
      <c r="BM181" t="b">
        <v>0</v>
      </c>
      <c r="BN181" t="b">
        <v>0</v>
      </c>
      <c r="BO181" t="b">
        <v>1</v>
      </c>
      <c r="BQ181" t="b">
        <v>0</v>
      </c>
      <c r="BR181" s="6"/>
      <c r="BT181" t="b">
        <v>0</v>
      </c>
      <c r="BU181" t="s">
        <v>1112</v>
      </c>
      <c r="BV181" t="s">
        <v>504</v>
      </c>
      <c r="BW181" t="s">
        <v>154</v>
      </c>
      <c r="BX181" t="s">
        <v>1306</v>
      </c>
      <c r="BY181" s="6" t="s">
        <v>619</v>
      </c>
      <c r="BZ181">
        <v>1</v>
      </c>
      <c r="CA181" t="s">
        <v>157</v>
      </c>
      <c r="CB181" s="7">
        <v>46315.0537962963</v>
      </c>
    </row>
    <row r="182" spans="1:80">
      <c r="A182" s="6" t="s">
        <v>1307</v>
      </c>
      <c r="B182" t="s">
        <v>491</v>
      </c>
      <c r="C182" s="6" t="s">
        <v>1103</v>
      </c>
      <c r="D182" s="6"/>
      <c r="E182" t="s">
        <v>1104</v>
      </c>
      <c r="F182" t="s">
        <v>1105</v>
      </c>
      <c r="G182" s="6">
        <v>51</v>
      </c>
      <c r="H182" s="6"/>
      <c r="I182" t="s">
        <v>491</v>
      </c>
      <c r="J182" s="3">
        <v>46295</v>
      </c>
      <c r="K182" t="s">
        <v>421</v>
      </c>
      <c r="L182" t="s">
        <v>139</v>
      </c>
      <c r="N182" t="s">
        <v>1308</v>
      </c>
      <c r="O182" t="s">
        <v>1309</v>
      </c>
      <c r="P182" t="s">
        <v>212</v>
      </c>
      <c r="Q182" t="s">
        <v>1310</v>
      </c>
      <c r="S182" t="s">
        <v>144</v>
      </c>
      <c r="T182" t="s">
        <v>1311</v>
      </c>
      <c r="V182" t="s">
        <v>1312</v>
      </c>
      <c r="W182" t="s">
        <v>38</v>
      </c>
      <c r="X182" s="6" t="s">
        <v>1313</v>
      </c>
      <c r="Y182" s="6"/>
      <c r="Z182" t="s">
        <v>148</v>
      </c>
      <c r="AA182" t="s">
        <v>205</v>
      </c>
      <c r="AC182" t="s">
        <v>150</v>
      </c>
      <c r="AD182" s="6" t="s">
        <v>1314</v>
      </c>
      <c r="AE182" t="s">
        <v>1315</v>
      </c>
      <c r="AF182" s="3">
        <v>19568</v>
      </c>
      <c r="AG182">
        <v>73</v>
      </c>
      <c r="AH182" t="b">
        <v>0</v>
      </c>
      <c r="AI182" t="b">
        <v>1</v>
      </c>
      <c r="AJ182" s="6" t="s">
        <v>1316</v>
      </c>
      <c r="AK182" s="6" t="s">
        <v>171</v>
      </c>
      <c r="AL182" t="b">
        <v>0</v>
      </c>
      <c r="AM182" s="6"/>
      <c r="AN182" s="6"/>
      <c r="AP182" t="b">
        <v>0</v>
      </c>
      <c r="AQ182" s="6"/>
      <c r="AR182" s="6"/>
      <c r="AT182" t="b">
        <v>0</v>
      </c>
      <c r="AU182" s="6"/>
      <c r="AV182" s="6"/>
      <c r="AX182" t="b">
        <v>0</v>
      </c>
      <c r="AY182" s="6"/>
      <c r="AZ182" s="6"/>
      <c r="BA182" t="b">
        <v>0</v>
      </c>
      <c r="BB182" s="6"/>
      <c r="BC182" t="b">
        <v>0</v>
      </c>
      <c r="BD182" s="6"/>
      <c r="BE182" s="6"/>
      <c r="BF182" t="b">
        <v>0</v>
      </c>
      <c r="BG182" s="6"/>
      <c r="BH182" t="b">
        <v>0</v>
      </c>
      <c r="BI182" s="6"/>
      <c r="BJ182" t="b">
        <v>0</v>
      </c>
      <c r="BL182" t="b">
        <v>0</v>
      </c>
      <c r="BM182" t="b">
        <v>0</v>
      </c>
      <c r="BN182" t="b">
        <v>0</v>
      </c>
      <c r="BO182" t="b">
        <v>1</v>
      </c>
      <c r="BQ182" t="b">
        <v>0</v>
      </c>
      <c r="BR182" s="6"/>
      <c r="BT182" t="b">
        <v>0</v>
      </c>
      <c r="BU182" t="s">
        <v>1112</v>
      </c>
      <c r="BV182" t="s">
        <v>504</v>
      </c>
      <c r="BW182" t="s">
        <v>154</v>
      </c>
      <c r="BX182" t="s">
        <v>1317</v>
      </c>
      <c r="BY182" s="6" t="s">
        <v>1318</v>
      </c>
      <c r="BZ182">
        <v>1</v>
      </c>
      <c r="CA182" t="s">
        <v>157</v>
      </c>
      <c r="CB182" s="7">
        <v>46315.0537962963</v>
      </c>
    </row>
    <row r="183" spans="1:80">
      <c r="A183" s="6" t="s">
        <v>1319</v>
      </c>
      <c r="B183" t="s">
        <v>491</v>
      </c>
      <c r="C183" s="6" t="s">
        <v>1103</v>
      </c>
      <c r="D183" s="6"/>
      <c r="E183" t="s">
        <v>1104</v>
      </c>
      <c r="F183" t="s">
        <v>1105</v>
      </c>
      <c r="G183" s="6">
        <v>52</v>
      </c>
      <c r="H183" s="6"/>
      <c r="I183" t="s">
        <v>491</v>
      </c>
      <c r="J183" s="3">
        <v>46295</v>
      </c>
      <c r="K183" t="s">
        <v>421</v>
      </c>
      <c r="L183" t="s">
        <v>139</v>
      </c>
      <c r="N183" t="s">
        <v>211</v>
      </c>
      <c r="O183" t="s">
        <v>1320</v>
      </c>
      <c r="P183" t="s">
        <v>212</v>
      </c>
      <c r="Q183" t="s">
        <v>213</v>
      </c>
      <c r="R183" t="s">
        <v>214</v>
      </c>
      <c r="S183" t="s">
        <v>144</v>
      </c>
      <c r="T183" t="s">
        <v>215</v>
      </c>
      <c r="V183" t="s">
        <v>216</v>
      </c>
      <c r="W183" t="s">
        <v>37</v>
      </c>
      <c r="X183" s="6" t="s">
        <v>217</v>
      </c>
      <c r="Y183" s="6"/>
      <c r="Z183" t="s">
        <v>148</v>
      </c>
      <c r="AA183" t="s">
        <v>149</v>
      </c>
      <c r="AC183" t="s">
        <v>150</v>
      </c>
      <c r="AD183" s="6" t="s">
        <v>1321</v>
      </c>
      <c r="AE183" t="s">
        <v>1322</v>
      </c>
      <c r="AF183" s="3">
        <v>25031</v>
      </c>
      <c r="AG183">
        <v>58</v>
      </c>
      <c r="AH183" t="b">
        <v>0</v>
      </c>
      <c r="AI183" t="b">
        <v>1</v>
      </c>
      <c r="AJ183" s="6" t="s">
        <v>531</v>
      </c>
      <c r="AK183" s="6" t="s">
        <v>171</v>
      </c>
      <c r="AL183" t="b">
        <v>0</v>
      </c>
      <c r="AM183" s="6"/>
      <c r="AN183" s="6"/>
      <c r="AP183" t="b">
        <v>0</v>
      </c>
      <c r="AQ183" s="6"/>
      <c r="AR183" s="6"/>
      <c r="AT183" t="b">
        <v>0</v>
      </c>
      <c r="AU183" s="6"/>
      <c r="AV183" s="6"/>
      <c r="AX183" t="b">
        <v>0</v>
      </c>
      <c r="AY183" s="6"/>
      <c r="AZ183" s="6"/>
      <c r="BA183" t="b">
        <v>0</v>
      </c>
      <c r="BB183" s="6"/>
      <c r="BC183" t="b">
        <v>0</v>
      </c>
      <c r="BD183" s="6"/>
      <c r="BE183" s="6"/>
      <c r="BF183" t="b">
        <v>0</v>
      </c>
      <c r="BG183" s="6"/>
      <c r="BH183" t="b">
        <v>0</v>
      </c>
      <c r="BI183" s="6"/>
      <c r="BJ183" t="b">
        <v>0</v>
      </c>
      <c r="BL183" t="b">
        <v>0</v>
      </c>
      <c r="BM183" t="b">
        <v>0</v>
      </c>
      <c r="BN183" t="b">
        <v>0</v>
      </c>
      <c r="BO183" t="b">
        <v>1</v>
      </c>
      <c r="BQ183" t="b">
        <v>0</v>
      </c>
      <c r="BR183" s="6"/>
      <c r="BT183" t="b">
        <v>0</v>
      </c>
      <c r="BU183" t="s">
        <v>1112</v>
      </c>
      <c r="BV183" t="s">
        <v>504</v>
      </c>
      <c r="BW183" t="s">
        <v>154</v>
      </c>
      <c r="BX183" t="s">
        <v>45</v>
      </c>
      <c r="BY183" s="6" t="s">
        <v>219</v>
      </c>
      <c r="BZ183">
        <v>1</v>
      </c>
      <c r="CA183" t="s">
        <v>157</v>
      </c>
      <c r="CB183" s="7">
        <v>46315.0537962963</v>
      </c>
    </row>
    <row r="184" spans="1:80">
      <c r="A184" s="6" t="s">
        <v>1323</v>
      </c>
      <c r="B184" t="s">
        <v>491</v>
      </c>
      <c r="C184" s="6" t="s">
        <v>1103</v>
      </c>
      <c r="D184" s="6"/>
      <c r="E184" t="s">
        <v>1104</v>
      </c>
      <c r="F184" t="s">
        <v>1105</v>
      </c>
      <c r="G184" s="6">
        <v>53</v>
      </c>
      <c r="H184" s="6"/>
      <c r="I184" t="s">
        <v>491</v>
      </c>
      <c r="J184" s="3">
        <v>46295</v>
      </c>
      <c r="K184" t="s">
        <v>421</v>
      </c>
      <c r="L184" t="s">
        <v>139</v>
      </c>
      <c r="N184" t="s">
        <v>1324</v>
      </c>
      <c r="Q184" t="s">
        <v>547</v>
      </c>
      <c r="S184" t="s">
        <v>144</v>
      </c>
      <c r="T184" t="s">
        <v>1325</v>
      </c>
      <c r="V184" t="s">
        <v>1326</v>
      </c>
      <c r="W184" t="s">
        <v>36</v>
      </c>
      <c r="X184" s="6" t="s">
        <v>1327</v>
      </c>
      <c r="Y184" s="6"/>
      <c r="Z184" t="s">
        <v>148</v>
      </c>
      <c r="AA184" t="s">
        <v>149</v>
      </c>
      <c r="AC184" t="s">
        <v>150</v>
      </c>
      <c r="AD184" s="6" t="s">
        <v>1328</v>
      </c>
      <c r="AE184" t="s">
        <v>1329</v>
      </c>
      <c r="AF184" s="3">
        <v>31574</v>
      </c>
      <c r="AG184">
        <v>40</v>
      </c>
      <c r="AH184" t="b">
        <v>0</v>
      </c>
      <c r="AI184" t="b">
        <v>1</v>
      </c>
      <c r="AJ184" s="6" t="s">
        <v>1330</v>
      </c>
      <c r="AK184" s="6" t="s">
        <v>171</v>
      </c>
      <c r="AL184" t="b">
        <v>0</v>
      </c>
      <c r="AM184" s="6"/>
      <c r="AN184" s="6"/>
      <c r="AP184" t="b">
        <v>0</v>
      </c>
      <c r="AQ184" s="6"/>
      <c r="AR184" s="6"/>
      <c r="AT184" t="b">
        <v>0</v>
      </c>
      <c r="AU184" s="6"/>
      <c r="AV184" s="6"/>
      <c r="AX184" t="b">
        <v>0</v>
      </c>
      <c r="AY184" s="6"/>
      <c r="AZ184" s="6"/>
      <c r="BA184" t="b">
        <v>0</v>
      </c>
      <c r="BB184" s="6"/>
      <c r="BC184" t="b">
        <v>0</v>
      </c>
      <c r="BD184" s="6"/>
      <c r="BE184" s="6"/>
      <c r="BF184" t="b">
        <v>0</v>
      </c>
      <c r="BG184" s="6"/>
      <c r="BH184" t="b">
        <v>0</v>
      </c>
      <c r="BI184" s="6"/>
      <c r="BJ184" t="b">
        <v>0</v>
      </c>
      <c r="BL184" t="b">
        <v>0</v>
      </c>
      <c r="BM184" t="b">
        <v>0</v>
      </c>
      <c r="BN184" t="b">
        <v>0</v>
      </c>
      <c r="BO184" t="b">
        <v>1</v>
      </c>
      <c r="BQ184" t="b">
        <v>0</v>
      </c>
      <c r="BR184" s="6"/>
      <c r="BT184" t="b">
        <v>0</v>
      </c>
      <c r="BU184" t="s">
        <v>1112</v>
      </c>
      <c r="BV184" t="s">
        <v>504</v>
      </c>
      <c r="BW184" t="s">
        <v>154</v>
      </c>
      <c r="BX184" t="s">
        <v>1263</v>
      </c>
      <c r="BY184" s="6" t="s">
        <v>1331</v>
      </c>
      <c r="BZ184">
        <v>1</v>
      </c>
      <c r="CA184" t="s">
        <v>157</v>
      </c>
      <c r="CB184" s="7">
        <v>46315.0537962963</v>
      </c>
    </row>
    <row r="185" spans="1:80">
      <c r="A185" s="6" t="s">
        <v>1332</v>
      </c>
      <c r="B185" t="s">
        <v>491</v>
      </c>
      <c r="C185" s="6" t="s">
        <v>1103</v>
      </c>
      <c r="D185" s="6"/>
      <c r="E185" t="s">
        <v>1104</v>
      </c>
      <c r="F185" t="s">
        <v>1105</v>
      </c>
      <c r="G185" s="6">
        <v>54</v>
      </c>
      <c r="H185" s="6"/>
      <c r="I185" t="s">
        <v>491</v>
      </c>
      <c r="J185" s="3">
        <v>46295</v>
      </c>
      <c r="K185" t="s">
        <v>421</v>
      </c>
      <c r="L185" t="s">
        <v>139</v>
      </c>
      <c r="N185" t="s">
        <v>298</v>
      </c>
      <c r="O185" t="s">
        <v>298</v>
      </c>
      <c r="P185" t="s">
        <v>299</v>
      </c>
      <c r="Q185" t="s">
        <v>1333</v>
      </c>
      <c r="S185" t="s">
        <v>144</v>
      </c>
      <c r="T185" t="s">
        <v>1334</v>
      </c>
      <c r="V185" t="s">
        <v>1335</v>
      </c>
      <c r="W185" t="s">
        <v>38</v>
      </c>
      <c r="X185" s="6" t="s">
        <v>1336</v>
      </c>
      <c r="Y185" s="6"/>
      <c r="Z185" t="s">
        <v>148</v>
      </c>
      <c r="AA185" t="s">
        <v>149</v>
      </c>
      <c r="AC185" t="s">
        <v>150</v>
      </c>
      <c r="AD185" s="6" t="s">
        <v>1337</v>
      </c>
      <c r="AE185" t="s">
        <v>1338</v>
      </c>
      <c r="AF185" s="3">
        <v>30642</v>
      </c>
      <c r="AG185">
        <v>42</v>
      </c>
      <c r="AH185" t="b">
        <v>0</v>
      </c>
      <c r="AI185" t="b">
        <v>1</v>
      </c>
      <c r="AJ185" s="6" t="s">
        <v>1339</v>
      </c>
      <c r="AK185" s="6" t="s">
        <v>171</v>
      </c>
      <c r="AL185" t="b">
        <v>0</v>
      </c>
      <c r="AM185" s="6"/>
      <c r="AN185" s="6"/>
      <c r="AP185" t="b">
        <v>0</v>
      </c>
      <c r="AQ185" s="6"/>
      <c r="AR185" s="6"/>
      <c r="AT185" t="b">
        <v>0</v>
      </c>
      <c r="AU185" s="6"/>
      <c r="AV185" s="6"/>
      <c r="AX185" t="b">
        <v>0</v>
      </c>
      <c r="AY185" s="6"/>
      <c r="AZ185" s="6"/>
      <c r="BA185" t="b">
        <v>0</v>
      </c>
      <c r="BB185" s="6"/>
      <c r="BC185" t="b">
        <v>0</v>
      </c>
      <c r="BD185" s="6"/>
      <c r="BE185" s="6"/>
      <c r="BF185" t="b">
        <v>0</v>
      </c>
      <c r="BG185" s="6"/>
      <c r="BH185" t="b">
        <v>0</v>
      </c>
      <c r="BI185" s="6"/>
      <c r="BJ185" t="b">
        <v>0</v>
      </c>
      <c r="BL185" t="b">
        <v>0</v>
      </c>
      <c r="BM185" t="b">
        <v>0</v>
      </c>
      <c r="BN185" t="b">
        <v>0</v>
      </c>
      <c r="BO185" t="b">
        <v>1</v>
      </c>
      <c r="BQ185" t="b">
        <v>0</v>
      </c>
      <c r="BR185" s="6"/>
      <c r="BT185" t="b">
        <v>0</v>
      </c>
      <c r="BU185" t="s">
        <v>1112</v>
      </c>
      <c r="BV185" t="s">
        <v>504</v>
      </c>
      <c r="BW185" t="s">
        <v>154</v>
      </c>
      <c r="BX185" t="s">
        <v>45</v>
      </c>
      <c r="BY185" s="6" t="s">
        <v>1340</v>
      </c>
      <c r="BZ185">
        <v>1</v>
      </c>
      <c r="CA185" t="s">
        <v>157</v>
      </c>
      <c r="CB185" s="7">
        <v>46315.0537962963</v>
      </c>
    </row>
    <row r="186" spans="1:80">
      <c r="A186" s="6" t="s">
        <v>1341</v>
      </c>
      <c r="B186" t="s">
        <v>491</v>
      </c>
      <c r="C186" s="6" t="s">
        <v>1103</v>
      </c>
      <c r="D186" s="6"/>
      <c r="E186" t="s">
        <v>1104</v>
      </c>
      <c r="F186" t="s">
        <v>1105</v>
      </c>
      <c r="G186" s="6">
        <v>55</v>
      </c>
      <c r="H186" s="6"/>
      <c r="I186" t="s">
        <v>491</v>
      </c>
      <c r="J186" s="3">
        <v>46295</v>
      </c>
      <c r="K186" t="s">
        <v>421</v>
      </c>
      <c r="L186" t="s">
        <v>139</v>
      </c>
      <c r="N186" t="s">
        <v>247</v>
      </c>
      <c r="O186" t="s">
        <v>1007</v>
      </c>
      <c r="P186" t="s">
        <v>189</v>
      </c>
      <c r="Q186" t="s">
        <v>1141</v>
      </c>
      <c r="S186" t="s">
        <v>144</v>
      </c>
      <c r="T186" t="s">
        <v>1342</v>
      </c>
      <c r="V186" t="s">
        <v>1343</v>
      </c>
      <c r="W186" t="s">
        <v>40</v>
      </c>
      <c r="X186" s="6" t="s">
        <v>1344</v>
      </c>
      <c r="Y186" s="6"/>
      <c r="Z186" t="s">
        <v>148</v>
      </c>
      <c r="AA186" t="s">
        <v>205</v>
      </c>
      <c r="AC186" t="s">
        <v>150</v>
      </c>
      <c r="AD186" s="6" t="s">
        <v>1345</v>
      </c>
      <c r="AE186" t="s">
        <v>1346</v>
      </c>
      <c r="AF186" s="3">
        <v>23080</v>
      </c>
      <c r="AG186">
        <v>63</v>
      </c>
      <c r="AH186" t="b">
        <v>0</v>
      </c>
      <c r="AI186" t="b">
        <v>1</v>
      </c>
      <c r="AJ186" s="6" t="s">
        <v>1347</v>
      </c>
      <c r="AK186" s="6" t="s">
        <v>171</v>
      </c>
      <c r="AL186" t="b">
        <v>0</v>
      </c>
      <c r="AM186" s="6"/>
      <c r="AN186" s="6"/>
      <c r="AP186" t="b">
        <v>0</v>
      </c>
      <c r="AQ186" s="6"/>
      <c r="AR186" s="6"/>
      <c r="AT186" t="b">
        <v>0</v>
      </c>
      <c r="AU186" s="6"/>
      <c r="AV186" s="6"/>
      <c r="AX186" t="b">
        <v>0</v>
      </c>
      <c r="AY186" s="6"/>
      <c r="AZ186" s="6"/>
      <c r="BA186" t="b">
        <v>0</v>
      </c>
      <c r="BB186" s="6"/>
      <c r="BC186" t="b">
        <v>0</v>
      </c>
      <c r="BD186" s="6"/>
      <c r="BE186" s="6"/>
      <c r="BF186" t="b">
        <v>0</v>
      </c>
      <c r="BG186" s="6"/>
      <c r="BH186" t="b">
        <v>0</v>
      </c>
      <c r="BI186" s="6"/>
      <c r="BJ186" t="b">
        <v>0</v>
      </c>
      <c r="BL186" t="b">
        <v>0</v>
      </c>
      <c r="BM186" t="b">
        <v>0</v>
      </c>
      <c r="BN186" t="b">
        <v>0</v>
      </c>
      <c r="BO186" t="b">
        <v>1</v>
      </c>
      <c r="BQ186" t="b">
        <v>0</v>
      </c>
      <c r="BR186" s="6"/>
      <c r="BT186" t="b">
        <v>0</v>
      </c>
      <c r="BU186" t="s">
        <v>1112</v>
      </c>
      <c r="BV186" t="s">
        <v>504</v>
      </c>
      <c r="BW186" t="s">
        <v>154</v>
      </c>
      <c r="BX186" t="s">
        <v>1273</v>
      </c>
      <c r="BY186" s="6" t="s">
        <v>1348</v>
      </c>
      <c r="BZ186">
        <v>1</v>
      </c>
      <c r="CA186" t="s">
        <v>157</v>
      </c>
      <c r="CB186" s="7">
        <v>46315.0537962963</v>
      </c>
    </row>
    <row r="187" spans="1:80">
      <c r="A187" s="6" t="s">
        <v>1349</v>
      </c>
      <c r="B187" t="s">
        <v>491</v>
      </c>
      <c r="C187" s="6" t="s">
        <v>1103</v>
      </c>
      <c r="D187" s="6"/>
      <c r="E187" t="s">
        <v>1104</v>
      </c>
      <c r="F187" t="s">
        <v>1105</v>
      </c>
      <c r="G187" s="6">
        <v>56</v>
      </c>
      <c r="H187" s="6"/>
      <c r="I187" t="s">
        <v>491</v>
      </c>
      <c r="J187" s="3">
        <v>46295</v>
      </c>
      <c r="K187" t="s">
        <v>421</v>
      </c>
      <c r="L187" t="s">
        <v>139</v>
      </c>
      <c r="N187" t="s">
        <v>535</v>
      </c>
      <c r="Q187" t="s">
        <v>1350</v>
      </c>
      <c r="S187" t="s">
        <v>144</v>
      </c>
      <c r="T187" t="s">
        <v>564</v>
      </c>
      <c r="V187" t="s">
        <v>565</v>
      </c>
      <c r="W187" t="s">
        <v>37</v>
      </c>
      <c r="X187" s="6" t="s">
        <v>566</v>
      </c>
      <c r="Y187" s="6"/>
      <c r="Z187" t="s">
        <v>148</v>
      </c>
      <c r="AA187" t="s">
        <v>149</v>
      </c>
      <c r="AC187" t="s">
        <v>150</v>
      </c>
      <c r="AD187" s="6" t="s">
        <v>1351</v>
      </c>
      <c r="AE187" t="s">
        <v>1352</v>
      </c>
      <c r="AF187" s="3">
        <v>35586</v>
      </c>
      <c r="AG187">
        <v>29</v>
      </c>
      <c r="AH187" t="b">
        <v>0</v>
      </c>
      <c r="AI187" t="b">
        <v>1</v>
      </c>
      <c r="AJ187" s="6" t="s">
        <v>1353</v>
      </c>
      <c r="AK187" s="6" t="s">
        <v>171</v>
      </c>
      <c r="AL187" t="b">
        <v>0</v>
      </c>
      <c r="AM187" s="6"/>
      <c r="AN187" s="6"/>
      <c r="AP187" t="b">
        <v>0</v>
      </c>
      <c r="AQ187" s="6"/>
      <c r="AR187" s="6"/>
      <c r="AT187" t="b">
        <v>0</v>
      </c>
      <c r="AU187" s="6"/>
      <c r="AV187" s="6"/>
      <c r="AX187" t="b">
        <v>0</v>
      </c>
      <c r="AY187" s="6"/>
      <c r="AZ187" s="6"/>
      <c r="BA187" t="b">
        <v>0</v>
      </c>
      <c r="BB187" s="6"/>
      <c r="BC187" t="b">
        <v>0</v>
      </c>
      <c r="BD187" s="6"/>
      <c r="BE187" s="6"/>
      <c r="BF187" t="b">
        <v>0</v>
      </c>
      <c r="BG187" s="6"/>
      <c r="BH187" t="b">
        <v>0</v>
      </c>
      <c r="BI187" s="6"/>
      <c r="BJ187" t="b">
        <v>0</v>
      </c>
      <c r="BL187" t="b">
        <v>0</v>
      </c>
      <c r="BM187" t="b">
        <v>0</v>
      </c>
      <c r="BN187" t="b">
        <v>0</v>
      </c>
      <c r="BO187" t="b">
        <v>1</v>
      </c>
      <c r="BQ187" t="b">
        <v>0</v>
      </c>
      <c r="BR187" s="6"/>
      <c r="BT187" t="b">
        <v>0</v>
      </c>
      <c r="BU187" t="s">
        <v>1112</v>
      </c>
      <c r="BV187" t="s">
        <v>504</v>
      </c>
      <c r="BW187" t="s">
        <v>171</v>
      </c>
      <c r="BY187" s="6" t="s">
        <v>1354</v>
      </c>
      <c r="BZ187">
        <v>1</v>
      </c>
      <c r="CB187" s="7">
        <v>46315.0537962963</v>
      </c>
    </row>
    <row r="188" spans="1:80">
      <c r="A188" s="6" t="s">
        <v>1355</v>
      </c>
      <c r="B188" t="s">
        <v>491</v>
      </c>
      <c r="C188" s="6" t="s">
        <v>1103</v>
      </c>
      <c r="D188" s="6"/>
      <c r="E188" t="s">
        <v>1104</v>
      </c>
      <c r="F188" t="s">
        <v>1105</v>
      </c>
      <c r="G188" s="6">
        <v>57</v>
      </c>
      <c r="H188" s="6"/>
      <c r="I188" t="s">
        <v>491</v>
      </c>
      <c r="J188" s="3">
        <v>46295</v>
      </c>
      <c r="K188" t="s">
        <v>421</v>
      </c>
      <c r="L188" t="s">
        <v>139</v>
      </c>
      <c r="N188" t="s">
        <v>444</v>
      </c>
      <c r="Q188" t="s">
        <v>523</v>
      </c>
      <c r="S188" t="s">
        <v>144</v>
      </c>
      <c r="T188" t="s">
        <v>524</v>
      </c>
      <c r="V188" t="s">
        <v>525</v>
      </c>
      <c r="W188" t="s">
        <v>34</v>
      </c>
      <c r="X188" s="6" t="s">
        <v>526</v>
      </c>
      <c r="Y188" s="6"/>
      <c r="Z188" t="s">
        <v>148</v>
      </c>
      <c r="AA188" t="s">
        <v>149</v>
      </c>
      <c r="AC188" t="s">
        <v>150</v>
      </c>
      <c r="AD188" s="6" t="s">
        <v>838</v>
      </c>
      <c r="AE188" t="s">
        <v>1356</v>
      </c>
      <c r="AF188" s="3">
        <v>30399</v>
      </c>
      <c r="AG188">
        <v>43</v>
      </c>
      <c r="AH188" t="b">
        <v>0</v>
      </c>
      <c r="AI188" t="b">
        <v>1</v>
      </c>
      <c r="AJ188" s="6" t="s">
        <v>527</v>
      </c>
      <c r="AK188" s="6" t="s">
        <v>171</v>
      </c>
      <c r="AL188" t="b">
        <v>0</v>
      </c>
      <c r="AM188" s="6"/>
      <c r="AN188" s="6"/>
      <c r="AP188" t="b">
        <v>0</v>
      </c>
      <c r="AQ188" s="6"/>
      <c r="AR188" s="6"/>
      <c r="AT188" t="b">
        <v>0</v>
      </c>
      <c r="AU188" s="6"/>
      <c r="AV188" s="6"/>
      <c r="AX188" t="b">
        <v>0</v>
      </c>
      <c r="AY188" s="6"/>
      <c r="AZ188" s="6"/>
      <c r="BA188" t="b">
        <v>0</v>
      </c>
      <c r="BB188" s="6"/>
      <c r="BC188" t="b">
        <v>0</v>
      </c>
      <c r="BD188" s="6"/>
      <c r="BE188" s="6"/>
      <c r="BF188" t="b">
        <v>0</v>
      </c>
      <c r="BG188" s="6"/>
      <c r="BH188" t="b">
        <v>0</v>
      </c>
      <c r="BI188" s="6"/>
      <c r="BJ188" t="b">
        <v>0</v>
      </c>
      <c r="BL188" t="b">
        <v>0</v>
      </c>
      <c r="BM188" t="b">
        <v>0</v>
      </c>
      <c r="BN188" t="b">
        <v>0</v>
      </c>
      <c r="BO188" t="b">
        <v>1</v>
      </c>
      <c r="BQ188" t="b">
        <v>0</v>
      </c>
      <c r="BR188" s="6"/>
      <c r="BT188" t="b">
        <v>0</v>
      </c>
      <c r="BU188" t="s">
        <v>1112</v>
      </c>
      <c r="BV188" t="s">
        <v>504</v>
      </c>
      <c r="BW188" t="s">
        <v>171</v>
      </c>
      <c r="BY188" s="6" t="s">
        <v>529</v>
      </c>
      <c r="BZ188">
        <v>1</v>
      </c>
      <c r="CB188" s="7">
        <v>46315.0537962963</v>
      </c>
    </row>
    <row r="189" spans="1:80">
      <c r="A189" s="6" t="s">
        <v>1357</v>
      </c>
      <c r="B189" t="s">
        <v>491</v>
      </c>
      <c r="C189" s="6" t="s">
        <v>1103</v>
      </c>
      <c r="D189" s="6"/>
      <c r="E189" t="s">
        <v>1104</v>
      </c>
      <c r="F189" t="s">
        <v>1105</v>
      </c>
      <c r="G189" s="6">
        <v>58</v>
      </c>
      <c r="H189" s="6"/>
      <c r="I189" t="s">
        <v>491</v>
      </c>
      <c r="J189" s="3">
        <v>46295</v>
      </c>
      <c r="K189" t="s">
        <v>421</v>
      </c>
      <c r="L189" t="s">
        <v>139</v>
      </c>
      <c r="N189" t="s">
        <v>1358</v>
      </c>
      <c r="Q189" t="s">
        <v>1359</v>
      </c>
      <c r="S189" t="s">
        <v>144</v>
      </c>
      <c r="T189" t="s">
        <v>1360</v>
      </c>
      <c r="V189" t="s">
        <v>1361</v>
      </c>
      <c r="W189" t="s">
        <v>38</v>
      </c>
      <c r="X189" s="6" t="s">
        <v>1362</v>
      </c>
      <c r="Y189" s="6"/>
      <c r="Z189" t="s">
        <v>148</v>
      </c>
      <c r="AA189" t="s">
        <v>205</v>
      </c>
      <c r="AC189" t="s">
        <v>150</v>
      </c>
      <c r="AD189" s="6" t="s">
        <v>1363</v>
      </c>
      <c r="AE189" t="s">
        <v>1364</v>
      </c>
      <c r="AF189" s="3">
        <v>30204</v>
      </c>
      <c r="AG189">
        <v>44</v>
      </c>
      <c r="AH189" t="b">
        <v>0</v>
      </c>
      <c r="AI189" t="b">
        <v>1</v>
      </c>
      <c r="AJ189" s="6" t="s">
        <v>1365</v>
      </c>
      <c r="AK189" s="6" t="s">
        <v>171</v>
      </c>
      <c r="AL189" t="b">
        <v>0</v>
      </c>
      <c r="AM189" s="6"/>
      <c r="AN189" s="6"/>
      <c r="AP189" t="b">
        <v>0</v>
      </c>
      <c r="AQ189" s="6"/>
      <c r="AR189" s="6"/>
      <c r="AT189" t="b">
        <v>0</v>
      </c>
      <c r="AU189" s="6"/>
      <c r="AV189" s="6"/>
      <c r="AX189" t="b">
        <v>0</v>
      </c>
      <c r="AY189" s="6"/>
      <c r="AZ189" s="6"/>
      <c r="BA189" t="b">
        <v>0</v>
      </c>
      <c r="BB189" s="6"/>
      <c r="BC189" t="b">
        <v>0</v>
      </c>
      <c r="BD189" s="6"/>
      <c r="BE189" s="6"/>
      <c r="BF189" t="b">
        <v>0</v>
      </c>
      <c r="BG189" s="6"/>
      <c r="BH189" t="b">
        <v>0</v>
      </c>
      <c r="BI189" s="6"/>
      <c r="BJ189" t="b">
        <v>0</v>
      </c>
      <c r="BL189" t="b">
        <v>0</v>
      </c>
      <c r="BM189" t="b">
        <v>0</v>
      </c>
      <c r="BN189" t="b">
        <v>0</v>
      </c>
      <c r="BO189" t="b">
        <v>1</v>
      </c>
      <c r="BQ189" t="b">
        <v>0</v>
      </c>
      <c r="BR189" s="6"/>
      <c r="BT189" t="b">
        <v>0</v>
      </c>
      <c r="BU189" t="s">
        <v>1112</v>
      </c>
      <c r="BV189" t="s">
        <v>504</v>
      </c>
      <c r="BW189" t="s">
        <v>154</v>
      </c>
      <c r="BX189" t="s">
        <v>43</v>
      </c>
      <c r="BY189" s="6" t="s">
        <v>1366</v>
      </c>
      <c r="BZ189">
        <v>1</v>
      </c>
      <c r="CA189" t="s">
        <v>157</v>
      </c>
      <c r="CB189" s="7">
        <v>46315.0537962963</v>
      </c>
    </row>
    <row r="190" spans="1:80">
      <c r="A190" s="6" t="s">
        <v>1367</v>
      </c>
      <c r="B190" t="s">
        <v>491</v>
      </c>
      <c r="C190" s="6" t="s">
        <v>1103</v>
      </c>
      <c r="D190" s="6"/>
      <c r="E190" t="s">
        <v>1104</v>
      </c>
      <c r="F190" t="s">
        <v>1105</v>
      </c>
      <c r="G190" s="6">
        <v>59</v>
      </c>
      <c r="H190" s="6"/>
      <c r="I190" t="s">
        <v>491</v>
      </c>
      <c r="J190" s="3">
        <v>46295</v>
      </c>
      <c r="K190" t="s">
        <v>421</v>
      </c>
      <c r="L190" t="s">
        <v>139</v>
      </c>
      <c r="N190" t="s">
        <v>444</v>
      </c>
      <c r="Q190" t="s">
        <v>445</v>
      </c>
      <c r="R190" t="s">
        <v>446</v>
      </c>
      <c r="S190" t="s">
        <v>144</v>
      </c>
      <c r="T190" t="s">
        <v>447</v>
      </c>
      <c r="V190" t="s">
        <v>203</v>
      </c>
      <c r="W190" t="s">
        <v>34</v>
      </c>
      <c r="X190" s="6" t="s">
        <v>448</v>
      </c>
      <c r="Y190" s="6"/>
      <c r="Z190" t="s">
        <v>148</v>
      </c>
      <c r="AA190" t="s">
        <v>149</v>
      </c>
      <c r="AC190" t="s">
        <v>150</v>
      </c>
      <c r="AD190" s="6" t="s">
        <v>1368</v>
      </c>
      <c r="AE190" t="s">
        <v>1369</v>
      </c>
      <c r="AF190" s="3">
        <v>19798</v>
      </c>
      <c r="AG190">
        <v>72</v>
      </c>
      <c r="AH190" t="b">
        <v>0</v>
      </c>
      <c r="AI190" t="b">
        <v>1</v>
      </c>
      <c r="AJ190" s="6" t="s">
        <v>449</v>
      </c>
      <c r="AK190" s="6" t="s">
        <v>171</v>
      </c>
      <c r="AL190" t="b">
        <v>0</v>
      </c>
      <c r="AM190" s="6"/>
      <c r="AN190" s="6"/>
      <c r="AP190" t="b">
        <v>0</v>
      </c>
      <c r="AQ190" s="6"/>
      <c r="AR190" s="6"/>
      <c r="AT190" t="b">
        <v>0</v>
      </c>
      <c r="AU190" s="6"/>
      <c r="AV190" s="6"/>
      <c r="AX190" t="b">
        <v>0</v>
      </c>
      <c r="AY190" s="6"/>
      <c r="AZ190" s="6"/>
      <c r="BA190" t="b">
        <v>0</v>
      </c>
      <c r="BB190" s="6"/>
      <c r="BC190" t="b">
        <v>0</v>
      </c>
      <c r="BD190" s="6"/>
      <c r="BE190" s="6"/>
      <c r="BF190" t="b">
        <v>0</v>
      </c>
      <c r="BG190" s="6"/>
      <c r="BH190" t="b">
        <v>0</v>
      </c>
      <c r="BI190" s="6"/>
      <c r="BJ190" t="b">
        <v>0</v>
      </c>
      <c r="BL190" t="b">
        <v>0</v>
      </c>
      <c r="BM190" t="b">
        <v>0</v>
      </c>
      <c r="BN190" t="b">
        <v>0</v>
      </c>
      <c r="BO190" t="b">
        <v>1</v>
      </c>
      <c r="BQ190" t="b">
        <v>0</v>
      </c>
      <c r="BR190" s="6"/>
      <c r="BT190" t="b">
        <v>0</v>
      </c>
      <c r="BU190" t="s">
        <v>1112</v>
      </c>
      <c r="BV190" t="s">
        <v>504</v>
      </c>
      <c r="BW190" t="s">
        <v>171</v>
      </c>
      <c r="BY190" s="6" t="s">
        <v>451</v>
      </c>
      <c r="BZ190">
        <v>1</v>
      </c>
      <c r="CB190" s="7">
        <v>46315.0537962963</v>
      </c>
    </row>
    <row r="191" spans="1:80">
      <c r="A191" s="6" t="s">
        <v>1370</v>
      </c>
      <c r="B191" t="s">
        <v>491</v>
      </c>
      <c r="C191" s="6" t="s">
        <v>1103</v>
      </c>
      <c r="D191" s="6"/>
      <c r="E191" t="s">
        <v>1104</v>
      </c>
      <c r="F191" t="s">
        <v>1105</v>
      </c>
      <c r="G191" s="6">
        <v>60</v>
      </c>
      <c r="H191" s="6"/>
      <c r="I191" t="s">
        <v>491</v>
      </c>
      <c r="J191" s="3">
        <v>46295</v>
      </c>
      <c r="K191" t="s">
        <v>421</v>
      </c>
      <c r="L191" t="s">
        <v>139</v>
      </c>
      <c r="N191" t="s">
        <v>1371</v>
      </c>
      <c r="Q191" t="s">
        <v>1372</v>
      </c>
      <c r="S191" t="s">
        <v>144</v>
      </c>
      <c r="T191" t="s">
        <v>1373</v>
      </c>
      <c r="V191" t="s">
        <v>238</v>
      </c>
      <c r="W191" t="s">
        <v>37</v>
      </c>
      <c r="X191" s="6" t="s">
        <v>1374</v>
      </c>
      <c r="Y191" s="6"/>
      <c r="Z191" t="s">
        <v>148</v>
      </c>
      <c r="AA191" t="s">
        <v>205</v>
      </c>
      <c r="AC191" t="s">
        <v>150</v>
      </c>
      <c r="AD191" s="6" t="s">
        <v>1375</v>
      </c>
      <c r="AE191" t="s">
        <v>1376</v>
      </c>
      <c r="AF191" s="3">
        <v>22450</v>
      </c>
      <c r="AG191">
        <v>65</v>
      </c>
      <c r="AH191" t="b">
        <v>0</v>
      </c>
      <c r="AI191" t="b">
        <v>1</v>
      </c>
      <c r="AJ191" s="6" t="s">
        <v>1377</v>
      </c>
      <c r="AK191" s="6" t="s">
        <v>171</v>
      </c>
      <c r="AL191" t="b">
        <v>0</v>
      </c>
      <c r="AM191" s="6"/>
      <c r="AN191" s="6"/>
      <c r="AP191" t="b">
        <v>0</v>
      </c>
      <c r="AQ191" s="6"/>
      <c r="AR191" s="6"/>
      <c r="AT191" t="b">
        <v>0</v>
      </c>
      <c r="AU191" s="6"/>
      <c r="AV191" s="6"/>
      <c r="AX191" t="b">
        <v>0</v>
      </c>
      <c r="AY191" s="6"/>
      <c r="AZ191" s="6"/>
      <c r="BA191" t="b">
        <v>0</v>
      </c>
      <c r="BB191" s="6"/>
      <c r="BC191" t="b">
        <v>0</v>
      </c>
      <c r="BD191" s="6"/>
      <c r="BE191" s="6"/>
      <c r="BF191" t="b">
        <v>0</v>
      </c>
      <c r="BG191" s="6"/>
      <c r="BH191" t="b">
        <v>0</v>
      </c>
      <c r="BI191" s="6"/>
      <c r="BJ191" t="b">
        <v>0</v>
      </c>
      <c r="BL191" t="b">
        <v>0</v>
      </c>
      <c r="BM191" t="b">
        <v>0</v>
      </c>
      <c r="BN191" t="b">
        <v>0</v>
      </c>
      <c r="BO191" t="b">
        <v>1</v>
      </c>
      <c r="BQ191" t="b">
        <v>0</v>
      </c>
      <c r="BR191" s="6"/>
      <c r="BT191" t="b">
        <v>0</v>
      </c>
      <c r="BU191" t="s">
        <v>1112</v>
      </c>
      <c r="BV191" t="s">
        <v>504</v>
      </c>
      <c r="BW191" t="s">
        <v>154</v>
      </c>
      <c r="BX191" t="s">
        <v>43</v>
      </c>
      <c r="BY191" s="6" t="s">
        <v>1378</v>
      </c>
      <c r="BZ191">
        <v>1</v>
      </c>
      <c r="CA191" t="s">
        <v>157</v>
      </c>
      <c r="CB191" s="7">
        <v>46315.0537962963</v>
      </c>
    </row>
    <row r="192" spans="1:80">
      <c r="A192" s="6" t="s">
        <v>1379</v>
      </c>
      <c r="B192" t="s">
        <v>491</v>
      </c>
      <c r="C192" s="6" t="s">
        <v>1103</v>
      </c>
      <c r="D192" s="6"/>
      <c r="E192" t="s">
        <v>1104</v>
      </c>
      <c r="F192" t="s">
        <v>1105</v>
      </c>
      <c r="G192" s="6">
        <v>61</v>
      </c>
      <c r="H192" s="6"/>
      <c r="I192" t="s">
        <v>491</v>
      </c>
      <c r="J192" s="3">
        <v>46295</v>
      </c>
      <c r="K192" t="s">
        <v>421</v>
      </c>
      <c r="L192" t="s">
        <v>139</v>
      </c>
      <c r="N192" t="s">
        <v>433</v>
      </c>
      <c r="Q192" t="s">
        <v>1380</v>
      </c>
      <c r="S192" t="s">
        <v>144</v>
      </c>
      <c r="T192" t="s">
        <v>1381</v>
      </c>
      <c r="V192" t="s">
        <v>1382</v>
      </c>
      <c r="W192" t="s">
        <v>35</v>
      </c>
      <c r="X192" s="6" t="s">
        <v>1383</v>
      </c>
      <c r="Y192" s="6"/>
      <c r="Z192" t="s">
        <v>148</v>
      </c>
      <c r="AA192" t="s">
        <v>205</v>
      </c>
      <c r="AC192" t="s">
        <v>150</v>
      </c>
      <c r="AD192" s="6" t="s">
        <v>1384</v>
      </c>
      <c r="AE192" t="s">
        <v>1385</v>
      </c>
      <c r="AF192" s="3">
        <v>22680</v>
      </c>
      <c r="AG192">
        <v>64</v>
      </c>
      <c r="AH192" t="b">
        <v>0</v>
      </c>
      <c r="AI192" t="b">
        <v>1</v>
      </c>
      <c r="AJ192" s="6" t="s">
        <v>1386</v>
      </c>
      <c r="AK192" s="6" t="s">
        <v>171</v>
      </c>
      <c r="AL192" t="b">
        <v>0</v>
      </c>
      <c r="AM192" s="6"/>
      <c r="AN192" s="6"/>
      <c r="AP192" t="b">
        <v>0</v>
      </c>
      <c r="AQ192" s="6"/>
      <c r="AR192" s="6"/>
      <c r="AT192" t="b">
        <v>0</v>
      </c>
      <c r="AU192" s="6"/>
      <c r="AV192" s="6"/>
      <c r="AX192" t="b">
        <v>0</v>
      </c>
      <c r="AY192" s="6"/>
      <c r="AZ192" s="6"/>
      <c r="BA192" t="b">
        <v>0</v>
      </c>
      <c r="BB192" s="6"/>
      <c r="BC192" t="b">
        <v>0</v>
      </c>
      <c r="BD192" s="6"/>
      <c r="BE192" s="6"/>
      <c r="BF192" t="b">
        <v>0</v>
      </c>
      <c r="BG192" s="6"/>
      <c r="BH192" t="b">
        <v>0</v>
      </c>
      <c r="BI192" s="6"/>
      <c r="BJ192" t="b">
        <v>0</v>
      </c>
      <c r="BL192" t="b">
        <v>0</v>
      </c>
      <c r="BM192" t="b">
        <v>0</v>
      </c>
      <c r="BN192" t="b">
        <v>0</v>
      </c>
      <c r="BO192" t="b">
        <v>1</v>
      </c>
      <c r="BQ192" t="b">
        <v>0</v>
      </c>
      <c r="BR192" s="6"/>
      <c r="BT192" t="b">
        <v>0</v>
      </c>
      <c r="BU192" t="s">
        <v>1112</v>
      </c>
      <c r="BV192" t="s">
        <v>504</v>
      </c>
      <c r="BW192" t="s">
        <v>154</v>
      </c>
      <c r="BX192" t="s">
        <v>1387</v>
      </c>
      <c r="BY192" s="6" t="s">
        <v>1388</v>
      </c>
      <c r="BZ192">
        <v>1</v>
      </c>
      <c r="CA192" t="s">
        <v>157</v>
      </c>
      <c r="CB192" s="7">
        <v>46315.0537962963</v>
      </c>
    </row>
    <row r="193" spans="1:80">
      <c r="A193" s="6" t="s">
        <v>1389</v>
      </c>
      <c r="B193" t="s">
        <v>491</v>
      </c>
      <c r="C193" s="6" t="s">
        <v>1103</v>
      </c>
      <c r="D193" s="6"/>
      <c r="E193" t="s">
        <v>1104</v>
      </c>
      <c r="F193" t="s">
        <v>1105</v>
      </c>
      <c r="G193" s="6">
        <v>62</v>
      </c>
      <c r="H193" s="6"/>
      <c r="I193" t="s">
        <v>491</v>
      </c>
      <c r="J193" s="3">
        <v>46295</v>
      </c>
      <c r="K193" t="s">
        <v>421</v>
      </c>
      <c r="L193" t="s">
        <v>139</v>
      </c>
      <c r="N193" t="s">
        <v>314</v>
      </c>
      <c r="O193" t="s">
        <v>1390</v>
      </c>
      <c r="P193" t="s">
        <v>163</v>
      </c>
      <c r="Q193" t="s">
        <v>315</v>
      </c>
      <c r="S193" t="s">
        <v>144</v>
      </c>
      <c r="T193" t="s">
        <v>316</v>
      </c>
      <c r="V193" t="s">
        <v>317</v>
      </c>
      <c r="W193" t="s">
        <v>34</v>
      </c>
      <c r="X193" s="6" t="s">
        <v>318</v>
      </c>
      <c r="Y193" s="6"/>
      <c r="Z193" t="s">
        <v>148</v>
      </c>
      <c r="AA193" t="s">
        <v>149</v>
      </c>
      <c r="AC193" t="s">
        <v>150</v>
      </c>
      <c r="AD193" s="6" t="s">
        <v>1073</v>
      </c>
      <c r="AE193" t="s">
        <v>1391</v>
      </c>
      <c r="AF193" s="3">
        <v>28458</v>
      </c>
      <c r="AG193">
        <v>48</v>
      </c>
      <c r="AH193" t="b">
        <v>0</v>
      </c>
      <c r="AI193" t="b">
        <v>1</v>
      </c>
      <c r="AJ193" s="6" t="s">
        <v>555</v>
      </c>
      <c r="AK193" s="6" t="s">
        <v>171</v>
      </c>
      <c r="AL193" t="b">
        <v>0</v>
      </c>
      <c r="AM193" s="6"/>
      <c r="AN193" s="6"/>
      <c r="AP193" t="b">
        <v>0</v>
      </c>
      <c r="AQ193" s="6"/>
      <c r="AR193" s="6"/>
      <c r="AT193" t="b">
        <v>0</v>
      </c>
      <c r="AU193" s="6"/>
      <c r="AV193" s="6"/>
      <c r="AX193" t="b">
        <v>0</v>
      </c>
      <c r="AY193" s="6"/>
      <c r="AZ193" s="6"/>
      <c r="BA193" t="b">
        <v>0</v>
      </c>
      <c r="BB193" s="6"/>
      <c r="BC193" t="b">
        <v>0</v>
      </c>
      <c r="BD193" s="6"/>
      <c r="BE193" s="6"/>
      <c r="BF193" t="b">
        <v>0</v>
      </c>
      <c r="BG193" s="6"/>
      <c r="BH193" t="b">
        <v>0</v>
      </c>
      <c r="BI193" s="6"/>
      <c r="BJ193" t="b">
        <v>0</v>
      </c>
      <c r="BL193" t="b">
        <v>0</v>
      </c>
      <c r="BM193" t="b">
        <v>0</v>
      </c>
      <c r="BN193" t="b">
        <v>0</v>
      </c>
      <c r="BO193" t="b">
        <v>1</v>
      </c>
      <c r="BQ193" t="b">
        <v>0</v>
      </c>
      <c r="BR193" s="6"/>
      <c r="BT193" t="b">
        <v>0</v>
      </c>
      <c r="BU193" t="s">
        <v>1112</v>
      </c>
      <c r="BV193" t="s">
        <v>504</v>
      </c>
      <c r="BW193" t="s">
        <v>154</v>
      </c>
      <c r="BX193" t="s">
        <v>1137</v>
      </c>
      <c r="BY193" s="6" t="s">
        <v>321</v>
      </c>
      <c r="BZ193">
        <v>1</v>
      </c>
      <c r="CA193" t="s">
        <v>157</v>
      </c>
      <c r="CB193" s="7">
        <v>46315.0537962963</v>
      </c>
    </row>
    <row r="194" spans="1:80">
      <c r="A194" s="6" t="s">
        <v>1392</v>
      </c>
      <c r="B194" t="s">
        <v>491</v>
      </c>
      <c r="C194" s="6" t="s">
        <v>1103</v>
      </c>
      <c r="D194" s="6"/>
      <c r="E194" t="s">
        <v>1104</v>
      </c>
      <c r="F194" t="s">
        <v>1105</v>
      </c>
      <c r="G194" s="6">
        <v>63</v>
      </c>
      <c r="H194" s="6"/>
      <c r="I194" t="s">
        <v>491</v>
      </c>
      <c r="J194" s="3">
        <v>46295</v>
      </c>
      <c r="K194" t="s">
        <v>421</v>
      </c>
      <c r="L194" t="s">
        <v>139</v>
      </c>
      <c r="N194" t="s">
        <v>678</v>
      </c>
      <c r="Q194" t="s">
        <v>469</v>
      </c>
      <c r="S194" t="s">
        <v>144</v>
      </c>
      <c r="T194" t="s">
        <v>470</v>
      </c>
      <c r="V194" t="s">
        <v>471</v>
      </c>
      <c r="W194" t="s">
        <v>38</v>
      </c>
      <c r="X194" s="6" t="s">
        <v>472</v>
      </c>
      <c r="Y194" s="6"/>
      <c r="Z194" t="s">
        <v>148</v>
      </c>
      <c r="AA194" t="s">
        <v>149</v>
      </c>
      <c r="AC194" t="s">
        <v>150</v>
      </c>
      <c r="AD194" s="6" t="s">
        <v>1393</v>
      </c>
      <c r="AE194" t="s">
        <v>1394</v>
      </c>
      <c r="AF194" s="3">
        <v>35924</v>
      </c>
      <c r="AG194">
        <v>28</v>
      </c>
      <c r="AH194" t="b">
        <v>0</v>
      </c>
      <c r="AI194" t="b">
        <v>1</v>
      </c>
      <c r="AJ194" s="6" t="s">
        <v>679</v>
      </c>
      <c r="AK194" s="6" t="s">
        <v>171</v>
      </c>
      <c r="AL194" t="b">
        <v>0</v>
      </c>
      <c r="AM194" s="6"/>
      <c r="AN194" s="6"/>
      <c r="AP194" t="b">
        <v>0</v>
      </c>
      <c r="AQ194" s="6"/>
      <c r="AR194" s="6"/>
      <c r="AT194" t="b">
        <v>0</v>
      </c>
      <c r="AU194" s="6"/>
      <c r="AV194" s="6"/>
      <c r="AX194" t="b">
        <v>0</v>
      </c>
      <c r="AY194" s="6"/>
      <c r="AZ194" s="6"/>
      <c r="BA194" t="b">
        <v>0</v>
      </c>
      <c r="BB194" s="6"/>
      <c r="BC194" t="b">
        <v>0</v>
      </c>
      <c r="BD194" s="6"/>
      <c r="BE194" s="6"/>
      <c r="BF194" t="b">
        <v>0</v>
      </c>
      <c r="BG194" s="6"/>
      <c r="BH194" t="b">
        <v>0</v>
      </c>
      <c r="BI194" s="6"/>
      <c r="BJ194" t="b">
        <v>0</v>
      </c>
      <c r="BL194" t="b">
        <v>0</v>
      </c>
      <c r="BM194" t="b">
        <v>0</v>
      </c>
      <c r="BN194" t="b">
        <v>0</v>
      </c>
      <c r="BO194" t="b">
        <v>1</v>
      </c>
      <c r="BQ194" t="b">
        <v>0</v>
      </c>
      <c r="BR194" s="6"/>
      <c r="BT194" t="b">
        <v>0</v>
      </c>
      <c r="BU194" t="s">
        <v>1112</v>
      </c>
      <c r="BV194" t="s">
        <v>504</v>
      </c>
      <c r="BW194" t="s">
        <v>154</v>
      </c>
      <c r="BX194" t="s">
        <v>44</v>
      </c>
      <c r="BY194" s="6" t="s">
        <v>681</v>
      </c>
      <c r="BZ194">
        <v>1</v>
      </c>
      <c r="CA194" t="s">
        <v>157</v>
      </c>
      <c r="CB194" s="7">
        <v>46315.0537962963</v>
      </c>
    </row>
    <row r="195" spans="1:80">
      <c r="A195" s="6" t="s">
        <v>1395</v>
      </c>
      <c r="B195" t="s">
        <v>491</v>
      </c>
      <c r="C195" s="6" t="s">
        <v>1396</v>
      </c>
      <c r="D195" s="6"/>
      <c r="E195" t="s">
        <v>1397</v>
      </c>
      <c r="F195" t="s">
        <v>1398</v>
      </c>
      <c r="G195" s="6">
        <v>2</v>
      </c>
      <c r="H195" s="6"/>
      <c r="I195" t="s">
        <v>491</v>
      </c>
      <c r="J195" s="3">
        <v>43555</v>
      </c>
      <c r="K195" t="s">
        <v>1399</v>
      </c>
      <c r="L195" t="s">
        <v>139</v>
      </c>
      <c r="N195" t="s">
        <v>1324</v>
      </c>
      <c r="Q195" t="s">
        <v>547</v>
      </c>
      <c r="S195" t="s">
        <v>249</v>
      </c>
      <c r="T195" t="s">
        <v>1325</v>
      </c>
      <c r="V195" t="s">
        <v>1326</v>
      </c>
      <c r="W195" t="s">
        <v>36</v>
      </c>
      <c r="X195" s="6" t="s">
        <v>1327</v>
      </c>
      <c r="Y195" s="6"/>
      <c r="Z195" t="s">
        <v>148</v>
      </c>
      <c r="AA195" t="s">
        <v>149</v>
      </c>
      <c r="AC195" t="s">
        <v>150</v>
      </c>
      <c r="AD195" s="6" t="s">
        <v>1328</v>
      </c>
      <c r="AF195" s="3">
        <v>31574</v>
      </c>
      <c r="AG195">
        <v>40</v>
      </c>
      <c r="AH195" t="b">
        <v>0</v>
      </c>
      <c r="AI195" t="b">
        <v>1</v>
      </c>
      <c r="AJ195" s="6" t="s">
        <v>1330</v>
      </c>
      <c r="AK195" s="6" t="s">
        <v>171</v>
      </c>
      <c r="AL195" t="b">
        <v>0</v>
      </c>
      <c r="AM195" s="6"/>
      <c r="AN195" s="6"/>
      <c r="AP195" t="b">
        <v>0</v>
      </c>
      <c r="AQ195" s="6"/>
      <c r="AR195" s="6"/>
      <c r="AT195" t="b">
        <v>0</v>
      </c>
      <c r="AU195" s="6"/>
      <c r="AV195" s="6"/>
      <c r="AX195" t="b">
        <v>0</v>
      </c>
      <c r="AY195" s="6"/>
      <c r="AZ195" s="6"/>
      <c r="BA195" t="b">
        <v>0</v>
      </c>
      <c r="BB195" s="6"/>
      <c r="BC195" t="b">
        <v>0</v>
      </c>
      <c r="BD195" s="6"/>
      <c r="BE195" s="6"/>
      <c r="BF195" t="b">
        <v>0</v>
      </c>
      <c r="BG195" s="6"/>
      <c r="BH195" t="b">
        <v>0</v>
      </c>
      <c r="BI195" s="6"/>
      <c r="BJ195" t="b">
        <v>0</v>
      </c>
      <c r="BL195" t="b">
        <v>0</v>
      </c>
      <c r="BM195" t="b">
        <v>0</v>
      </c>
      <c r="BN195" t="b">
        <v>0</v>
      </c>
      <c r="BO195" t="b">
        <v>0</v>
      </c>
      <c r="BQ195" t="b">
        <v>0</v>
      </c>
      <c r="BR195" s="6"/>
      <c r="BT195" t="b">
        <v>0</v>
      </c>
      <c r="BU195" t="s">
        <v>1400</v>
      </c>
      <c r="BV195" t="s">
        <v>504</v>
      </c>
      <c r="BW195" t="s">
        <v>154</v>
      </c>
      <c r="BX195" t="s">
        <v>1401</v>
      </c>
      <c r="BY195" s="6" t="s">
        <v>1331</v>
      </c>
      <c r="BZ195">
        <v>1</v>
      </c>
      <c r="CA195" t="s">
        <v>157</v>
      </c>
      <c r="CB195" s="7">
        <v>46315.0537962963</v>
      </c>
    </row>
    <row r="196" spans="1:80">
      <c r="A196" s="6" t="s">
        <v>1402</v>
      </c>
      <c r="B196" t="s">
        <v>491</v>
      </c>
      <c r="C196" s="6" t="s">
        <v>1396</v>
      </c>
      <c r="D196" s="6"/>
      <c r="E196" t="s">
        <v>1397</v>
      </c>
      <c r="F196" t="s">
        <v>1398</v>
      </c>
      <c r="G196" s="6">
        <v>3</v>
      </c>
      <c r="H196" s="6"/>
      <c r="I196" t="s">
        <v>491</v>
      </c>
      <c r="J196" s="3">
        <v>43555</v>
      </c>
      <c r="K196" t="s">
        <v>1399</v>
      </c>
      <c r="L196" t="s">
        <v>139</v>
      </c>
      <c r="N196" t="s">
        <v>1403</v>
      </c>
      <c r="O196" t="s">
        <v>142</v>
      </c>
      <c r="P196" t="s">
        <v>142</v>
      </c>
      <c r="Q196" t="s">
        <v>1404</v>
      </c>
      <c r="S196" t="s">
        <v>249</v>
      </c>
      <c r="T196" t="s">
        <v>1405</v>
      </c>
      <c r="V196" t="s">
        <v>1406</v>
      </c>
      <c r="W196" t="s">
        <v>38</v>
      </c>
      <c r="X196" s="6" t="s">
        <v>1407</v>
      </c>
      <c r="Y196" s="6"/>
      <c r="Z196" t="s">
        <v>148</v>
      </c>
      <c r="AA196" t="s">
        <v>205</v>
      </c>
      <c r="AC196" t="s">
        <v>150</v>
      </c>
      <c r="AD196" s="6" t="s">
        <v>1408</v>
      </c>
      <c r="AF196" s="3">
        <v>21533</v>
      </c>
      <c r="AG196">
        <v>67</v>
      </c>
      <c r="AH196" t="b">
        <v>0</v>
      </c>
      <c r="AI196" t="b">
        <v>1</v>
      </c>
      <c r="AJ196" s="6" t="s">
        <v>1409</v>
      </c>
      <c r="AK196" s="6" t="s">
        <v>171</v>
      </c>
      <c r="AL196" t="b">
        <v>0</v>
      </c>
      <c r="AM196" s="6"/>
      <c r="AN196" s="6"/>
      <c r="AP196" t="b">
        <v>0</v>
      </c>
      <c r="AQ196" s="6"/>
      <c r="AR196" s="6"/>
      <c r="AT196" t="b">
        <v>0</v>
      </c>
      <c r="AU196" s="6"/>
      <c r="AV196" s="6"/>
      <c r="AX196" t="b">
        <v>0</v>
      </c>
      <c r="AY196" s="6"/>
      <c r="AZ196" s="6"/>
      <c r="BA196" t="b">
        <v>0</v>
      </c>
      <c r="BB196" s="6"/>
      <c r="BC196" t="b">
        <v>0</v>
      </c>
      <c r="BD196" s="6"/>
      <c r="BE196" s="6"/>
      <c r="BF196" t="b">
        <v>0</v>
      </c>
      <c r="BG196" s="6"/>
      <c r="BH196" t="b">
        <v>0</v>
      </c>
      <c r="BI196" s="6"/>
      <c r="BJ196" t="b">
        <v>0</v>
      </c>
      <c r="BL196" t="b">
        <v>0</v>
      </c>
      <c r="BM196" t="b">
        <v>0</v>
      </c>
      <c r="BN196" t="b">
        <v>0</v>
      </c>
      <c r="BO196" t="b">
        <v>0</v>
      </c>
      <c r="BQ196" t="b">
        <v>0</v>
      </c>
      <c r="BR196" s="6"/>
      <c r="BT196" t="b">
        <v>0</v>
      </c>
      <c r="BU196" t="s">
        <v>1400</v>
      </c>
      <c r="BV196" t="s">
        <v>504</v>
      </c>
      <c r="BW196" t="s">
        <v>154</v>
      </c>
      <c r="BX196" t="s">
        <v>1273</v>
      </c>
      <c r="BY196" s="6" t="s">
        <v>1410</v>
      </c>
      <c r="BZ196">
        <v>1</v>
      </c>
      <c r="CA196" t="s">
        <v>157</v>
      </c>
      <c r="CB196" s="7">
        <v>46315.0537962963</v>
      </c>
    </row>
    <row r="197" spans="1:80">
      <c r="A197" s="6" t="s">
        <v>1411</v>
      </c>
      <c r="B197" t="s">
        <v>491</v>
      </c>
      <c r="C197" s="6" t="s">
        <v>1396</v>
      </c>
      <c r="D197" s="6"/>
      <c r="E197" t="s">
        <v>1397</v>
      </c>
      <c r="F197" t="s">
        <v>1398</v>
      </c>
      <c r="G197" s="6">
        <v>4</v>
      </c>
      <c r="H197" s="6"/>
      <c r="I197" t="s">
        <v>491</v>
      </c>
      <c r="J197" s="3">
        <v>43555</v>
      </c>
      <c r="K197" t="s">
        <v>1399</v>
      </c>
      <c r="L197" t="s">
        <v>139</v>
      </c>
      <c r="N197" t="s">
        <v>223</v>
      </c>
      <c r="O197" t="s">
        <v>224</v>
      </c>
      <c r="P197" t="s">
        <v>224</v>
      </c>
      <c r="Q197" t="s">
        <v>225</v>
      </c>
      <c r="S197" t="s">
        <v>249</v>
      </c>
      <c r="T197" t="s">
        <v>226</v>
      </c>
      <c r="V197" t="s">
        <v>227</v>
      </c>
      <c r="W197" t="s">
        <v>37</v>
      </c>
      <c r="X197" s="6" t="s">
        <v>228</v>
      </c>
      <c r="Y197" s="6"/>
      <c r="Z197" t="s">
        <v>148</v>
      </c>
      <c r="AA197" t="s">
        <v>149</v>
      </c>
      <c r="AC197" t="s">
        <v>150</v>
      </c>
      <c r="AD197" s="6" t="s">
        <v>1120</v>
      </c>
      <c r="AF197" s="3">
        <v>24202</v>
      </c>
      <c r="AG197">
        <v>60</v>
      </c>
      <c r="AH197" t="b">
        <v>0</v>
      </c>
      <c r="AI197" t="b">
        <v>1</v>
      </c>
      <c r="AJ197" s="6" t="s">
        <v>588</v>
      </c>
      <c r="AK197" s="6" t="s">
        <v>171</v>
      </c>
      <c r="AL197" t="b">
        <v>0</v>
      </c>
      <c r="AM197" s="6"/>
      <c r="AN197" s="6"/>
      <c r="AP197" t="b">
        <v>0</v>
      </c>
      <c r="AQ197" s="6"/>
      <c r="AR197" s="6"/>
      <c r="AT197" t="b">
        <v>0</v>
      </c>
      <c r="AU197" s="6"/>
      <c r="AV197" s="6"/>
      <c r="AX197" t="b">
        <v>0</v>
      </c>
      <c r="AY197" s="6"/>
      <c r="AZ197" s="6"/>
      <c r="BA197" t="b">
        <v>0</v>
      </c>
      <c r="BB197" s="6"/>
      <c r="BC197" t="b">
        <v>0</v>
      </c>
      <c r="BD197" s="6"/>
      <c r="BE197" s="6"/>
      <c r="BF197" t="b">
        <v>0</v>
      </c>
      <c r="BG197" s="6"/>
      <c r="BH197" t="b">
        <v>0</v>
      </c>
      <c r="BI197" s="6"/>
      <c r="BJ197" t="b">
        <v>0</v>
      </c>
      <c r="BL197" t="b">
        <v>0</v>
      </c>
      <c r="BM197" t="b">
        <v>0</v>
      </c>
      <c r="BN197" t="b">
        <v>0</v>
      </c>
      <c r="BO197" t="b">
        <v>0</v>
      </c>
      <c r="BQ197" t="b">
        <v>0</v>
      </c>
      <c r="BR197" s="6"/>
      <c r="BT197" t="b">
        <v>0</v>
      </c>
      <c r="BU197" t="s">
        <v>1400</v>
      </c>
      <c r="BV197" t="s">
        <v>504</v>
      </c>
      <c r="BW197" t="s">
        <v>154</v>
      </c>
      <c r="BX197" t="s">
        <v>45</v>
      </c>
      <c r="BY197" s="6" t="s">
        <v>230</v>
      </c>
      <c r="BZ197">
        <v>1</v>
      </c>
      <c r="CA197" t="s">
        <v>157</v>
      </c>
      <c r="CB197" s="7">
        <v>46315.0537962963</v>
      </c>
    </row>
    <row r="198" spans="1:80">
      <c r="A198" s="6" t="s">
        <v>1412</v>
      </c>
      <c r="B198" t="s">
        <v>491</v>
      </c>
      <c r="C198" s="6" t="s">
        <v>1396</v>
      </c>
      <c r="D198" s="6"/>
      <c r="E198" t="s">
        <v>1397</v>
      </c>
      <c r="F198" t="s">
        <v>1398</v>
      </c>
      <c r="G198" s="6">
        <v>5</v>
      </c>
      <c r="H198" s="6"/>
      <c r="I198" t="s">
        <v>491</v>
      </c>
      <c r="J198" s="3">
        <v>43555</v>
      </c>
      <c r="K198" t="s">
        <v>1399</v>
      </c>
      <c r="L198" t="s">
        <v>139</v>
      </c>
      <c r="N198" t="s">
        <v>1413</v>
      </c>
      <c r="O198" t="s">
        <v>1180</v>
      </c>
      <c r="P198" t="s">
        <v>1180</v>
      </c>
      <c r="Q198" t="s">
        <v>970</v>
      </c>
      <c r="S198" t="s">
        <v>249</v>
      </c>
      <c r="T198" t="s">
        <v>1414</v>
      </c>
      <c r="V198" t="s">
        <v>525</v>
      </c>
      <c r="W198" t="s">
        <v>34</v>
      </c>
      <c r="X198" s="6" t="s">
        <v>1415</v>
      </c>
      <c r="Y198" s="6"/>
      <c r="Z198" t="s">
        <v>148</v>
      </c>
      <c r="AA198" t="s">
        <v>205</v>
      </c>
      <c r="AC198" t="s">
        <v>150</v>
      </c>
      <c r="AD198" s="6" t="s">
        <v>1416</v>
      </c>
      <c r="AF198" s="3">
        <v>22170</v>
      </c>
      <c r="AG198">
        <v>66</v>
      </c>
      <c r="AH198" t="b">
        <v>0</v>
      </c>
      <c r="AI198" t="b">
        <v>1</v>
      </c>
      <c r="AJ198" s="6" t="s">
        <v>1417</v>
      </c>
      <c r="AK198" s="6" t="s">
        <v>171</v>
      </c>
      <c r="AL198" t="b">
        <v>0</v>
      </c>
      <c r="AM198" s="6"/>
      <c r="AN198" s="6"/>
      <c r="AP198" t="b">
        <v>0</v>
      </c>
      <c r="AQ198" s="6"/>
      <c r="AR198" s="6"/>
      <c r="AT198" t="b">
        <v>0</v>
      </c>
      <c r="AU198" s="6"/>
      <c r="AV198" s="6"/>
      <c r="AX198" t="b">
        <v>0</v>
      </c>
      <c r="AY198" s="6"/>
      <c r="AZ198" s="6"/>
      <c r="BA198" t="b">
        <v>0</v>
      </c>
      <c r="BB198" s="6"/>
      <c r="BC198" t="b">
        <v>0</v>
      </c>
      <c r="BD198" s="6"/>
      <c r="BE198" s="6"/>
      <c r="BF198" t="b">
        <v>0</v>
      </c>
      <c r="BG198" s="6"/>
      <c r="BH198" t="b">
        <v>0</v>
      </c>
      <c r="BI198" s="6"/>
      <c r="BJ198" t="b">
        <v>0</v>
      </c>
      <c r="BL198" t="b">
        <v>0</v>
      </c>
      <c r="BM198" t="b">
        <v>0</v>
      </c>
      <c r="BN198" t="b">
        <v>0</v>
      </c>
      <c r="BO198" t="b">
        <v>0</v>
      </c>
      <c r="BQ198" t="b">
        <v>0</v>
      </c>
      <c r="BR198" s="6"/>
      <c r="BT198" t="b">
        <v>0</v>
      </c>
      <c r="BU198" t="s">
        <v>1400</v>
      </c>
      <c r="BV198" t="s">
        <v>504</v>
      </c>
      <c r="BW198" t="s">
        <v>154</v>
      </c>
      <c r="BX198" t="s">
        <v>1317</v>
      </c>
      <c r="BY198" s="6" t="s">
        <v>1418</v>
      </c>
      <c r="BZ198">
        <v>1</v>
      </c>
      <c r="CA198" t="s">
        <v>157</v>
      </c>
      <c r="CB198" s="7">
        <v>46315.0537962963</v>
      </c>
    </row>
    <row r="199" spans="1:80">
      <c r="A199" s="6" t="s">
        <v>1419</v>
      </c>
      <c r="B199" t="s">
        <v>491</v>
      </c>
      <c r="C199" s="6" t="s">
        <v>1396</v>
      </c>
      <c r="D199" s="6"/>
      <c r="E199" t="s">
        <v>1397</v>
      </c>
      <c r="F199" t="s">
        <v>1398</v>
      </c>
      <c r="G199" s="6">
        <v>6</v>
      </c>
      <c r="H199" s="6"/>
      <c r="I199" t="s">
        <v>491</v>
      </c>
      <c r="J199" s="3">
        <v>43555</v>
      </c>
      <c r="K199" t="s">
        <v>1399</v>
      </c>
      <c r="L199" t="s">
        <v>139</v>
      </c>
      <c r="N199" t="s">
        <v>188</v>
      </c>
      <c r="O199" t="s">
        <v>299</v>
      </c>
      <c r="P199" t="s">
        <v>299</v>
      </c>
      <c r="Q199" t="s">
        <v>601</v>
      </c>
      <c r="S199" t="s">
        <v>249</v>
      </c>
      <c r="T199" t="s">
        <v>602</v>
      </c>
      <c r="V199" t="s">
        <v>603</v>
      </c>
      <c r="W199" t="s">
        <v>40</v>
      </c>
      <c r="X199" s="6" t="s">
        <v>604</v>
      </c>
      <c r="Y199" s="6"/>
      <c r="Z199" t="s">
        <v>148</v>
      </c>
      <c r="AA199" t="s">
        <v>149</v>
      </c>
      <c r="AC199" t="s">
        <v>150</v>
      </c>
      <c r="AD199" s="6" t="s">
        <v>1131</v>
      </c>
      <c r="AF199" s="3">
        <v>27588</v>
      </c>
      <c r="AG199">
        <v>51</v>
      </c>
      <c r="AH199" t="b">
        <v>0</v>
      </c>
      <c r="AI199" t="b">
        <v>1</v>
      </c>
      <c r="AJ199" s="6" t="s">
        <v>605</v>
      </c>
      <c r="AK199" s="6" t="s">
        <v>171</v>
      </c>
      <c r="AL199" t="b">
        <v>0</v>
      </c>
      <c r="AM199" s="6"/>
      <c r="AN199" s="6"/>
      <c r="AP199" t="b">
        <v>0</v>
      </c>
      <c r="AQ199" s="6"/>
      <c r="AR199" s="6"/>
      <c r="AT199" t="b">
        <v>0</v>
      </c>
      <c r="AU199" s="6"/>
      <c r="AV199" s="6"/>
      <c r="AX199" t="b">
        <v>0</v>
      </c>
      <c r="AY199" s="6"/>
      <c r="AZ199" s="6"/>
      <c r="BA199" t="b">
        <v>0</v>
      </c>
      <c r="BB199" s="6"/>
      <c r="BC199" t="b">
        <v>0</v>
      </c>
      <c r="BD199" s="6"/>
      <c r="BE199" s="6"/>
      <c r="BF199" t="b">
        <v>0</v>
      </c>
      <c r="BG199" s="6"/>
      <c r="BH199" t="b">
        <v>0</v>
      </c>
      <c r="BI199" s="6"/>
      <c r="BJ199" t="b">
        <v>0</v>
      </c>
      <c r="BL199" t="b">
        <v>0</v>
      </c>
      <c r="BM199" t="b">
        <v>0</v>
      </c>
      <c r="BN199" t="b">
        <v>0</v>
      </c>
      <c r="BO199" t="b">
        <v>0</v>
      </c>
      <c r="BQ199" t="b">
        <v>0</v>
      </c>
      <c r="BR199" s="6"/>
      <c r="BT199" t="b">
        <v>0</v>
      </c>
      <c r="BU199" t="s">
        <v>1400</v>
      </c>
      <c r="BV199" t="s">
        <v>504</v>
      </c>
      <c r="BW199" t="s">
        <v>154</v>
      </c>
      <c r="BX199" t="s">
        <v>45</v>
      </c>
      <c r="BY199" s="6" t="s">
        <v>607</v>
      </c>
      <c r="BZ199">
        <v>1</v>
      </c>
      <c r="CA199" t="s">
        <v>157</v>
      </c>
      <c r="CB199" s="7">
        <v>46315.0537962963</v>
      </c>
    </row>
    <row r="200" spans="1:80">
      <c r="A200" s="6" t="s">
        <v>1420</v>
      </c>
      <c r="B200" t="s">
        <v>491</v>
      </c>
      <c r="C200" s="6" t="s">
        <v>1396</v>
      </c>
      <c r="D200" s="6"/>
      <c r="E200" t="s">
        <v>1397</v>
      </c>
      <c r="F200" t="s">
        <v>1398</v>
      </c>
      <c r="G200" s="6">
        <v>7</v>
      </c>
      <c r="H200" s="6"/>
      <c r="I200" t="s">
        <v>491</v>
      </c>
      <c r="J200" s="3">
        <v>43555</v>
      </c>
      <c r="K200" t="s">
        <v>1399</v>
      </c>
      <c r="L200" t="s">
        <v>139</v>
      </c>
      <c r="N200" t="s">
        <v>1421</v>
      </c>
      <c r="O200" t="s">
        <v>142</v>
      </c>
      <c r="P200" t="s">
        <v>142</v>
      </c>
      <c r="Q200" t="s">
        <v>1422</v>
      </c>
      <c r="S200" t="s">
        <v>249</v>
      </c>
      <c r="T200" t="s">
        <v>1423</v>
      </c>
      <c r="V200" t="s">
        <v>636</v>
      </c>
      <c r="W200" t="s">
        <v>33</v>
      </c>
      <c r="X200" s="6" t="s">
        <v>1424</v>
      </c>
      <c r="Y200" s="6"/>
      <c r="Z200" t="s">
        <v>148</v>
      </c>
      <c r="AA200" t="s">
        <v>205</v>
      </c>
      <c r="AC200" t="s">
        <v>150</v>
      </c>
      <c r="AD200" s="6" t="s">
        <v>1425</v>
      </c>
      <c r="AF200" s="3">
        <v>22163</v>
      </c>
      <c r="AG200">
        <v>66</v>
      </c>
      <c r="AH200" t="b">
        <v>0</v>
      </c>
      <c r="AI200" t="b">
        <v>1</v>
      </c>
      <c r="AJ200" s="6" t="s">
        <v>1426</v>
      </c>
      <c r="AK200" s="6" t="s">
        <v>171</v>
      </c>
      <c r="AL200" t="b">
        <v>0</v>
      </c>
      <c r="AM200" s="6"/>
      <c r="AN200" s="6"/>
      <c r="AP200" t="b">
        <v>0</v>
      </c>
      <c r="AQ200" s="6"/>
      <c r="AR200" s="6"/>
      <c r="AT200" t="b">
        <v>0</v>
      </c>
      <c r="AU200" s="6"/>
      <c r="AV200" s="6"/>
      <c r="AX200" t="b">
        <v>0</v>
      </c>
      <c r="AY200" s="6"/>
      <c r="AZ200" s="6"/>
      <c r="BA200" t="b">
        <v>0</v>
      </c>
      <c r="BB200" s="6"/>
      <c r="BC200" t="b">
        <v>0</v>
      </c>
      <c r="BD200" s="6"/>
      <c r="BE200" s="6"/>
      <c r="BF200" t="b">
        <v>0</v>
      </c>
      <c r="BG200" s="6"/>
      <c r="BH200" t="b">
        <v>0</v>
      </c>
      <c r="BI200" s="6"/>
      <c r="BJ200" t="b">
        <v>0</v>
      </c>
      <c r="BL200" t="b">
        <v>0</v>
      </c>
      <c r="BM200" t="b">
        <v>0</v>
      </c>
      <c r="BN200" t="b">
        <v>0</v>
      </c>
      <c r="BO200" t="b">
        <v>0</v>
      </c>
      <c r="BQ200" t="b">
        <v>0</v>
      </c>
      <c r="BR200" s="6"/>
      <c r="BT200" t="b">
        <v>0</v>
      </c>
      <c r="BU200" t="s">
        <v>1400</v>
      </c>
      <c r="BV200" t="s">
        <v>504</v>
      </c>
      <c r="BW200" t="s">
        <v>154</v>
      </c>
      <c r="BX200" t="s">
        <v>1273</v>
      </c>
      <c r="BY200" s="6" t="s">
        <v>1427</v>
      </c>
      <c r="BZ200">
        <v>1</v>
      </c>
      <c r="CA200" t="s">
        <v>157</v>
      </c>
      <c r="CB200" s="7">
        <v>46315.0537962963</v>
      </c>
    </row>
    <row r="201" spans="1:80">
      <c r="A201" s="6" t="s">
        <v>1428</v>
      </c>
      <c r="B201" t="s">
        <v>491</v>
      </c>
      <c r="C201" s="6" t="s">
        <v>1396</v>
      </c>
      <c r="D201" s="6"/>
      <c r="E201" t="s">
        <v>1397</v>
      </c>
      <c r="F201" t="s">
        <v>1398</v>
      </c>
      <c r="G201" s="6">
        <v>8</v>
      </c>
      <c r="H201" s="6"/>
      <c r="I201" t="s">
        <v>491</v>
      </c>
      <c r="J201" s="3">
        <v>43555</v>
      </c>
      <c r="K201" t="s">
        <v>1399</v>
      </c>
      <c r="L201" t="s">
        <v>139</v>
      </c>
      <c r="N201" t="s">
        <v>314</v>
      </c>
      <c r="O201" t="s">
        <v>163</v>
      </c>
      <c r="P201" t="s">
        <v>163</v>
      </c>
      <c r="Q201" t="s">
        <v>1429</v>
      </c>
      <c r="S201" t="s">
        <v>249</v>
      </c>
      <c r="T201" t="s">
        <v>316</v>
      </c>
      <c r="V201" t="s">
        <v>317</v>
      </c>
      <c r="W201" t="s">
        <v>34</v>
      </c>
      <c r="X201" s="6" t="s">
        <v>318</v>
      </c>
      <c r="Y201" s="6"/>
      <c r="Z201" t="s">
        <v>148</v>
      </c>
      <c r="AA201" t="s">
        <v>149</v>
      </c>
      <c r="AC201" t="s">
        <v>150</v>
      </c>
      <c r="AD201" s="6" t="s">
        <v>1073</v>
      </c>
      <c r="AF201" s="3">
        <v>28458</v>
      </c>
      <c r="AG201">
        <v>48</v>
      </c>
      <c r="AH201" t="b">
        <v>0</v>
      </c>
      <c r="AI201" t="b">
        <v>1</v>
      </c>
      <c r="AJ201" s="6" t="s">
        <v>555</v>
      </c>
      <c r="AK201" s="6" t="s">
        <v>171</v>
      </c>
      <c r="AL201" t="b">
        <v>0</v>
      </c>
      <c r="AM201" s="6"/>
      <c r="AN201" s="6"/>
      <c r="AP201" t="b">
        <v>0</v>
      </c>
      <c r="AQ201" s="6"/>
      <c r="AR201" s="6"/>
      <c r="AT201" t="b">
        <v>0</v>
      </c>
      <c r="AU201" s="6"/>
      <c r="AV201" s="6"/>
      <c r="AX201" t="b">
        <v>0</v>
      </c>
      <c r="AY201" s="6"/>
      <c r="AZ201" s="6"/>
      <c r="BA201" t="b">
        <v>0</v>
      </c>
      <c r="BB201" s="6"/>
      <c r="BC201" t="b">
        <v>0</v>
      </c>
      <c r="BD201" s="6"/>
      <c r="BE201" s="6"/>
      <c r="BF201" t="b">
        <v>0</v>
      </c>
      <c r="BG201" s="6"/>
      <c r="BH201" t="b">
        <v>0</v>
      </c>
      <c r="BI201" s="6"/>
      <c r="BJ201" t="b">
        <v>0</v>
      </c>
      <c r="BL201" t="b">
        <v>0</v>
      </c>
      <c r="BM201" t="b">
        <v>0</v>
      </c>
      <c r="BN201" t="b">
        <v>0</v>
      </c>
      <c r="BO201" t="b">
        <v>0</v>
      </c>
      <c r="BQ201" t="b">
        <v>0</v>
      </c>
      <c r="BR201" s="6"/>
      <c r="BT201" t="b">
        <v>0</v>
      </c>
      <c r="BU201" t="s">
        <v>1400</v>
      </c>
      <c r="BV201" t="s">
        <v>504</v>
      </c>
      <c r="BW201" t="s">
        <v>154</v>
      </c>
      <c r="BX201" t="s">
        <v>1137</v>
      </c>
      <c r="BY201" s="6" t="s">
        <v>321</v>
      </c>
      <c r="BZ201">
        <v>1</v>
      </c>
      <c r="CA201" t="s">
        <v>157</v>
      </c>
      <c r="CB201" s="7">
        <v>46315.0537962963</v>
      </c>
    </row>
    <row r="202" spans="1:80">
      <c r="A202" s="6" t="s">
        <v>1430</v>
      </c>
      <c r="B202" t="s">
        <v>491</v>
      </c>
      <c r="C202" s="6" t="s">
        <v>1396</v>
      </c>
      <c r="D202" s="6"/>
      <c r="E202" t="s">
        <v>1397</v>
      </c>
      <c r="F202" t="s">
        <v>1398</v>
      </c>
      <c r="G202" s="6">
        <v>9</v>
      </c>
      <c r="H202" s="6"/>
      <c r="I202" t="s">
        <v>491</v>
      </c>
      <c r="J202" s="3">
        <v>43555</v>
      </c>
      <c r="K202" t="s">
        <v>1399</v>
      </c>
      <c r="L202" t="s">
        <v>139</v>
      </c>
      <c r="N202" t="s">
        <v>496</v>
      </c>
      <c r="O202" t="s">
        <v>324</v>
      </c>
      <c r="P202" t="s">
        <v>324</v>
      </c>
      <c r="Q202" t="s">
        <v>497</v>
      </c>
      <c r="S202" t="s">
        <v>249</v>
      </c>
      <c r="T202" t="s">
        <v>498</v>
      </c>
      <c r="V202" t="s">
        <v>499</v>
      </c>
      <c r="W202" t="s">
        <v>35</v>
      </c>
      <c r="X202" s="6" t="s">
        <v>500</v>
      </c>
      <c r="Y202" s="6"/>
      <c r="Z202" t="s">
        <v>148</v>
      </c>
      <c r="AA202" t="s">
        <v>149</v>
      </c>
      <c r="AC202" t="s">
        <v>150</v>
      </c>
      <c r="AD202" s="6" t="s">
        <v>1298</v>
      </c>
      <c r="AF202" s="3">
        <v>25641</v>
      </c>
      <c r="AG202">
        <v>56</v>
      </c>
      <c r="AH202" t="b">
        <v>0</v>
      </c>
      <c r="AI202" t="b">
        <v>1</v>
      </c>
      <c r="AJ202" s="6" t="s">
        <v>501</v>
      </c>
      <c r="AK202" s="6" t="s">
        <v>171</v>
      </c>
      <c r="AL202" t="b">
        <v>0</v>
      </c>
      <c r="AM202" s="6"/>
      <c r="AN202" s="6"/>
      <c r="AP202" t="b">
        <v>0</v>
      </c>
      <c r="AQ202" s="6"/>
      <c r="AR202" s="6"/>
      <c r="AT202" t="b">
        <v>0</v>
      </c>
      <c r="AU202" s="6"/>
      <c r="AV202" s="6"/>
      <c r="AX202" t="b">
        <v>0</v>
      </c>
      <c r="AY202" s="6"/>
      <c r="AZ202" s="6"/>
      <c r="BA202" t="b">
        <v>0</v>
      </c>
      <c r="BB202" s="6"/>
      <c r="BC202" t="b">
        <v>0</v>
      </c>
      <c r="BD202" s="6"/>
      <c r="BE202" s="6"/>
      <c r="BF202" t="b">
        <v>0</v>
      </c>
      <c r="BG202" s="6"/>
      <c r="BH202" t="b">
        <v>0</v>
      </c>
      <c r="BI202" s="6"/>
      <c r="BJ202" t="b">
        <v>0</v>
      </c>
      <c r="BL202" t="b">
        <v>0</v>
      </c>
      <c r="BM202" t="b">
        <v>0</v>
      </c>
      <c r="BN202" t="b">
        <v>0</v>
      </c>
      <c r="BO202" t="b">
        <v>0</v>
      </c>
      <c r="BQ202" t="b">
        <v>0</v>
      </c>
      <c r="BR202" s="6"/>
      <c r="BT202" t="b">
        <v>0</v>
      </c>
      <c r="BU202" t="s">
        <v>1400</v>
      </c>
      <c r="BV202" t="s">
        <v>504</v>
      </c>
      <c r="BW202" t="s">
        <v>154</v>
      </c>
      <c r="BX202" t="s">
        <v>1431</v>
      </c>
      <c r="BY202" s="6" t="s">
        <v>505</v>
      </c>
      <c r="BZ202">
        <v>1</v>
      </c>
      <c r="CA202" t="s">
        <v>157</v>
      </c>
      <c r="CB202" s="7">
        <v>46315.0537962963</v>
      </c>
    </row>
    <row r="203" spans="1:80">
      <c r="A203" s="6" t="s">
        <v>1432</v>
      </c>
      <c r="B203" t="s">
        <v>491</v>
      </c>
      <c r="C203" s="6" t="s">
        <v>1396</v>
      </c>
      <c r="D203" s="6"/>
      <c r="E203" t="s">
        <v>1397</v>
      </c>
      <c r="F203" t="s">
        <v>1398</v>
      </c>
      <c r="G203" s="6">
        <v>10</v>
      </c>
      <c r="H203" s="6"/>
      <c r="I203" t="s">
        <v>491</v>
      </c>
      <c r="J203" s="3">
        <v>43555</v>
      </c>
      <c r="K203" t="s">
        <v>1399</v>
      </c>
      <c r="L203" t="s">
        <v>139</v>
      </c>
      <c r="N203" t="s">
        <v>1204</v>
      </c>
      <c r="O203" t="s">
        <v>142</v>
      </c>
      <c r="P203" t="s">
        <v>142</v>
      </c>
      <c r="Q203" t="s">
        <v>847</v>
      </c>
      <c r="S203" t="s">
        <v>249</v>
      </c>
      <c r="T203" t="s">
        <v>1433</v>
      </c>
      <c r="V203" t="s">
        <v>1434</v>
      </c>
      <c r="W203" t="s">
        <v>39</v>
      </c>
      <c r="X203" s="6" t="s">
        <v>1435</v>
      </c>
      <c r="Y203" s="6"/>
      <c r="Z203" t="s">
        <v>148</v>
      </c>
      <c r="AA203" t="s">
        <v>205</v>
      </c>
      <c r="AC203" t="s">
        <v>150</v>
      </c>
      <c r="AD203" s="6" t="s">
        <v>1436</v>
      </c>
      <c r="AF203" s="3">
        <v>32125</v>
      </c>
      <c r="AG203">
        <v>38</v>
      </c>
      <c r="AH203" t="b">
        <v>0</v>
      </c>
      <c r="AI203" t="b">
        <v>1</v>
      </c>
      <c r="AJ203" s="6" t="s">
        <v>1437</v>
      </c>
      <c r="AK203" s="6" t="s">
        <v>171</v>
      </c>
      <c r="AL203" t="b">
        <v>0</v>
      </c>
      <c r="AM203" s="6"/>
      <c r="AN203" s="6"/>
      <c r="AP203" t="b">
        <v>0</v>
      </c>
      <c r="AQ203" s="6"/>
      <c r="AR203" s="6"/>
      <c r="AT203" t="b">
        <v>0</v>
      </c>
      <c r="AU203" s="6"/>
      <c r="AV203" s="6"/>
      <c r="AX203" t="b">
        <v>0</v>
      </c>
      <c r="AY203" s="6"/>
      <c r="AZ203" s="6"/>
      <c r="BA203" t="b">
        <v>0</v>
      </c>
      <c r="BB203" s="6"/>
      <c r="BC203" t="b">
        <v>0</v>
      </c>
      <c r="BD203" s="6"/>
      <c r="BE203" s="6"/>
      <c r="BF203" t="b">
        <v>0</v>
      </c>
      <c r="BG203" s="6"/>
      <c r="BH203" t="b">
        <v>0</v>
      </c>
      <c r="BI203" s="6"/>
      <c r="BJ203" t="b">
        <v>0</v>
      </c>
      <c r="BL203" t="b">
        <v>0</v>
      </c>
      <c r="BM203" t="b">
        <v>0</v>
      </c>
      <c r="BN203" t="b">
        <v>0</v>
      </c>
      <c r="BO203" t="b">
        <v>0</v>
      </c>
      <c r="BQ203" t="b">
        <v>0</v>
      </c>
      <c r="BR203" s="6"/>
      <c r="BT203" t="b">
        <v>0</v>
      </c>
      <c r="BU203" t="s">
        <v>1400</v>
      </c>
      <c r="BV203" t="s">
        <v>504</v>
      </c>
      <c r="BW203" t="s">
        <v>154</v>
      </c>
      <c r="BX203" t="s">
        <v>1273</v>
      </c>
      <c r="BY203" s="6" t="s">
        <v>1438</v>
      </c>
      <c r="BZ203">
        <v>1</v>
      </c>
      <c r="CA203" t="s">
        <v>157</v>
      </c>
      <c r="CB203" s="7">
        <v>46315.0537962963</v>
      </c>
    </row>
    <row r="204" spans="1:80">
      <c r="A204" s="6" t="s">
        <v>1439</v>
      </c>
      <c r="B204" t="s">
        <v>491</v>
      </c>
      <c r="C204" s="6" t="s">
        <v>1396</v>
      </c>
      <c r="D204" s="6"/>
      <c r="E204" t="s">
        <v>1397</v>
      </c>
      <c r="F204" t="s">
        <v>1398</v>
      </c>
      <c r="G204" s="6">
        <v>11</v>
      </c>
      <c r="H204" s="6"/>
      <c r="I204" t="s">
        <v>491</v>
      </c>
      <c r="J204" s="3">
        <v>43555</v>
      </c>
      <c r="K204" t="s">
        <v>1399</v>
      </c>
      <c r="L204" t="s">
        <v>139</v>
      </c>
      <c r="N204" t="s">
        <v>177</v>
      </c>
      <c r="O204" t="s">
        <v>178</v>
      </c>
      <c r="P204" t="s">
        <v>178</v>
      </c>
      <c r="Q204" t="s">
        <v>179</v>
      </c>
      <c r="S204" t="s">
        <v>249</v>
      </c>
      <c r="T204" t="s">
        <v>180</v>
      </c>
      <c r="V204" t="s">
        <v>181</v>
      </c>
      <c r="W204" t="s">
        <v>40</v>
      </c>
      <c r="X204" s="6" t="s">
        <v>182</v>
      </c>
      <c r="Y204" s="6"/>
      <c r="Z204" t="s">
        <v>148</v>
      </c>
      <c r="AA204" t="s">
        <v>149</v>
      </c>
      <c r="AC204" t="s">
        <v>150</v>
      </c>
      <c r="AD204" s="6" t="s">
        <v>386</v>
      </c>
      <c r="AF204" s="3">
        <v>31930</v>
      </c>
      <c r="AG204">
        <v>39</v>
      </c>
      <c r="AH204" t="b">
        <v>0</v>
      </c>
      <c r="AI204" t="b">
        <v>1</v>
      </c>
      <c r="AJ204" s="6" t="s">
        <v>387</v>
      </c>
      <c r="AK204" s="6" t="s">
        <v>171</v>
      </c>
      <c r="AL204" t="b">
        <v>0</v>
      </c>
      <c r="AM204" s="6"/>
      <c r="AN204" s="6"/>
      <c r="AP204" t="b">
        <v>0</v>
      </c>
      <c r="AQ204" s="6"/>
      <c r="AR204" s="6"/>
      <c r="AT204" t="b">
        <v>0</v>
      </c>
      <c r="AU204" s="6"/>
      <c r="AV204" s="6"/>
      <c r="AX204" t="b">
        <v>0</v>
      </c>
      <c r="AY204" s="6"/>
      <c r="AZ204" s="6"/>
      <c r="BA204" t="b">
        <v>0</v>
      </c>
      <c r="BB204" s="6"/>
      <c r="BC204" t="b">
        <v>0</v>
      </c>
      <c r="BD204" s="6"/>
      <c r="BE204" s="6"/>
      <c r="BF204" t="b">
        <v>0</v>
      </c>
      <c r="BG204" s="6"/>
      <c r="BH204" t="b">
        <v>0</v>
      </c>
      <c r="BI204" s="6"/>
      <c r="BJ204" t="b">
        <v>0</v>
      </c>
      <c r="BL204" t="b">
        <v>0</v>
      </c>
      <c r="BM204" t="b">
        <v>0</v>
      </c>
      <c r="BN204" t="b">
        <v>0</v>
      </c>
      <c r="BO204" t="b">
        <v>0</v>
      </c>
      <c r="BQ204" t="b">
        <v>0</v>
      </c>
      <c r="BR204" s="6"/>
      <c r="BT204" t="b">
        <v>0</v>
      </c>
      <c r="BU204" t="s">
        <v>1400</v>
      </c>
      <c r="BV204" t="s">
        <v>504</v>
      </c>
      <c r="BW204" t="s">
        <v>154</v>
      </c>
      <c r="BX204" t="s">
        <v>45</v>
      </c>
      <c r="BY204" s="6" t="s">
        <v>184</v>
      </c>
      <c r="BZ204">
        <v>1</v>
      </c>
      <c r="CA204" t="s">
        <v>157</v>
      </c>
      <c r="CB204" s="7">
        <v>46315.0537962963</v>
      </c>
    </row>
    <row r="205" spans="1:80">
      <c r="A205" s="6" t="s">
        <v>1440</v>
      </c>
      <c r="B205" t="s">
        <v>491</v>
      </c>
      <c r="C205" s="6" t="s">
        <v>1396</v>
      </c>
      <c r="D205" s="6"/>
      <c r="E205" t="s">
        <v>1397</v>
      </c>
      <c r="F205" t="s">
        <v>1398</v>
      </c>
      <c r="G205" s="6">
        <v>12</v>
      </c>
      <c r="H205" s="6"/>
      <c r="I205" t="s">
        <v>491</v>
      </c>
      <c r="J205" s="3">
        <v>43555</v>
      </c>
      <c r="K205" t="s">
        <v>1399</v>
      </c>
      <c r="L205" t="s">
        <v>139</v>
      </c>
      <c r="N205" t="s">
        <v>1441</v>
      </c>
      <c r="O205" t="s">
        <v>299</v>
      </c>
      <c r="P205" t="s">
        <v>299</v>
      </c>
      <c r="Q205" t="s">
        <v>1442</v>
      </c>
      <c r="S205" t="s">
        <v>249</v>
      </c>
      <c r="T205" t="s">
        <v>1443</v>
      </c>
      <c r="V205" t="s">
        <v>1444</v>
      </c>
      <c r="W205" t="s">
        <v>35</v>
      </c>
      <c r="X205" s="6" t="s">
        <v>1445</v>
      </c>
      <c r="Y205" s="6"/>
      <c r="Z205" t="s">
        <v>148</v>
      </c>
      <c r="AA205" t="s">
        <v>149</v>
      </c>
      <c r="AC205" t="s">
        <v>150</v>
      </c>
      <c r="AD205" s="6" t="s">
        <v>1446</v>
      </c>
      <c r="AF205" s="3">
        <v>35628</v>
      </c>
      <c r="AG205">
        <v>29</v>
      </c>
      <c r="AH205" t="b">
        <v>0</v>
      </c>
      <c r="AI205" t="b">
        <v>1</v>
      </c>
      <c r="AJ205" s="6" t="s">
        <v>1447</v>
      </c>
      <c r="AK205" s="6" t="s">
        <v>171</v>
      </c>
      <c r="AL205" t="b">
        <v>0</v>
      </c>
      <c r="AM205" s="6"/>
      <c r="AN205" s="6"/>
      <c r="AP205" t="b">
        <v>0</v>
      </c>
      <c r="AQ205" s="6"/>
      <c r="AR205" s="6"/>
      <c r="AT205" t="b">
        <v>0</v>
      </c>
      <c r="AU205" s="6"/>
      <c r="AV205" s="6"/>
      <c r="AX205" t="b">
        <v>0</v>
      </c>
      <c r="AY205" s="6"/>
      <c r="AZ205" s="6"/>
      <c r="BA205" t="b">
        <v>0</v>
      </c>
      <c r="BB205" s="6"/>
      <c r="BC205" t="b">
        <v>0</v>
      </c>
      <c r="BD205" s="6"/>
      <c r="BE205" s="6"/>
      <c r="BF205" t="b">
        <v>0</v>
      </c>
      <c r="BG205" s="6"/>
      <c r="BH205" t="b">
        <v>0</v>
      </c>
      <c r="BI205" s="6"/>
      <c r="BJ205" t="b">
        <v>0</v>
      </c>
      <c r="BL205" t="b">
        <v>0</v>
      </c>
      <c r="BM205" t="b">
        <v>0</v>
      </c>
      <c r="BN205" t="b">
        <v>0</v>
      </c>
      <c r="BO205" t="b">
        <v>0</v>
      </c>
      <c r="BQ205" t="b">
        <v>0</v>
      </c>
      <c r="BR205" s="6"/>
      <c r="BT205" t="b">
        <v>0</v>
      </c>
      <c r="BU205" t="s">
        <v>1400</v>
      </c>
      <c r="BV205" t="s">
        <v>504</v>
      </c>
      <c r="BW205" t="s">
        <v>154</v>
      </c>
      <c r="BX205" t="s">
        <v>1431</v>
      </c>
      <c r="BY205" s="6" t="s">
        <v>1448</v>
      </c>
      <c r="BZ205">
        <v>1</v>
      </c>
      <c r="CA205" t="s">
        <v>157</v>
      </c>
      <c r="CB205" s="7">
        <v>46315.0537962963</v>
      </c>
    </row>
    <row r="206" spans="1:80">
      <c r="A206" s="6" t="s">
        <v>1449</v>
      </c>
      <c r="B206" t="s">
        <v>491</v>
      </c>
      <c r="C206" s="6" t="s">
        <v>1396</v>
      </c>
      <c r="D206" s="6"/>
      <c r="E206" t="s">
        <v>1397</v>
      </c>
      <c r="F206" t="s">
        <v>1398</v>
      </c>
      <c r="G206" s="6">
        <v>13</v>
      </c>
      <c r="H206" s="6"/>
      <c r="I206" t="s">
        <v>491</v>
      </c>
      <c r="J206" s="3">
        <v>43555</v>
      </c>
      <c r="K206" t="s">
        <v>1399</v>
      </c>
      <c r="L206" t="s">
        <v>139</v>
      </c>
      <c r="N206" t="s">
        <v>1450</v>
      </c>
      <c r="Q206" t="s">
        <v>1451</v>
      </c>
      <c r="S206" t="s">
        <v>249</v>
      </c>
      <c r="T206" t="s">
        <v>1452</v>
      </c>
      <c r="V206" t="s">
        <v>1453</v>
      </c>
      <c r="W206" t="s">
        <v>37</v>
      </c>
      <c r="X206" s="6" t="s">
        <v>1454</v>
      </c>
      <c r="Y206" s="6"/>
      <c r="Z206" t="s">
        <v>148</v>
      </c>
      <c r="AA206" t="s">
        <v>205</v>
      </c>
      <c r="AC206" t="s">
        <v>150</v>
      </c>
      <c r="AD206" s="6" t="s">
        <v>1455</v>
      </c>
      <c r="AF206" s="3">
        <v>20056</v>
      </c>
      <c r="AG206">
        <v>71</v>
      </c>
      <c r="AH206" t="b">
        <v>0</v>
      </c>
      <c r="AI206" t="b">
        <v>1</v>
      </c>
      <c r="AJ206" s="6" t="s">
        <v>1456</v>
      </c>
      <c r="AK206" s="6" t="s">
        <v>171</v>
      </c>
      <c r="AL206" t="b">
        <v>0</v>
      </c>
      <c r="AM206" s="6"/>
      <c r="AN206" s="6"/>
      <c r="AP206" t="b">
        <v>0</v>
      </c>
      <c r="AQ206" s="6"/>
      <c r="AR206" s="6"/>
      <c r="AT206" t="b">
        <v>0</v>
      </c>
      <c r="AU206" s="6"/>
      <c r="AV206" s="6"/>
      <c r="AX206" t="b">
        <v>0</v>
      </c>
      <c r="AY206" s="6"/>
      <c r="AZ206" s="6"/>
      <c r="BA206" t="b">
        <v>0</v>
      </c>
      <c r="BB206" s="6"/>
      <c r="BC206" t="b">
        <v>0</v>
      </c>
      <c r="BD206" s="6"/>
      <c r="BE206" s="6"/>
      <c r="BF206" t="b">
        <v>0</v>
      </c>
      <c r="BG206" s="6"/>
      <c r="BH206" t="b">
        <v>0</v>
      </c>
      <c r="BI206" s="6"/>
      <c r="BJ206" t="b">
        <v>0</v>
      </c>
      <c r="BL206" t="b">
        <v>0</v>
      </c>
      <c r="BM206" t="b">
        <v>0</v>
      </c>
      <c r="BN206" t="b">
        <v>0</v>
      </c>
      <c r="BO206" t="b">
        <v>0</v>
      </c>
      <c r="BQ206" t="b">
        <v>0</v>
      </c>
      <c r="BR206" s="6"/>
      <c r="BT206" t="b">
        <v>0</v>
      </c>
      <c r="BU206" t="s">
        <v>1400</v>
      </c>
      <c r="BV206" t="s">
        <v>504</v>
      </c>
      <c r="BW206" t="s">
        <v>154</v>
      </c>
      <c r="BX206" t="s">
        <v>1273</v>
      </c>
      <c r="BY206" s="6" t="s">
        <v>1457</v>
      </c>
      <c r="BZ206">
        <v>1</v>
      </c>
      <c r="CA206" t="s">
        <v>157</v>
      </c>
      <c r="CB206" s="7">
        <v>46315.0537962963</v>
      </c>
    </row>
    <row r="207" spans="1:80">
      <c r="A207" s="6" t="s">
        <v>1458</v>
      </c>
      <c r="B207" t="s">
        <v>491</v>
      </c>
      <c r="C207" s="6" t="s">
        <v>1396</v>
      </c>
      <c r="D207" s="6"/>
      <c r="E207" t="s">
        <v>1397</v>
      </c>
      <c r="F207" t="s">
        <v>1398</v>
      </c>
      <c r="G207" s="6">
        <v>14</v>
      </c>
      <c r="H207" s="6"/>
      <c r="I207" t="s">
        <v>491</v>
      </c>
      <c r="J207" s="3">
        <v>43555</v>
      </c>
      <c r="K207" t="s">
        <v>1399</v>
      </c>
      <c r="L207" t="s">
        <v>139</v>
      </c>
      <c r="N207" t="s">
        <v>331</v>
      </c>
      <c r="O207" t="s">
        <v>142</v>
      </c>
      <c r="P207" t="s">
        <v>142</v>
      </c>
      <c r="Q207" t="s">
        <v>332</v>
      </c>
      <c r="S207" t="s">
        <v>249</v>
      </c>
      <c r="T207" t="s">
        <v>333</v>
      </c>
      <c r="V207" t="s">
        <v>334</v>
      </c>
      <c r="W207" t="s">
        <v>33</v>
      </c>
      <c r="X207" s="6" t="s">
        <v>335</v>
      </c>
      <c r="Y207" s="6"/>
      <c r="Z207" t="s">
        <v>148</v>
      </c>
      <c r="AA207" t="s">
        <v>149</v>
      </c>
      <c r="AC207" t="s">
        <v>150</v>
      </c>
      <c r="AD207" s="6" t="s">
        <v>346</v>
      </c>
      <c r="AF207" s="3">
        <v>31194</v>
      </c>
      <c r="AG207">
        <v>41</v>
      </c>
      <c r="AH207" t="b">
        <v>0</v>
      </c>
      <c r="AI207" t="b">
        <v>1</v>
      </c>
      <c r="AJ207" s="6" t="s">
        <v>348</v>
      </c>
      <c r="AK207" s="6" t="s">
        <v>171</v>
      </c>
      <c r="AL207" t="b">
        <v>0</v>
      </c>
      <c r="AM207" s="6"/>
      <c r="AN207" s="6"/>
      <c r="AP207" t="b">
        <v>0</v>
      </c>
      <c r="AQ207" s="6"/>
      <c r="AR207" s="6"/>
      <c r="AT207" t="b">
        <v>0</v>
      </c>
      <c r="AU207" s="6"/>
      <c r="AV207" s="6"/>
      <c r="AX207" t="b">
        <v>0</v>
      </c>
      <c r="AY207" s="6"/>
      <c r="AZ207" s="6"/>
      <c r="BA207" t="b">
        <v>0</v>
      </c>
      <c r="BB207" s="6"/>
      <c r="BC207" t="b">
        <v>0</v>
      </c>
      <c r="BD207" s="6"/>
      <c r="BE207" s="6"/>
      <c r="BF207" t="b">
        <v>0</v>
      </c>
      <c r="BG207" s="6"/>
      <c r="BH207" t="b">
        <v>0</v>
      </c>
      <c r="BI207" s="6"/>
      <c r="BJ207" t="b">
        <v>0</v>
      </c>
      <c r="BL207" t="b">
        <v>0</v>
      </c>
      <c r="BM207" t="b">
        <v>0</v>
      </c>
      <c r="BN207" t="b">
        <v>0</v>
      </c>
      <c r="BO207" t="b">
        <v>0</v>
      </c>
      <c r="BQ207" t="b">
        <v>0</v>
      </c>
      <c r="BR207" s="6"/>
      <c r="BT207" t="b">
        <v>0</v>
      </c>
      <c r="BU207" t="s">
        <v>1400</v>
      </c>
      <c r="BV207" t="s">
        <v>504</v>
      </c>
      <c r="BW207" t="s">
        <v>154</v>
      </c>
      <c r="BX207" t="s">
        <v>45</v>
      </c>
      <c r="BY207" s="6" t="s">
        <v>336</v>
      </c>
      <c r="BZ207">
        <v>1</v>
      </c>
      <c r="CA207" t="s">
        <v>157</v>
      </c>
      <c r="CB207" s="7">
        <v>46315.0537962963</v>
      </c>
    </row>
    <row r="208" spans="1:80">
      <c r="A208" s="6" t="s">
        <v>1459</v>
      </c>
      <c r="B208" t="s">
        <v>491</v>
      </c>
      <c r="C208" s="6" t="s">
        <v>1396</v>
      </c>
      <c r="D208" s="6"/>
      <c r="E208" t="s">
        <v>1397</v>
      </c>
      <c r="F208" t="s">
        <v>1398</v>
      </c>
      <c r="G208" s="6">
        <v>15</v>
      </c>
      <c r="H208" s="6"/>
      <c r="I208" t="s">
        <v>491</v>
      </c>
      <c r="J208" s="3">
        <v>43555</v>
      </c>
      <c r="K208" t="s">
        <v>1399</v>
      </c>
      <c r="L208" t="s">
        <v>139</v>
      </c>
      <c r="N208" t="s">
        <v>1460</v>
      </c>
      <c r="O208" t="s">
        <v>163</v>
      </c>
      <c r="P208" t="s">
        <v>163</v>
      </c>
      <c r="Q208" t="s">
        <v>1461</v>
      </c>
      <c r="S208" t="s">
        <v>249</v>
      </c>
      <c r="T208" t="s">
        <v>1462</v>
      </c>
      <c r="V208" t="s">
        <v>565</v>
      </c>
      <c r="W208" t="s">
        <v>37</v>
      </c>
      <c r="X208" s="6" t="s">
        <v>1463</v>
      </c>
      <c r="Y208" s="6"/>
      <c r="Z208" t="s">
        <v>148</v>
      </c>
      <c r="AA208" t="s">
        <v>205</v>
      </c>
      <c r="AC208" t="s">
        <v>150</v>
      </c>
      <c r="AD208" s="6" t="s">
        <v>1464</v>
      </c>
      <c r="AF208" s="3">
        <v>27805</v>
      </c>
      <c r="AG208">
        <v>50</v>
      </c>
      <c r="AH208" t="b">
        <v>0</v>
      </c>
      <c r="AI208" t="b">
        <v>1</v>
      </c>
      <c r="AJ208" s="6" t="s">
        <v>1465</v>
      </c>
      <c r="AK208" s="6" t="s">
        <v>171</v>
      </c>
      <c r="AL208" t="b">
        <v>0</v>
      </c>
      <c r="AM208" s="6"/>
      <c r="AN208" s="6"/>
      <c r="AP208" t="b">
        <v>0</v>
      </c>
      <c r="AQ208" s="6"/>
      <c r="AR208" s="6"/>
      <c r="AT208" t="b">
        <v>0</v>
      </c>
      <c r="AU208" s="6"/>
      <c r="AV208" s="6"/>
      <c r="AX208" t="b">
        <v>0</v>
      </c>
      <c r="AY208" s="6"/>
      <c r="AZ208" s="6"/>
      <c r="BA208" t="b">
        <v>0</v>
      </c>
      <c r="BB208" s="6"/>
      <c r="BC208" t="b">
        <v>0</v>
      </c>
      <c r="BD208" s="6"/>
      <c r="BE208" s="6"/>
      <c r="BF208" t="b">
        <v>0</v>
      </c>
      <c r="BG208" s="6"/>
      <c r="BH208" t="b">
        <v>0</v>
      </c>
      <c r="BI208" s="6"/>
      <c r="BJ208" t="b">
        <v>0</v>
      </c>
      <c r="BL208" t="b">
        <v>0</v>
      </c>
      <c r="BM208" t="b">
        <v>0</v>
      </c>
      <c r="BN208" t="b">
        <v>0</v>
      </c>
      <c r="BO208" t="b">
        <v>0</v>
      </c>
      <c r="BQ208" t="b">
        <v>0</v>
      </c>
      <c r="BR208" s="6"/>
      <c r="BT208" t="b">
        <v>0</v>
      </c>
      <c r="BU208" t="s">
        <v>1400</v>
      </c>
      <c r="BV208" t="s">
        <v>504</v>
      </c>
      <c r="BW208" t="s">
        <v>154</v>
      </c>
      <c r="BX208" t="s">
        <v>1273</v>
      </c>
      <c r="BY208" s="6" t="s">
        <v>1466</v>
      </c>
      <c r="BZ208">
        <v>1</v>
      </c>
      <c r="CA208" t="s">
        <v>157</v>
      </c>
      <c r="CB208" s="7">
        <v>46315.0537962963</v>
      </c>
    </row>
    <row r="209" spans="1:80">
      <c r="A209" s="6" t="s">
        <v>1467</v>
      </c>
      <c r="B209" t="s">
        <v>491</v>
      </c>
      <c r="C209" s="6" t="s">
        <v>1396</v>
      </c>
      <c r="D209" s="6"/>
      <c r="E209" t="s">
        <v>1397</v>
      </c>
      <c r="F209" t="s">
        <v>1398</v>
      </c>
      <c r="G209" s="6">
        <v>16</v>
      </c>
      <c r="H209" s="6"/>
      <c r="I209" t="s">
        <v>491</v>
      </c>
      <c r="J209" s="3">
        <v>43555</v>
      </c>
      <c r="K209" t="s">
        <v>1399</v>
      </c>
      <c r="L209" t="s">
        <v>139</v>
      </c>
      <c r="N209" t="s">
        <v>298</v>
      </c>
      <c r="O209" t="s">
        <v>299</v>
      </c>
      <c r="P209" t="s">
        <v>299</v>
      </c>
      <c r="Q209" t="s">
        <v>300</v>
      </c>
      <c r="S209" t="s">
        <v>249</v>
      </c>
      <c r="T209" t="s">
        <v>301</v>
      </c>
      <c r="V209" t="s">
        <v>302</v>
      </c>
      <c r="W209" t="s">
        <v>35</v>
      </c>
      <c r="X209" s="6" t="s">
        <v>303</v>
      </c>
      <c r="Y209" s="6"/>
      <c r="Z209" t="s">
        <v>148</v>
      </c>
      <c r="AA209" t="s">
        <v>149</v>
      </c>
      <c r="AC209" t="s">
        <v>150</v>
      </c>
      <c r="AD209" s="6" t="s">
        <v>1127</v>
      </c>
      <c r="AF209" s="3">
        <v>20070</v>
      </c>
      <c r="AG209">
        <v>71</v>
      </c>
      <c r="AH209" t="b">
        <v>0</v>
      </c>
      <c r="AI209" t="b">
        <v>1</v>
      </c>
      <c r="AJ209" s="6" t="s">
        <v>573</v>
      </c>
      <c r="AK209" s="6" t="s">
        <v>171</v>
      </c>
      <c r="AL209" t="b">
        <v>0</v>
      </c>
      <c r="AM209" s="6"/>
      <c r="AN209" s="6"/>
      <c r="AP209" t="b">
        <v>0</v>
      </c>
      <c r="AQ209" s="6"/>
      <c r="AR209" s="6"/>
      <c r="AT209" t="b">
        <v>0</v>
      </c>
      <c r="AU209" s="6"/>
      <c r="AV209" s="6"/>
      <c r="AX209" t="b">
        <v>0</v>
      </c>
      <c r="AY209" s="6"/>
      <c r="AZ209" s="6"/>
      <c r="BA209" t="b">
        <v>0</v>
      </c>
      <c r="BB209" s="6"/>
      <c r="BC209" t="b">
        <v>0</v>
      </c>
      <c r="BD209" s="6"/>
      <c r="BE209" s="6"/>
      <c r="BF209" t="b">
        <v>0</v>
      </c>
      <c r="BG209" s="6"/>
      <c r="BH209" t="b">
        <v>0</v>
      </c>
      <c r="BI209" s="6"/>
      <c r="BJ209" t="b">
        <v>0</v>
      </c>
      <c r="BL209" t="b">
        <v>0</v>
      </c>
      <c r="BM209" t="b">
        <v>0</v>
      </c>
      <c r="BN209" t="b">
        <v>0</v>
      </c>
      <c r="BO209" t="b">
        <v>0</v>
      </c>
      <c r="BQ209" t="b">
        <v>0</v>
      </c>
      <c r="BR209" s="6"/>
      <c r="BT209" t="b">
        <v>0</v>
      </c>
      <c r="BU209" t="s">
        <v>1400</v>
      </c>
      <c r="BV209" t="s">
        <v>504</v>
      </c>
      <c r="BW209" t="s">
        <v>154</v>
      </c>
      <c r="BX209" t="s">
        <v>1401</v>
      </c>
      <c r="BY209" s="6" t="s">
        <v>306</v>
      </c>
      <c r="BZ209">
        <v>1</v>
      </c>
      <c r="CA209" t="s">
        <v>157</v>
      </c>
      <c r="CB209" s="7">
        <v>46315.0537962963</v>
      </c>
    </row>
    <row r="210" spans="1:80">
      <c r="A210" s="6" t="s">
        <v>1468</v>
      </c>
      <c r="B210" t="s">
        <v>491</v>
      </c>
      <c r="C210" s="6" t="s">
        <v>1396</v>
      </c>
      <c r="D210" s="6"/>
      <c r="E210" t="s">
        <v>1397</v>
      </c>
      <c r="F210" t="s">
        <v>1398</v>
      </c>
      <c r="G210" s="6">
        <v>17</v>
      </c>
      <c r="H210" s="6"/>
      <c r="I210" t="s">
        <v>491</v>
      </c>
      <c r="J210" s="3">
        <v>43555</v>
      </c>
      <c r="K210" t="s">
        <v>1399</v>
      </c>
      <c r="L210" t="s">
        <v>139</v>
      </c>
      <c r="N210" t="s">
        <v>444</v>
      </c>
      <c r="Q210" t="s">
        <v>523</v>
      </c>
      <c r="S210" t="s">
        <v>249</v>
      </c>
      <c r="T210" t="s">
        <v>524</v>
      </c>
      <c r="V210" t="s">
        <v>525</v>
      </c>
      <c r="W210" t="s">
        <v>34</v>
      </c>
      <c r="X210" s="6" t="s">
        <v>526</v>
      </c>
      <c r="Y210" s="6"/>
      <c r="Z210" t="s">
        <v>148</v>
      </c>
      <c r="AA210" t="s">
        <v>149</v>
      </c>
      <c r="AC210" t="s">
        <v>150</v>
      </c>
      <c r="AD210" s="6" t="s">
        <v>838</v>
      </c>
      <c r="AF210" s="3">
        <v>30399</v>
      </c>
      <c r="AG210">
        <v>43</v>
      </c>
      <c r="AH210" t="b">
        <v>0</v>
      </c>
      <c r="AI210" t="b">
        <v>1</v>
      </c>
      <c r="AJ210" s="6" t="s">
        <v>527</v>
      </c>
      <c r="AK210" s="6" t="s">
        <v>171</v>
      </c>
      <c r="AL210" t="b">
        <v>0</v>
      </c>
      <c r="AM210" s="6"/>
      <c r="AN210" s="6"/>
      <c r="AP210" t="b">
        <v>0</v>
      </c>
      <c r="AQ210" s="6"/>
      <c r="AR210" s="6"/>
      <c r="AT210" t="b">
        <v>0</v>
      </c>
      <c r="AU210" s="6"/>
      <c r="AV210" s="6"/>
      <c r="AX210" t="b">
        <v>0</v>
      </c>
      <c r="AY210" s="6"/>
      <c r="AZ210" s="6"/>
      <c r="BA210" t="b">
        <v>0</v>
      </c>
      <c r="BB210" s="6"/>
      <c r="BC210" t="b">
        <v>0</v>
      </c>
      <c r="BD210" s="6"/>
      <c r="BE210" s="6"/>
      <c r="BF210" t="b">
        <v>0</v>
      </c>
      <c r="BG210" s="6"/>
      <c r="BH210" t="b">
        <v>0</v>
      </c>
      <c r="BI210" s="6"/>
      <c r="BJ210" t="b">
        <v>0</v>
      </c>
      <c r="BL210" t="b">
        <v>0</v>
      </c>
      <c r="BM210" t="b">
        <v>0</v>
      </c>
      <c r="BN210" t="b">
        <v>0</v>
      </c>
      <c r="BO210" t="b">
        <v>0</v>
      </c>
      <c r="BQ210" t="b">
        <v>0</v>
      </c>
      <c r="BR210" s="6"/>
      <c r="BT210" t="b">
        <v>0</v>
      </c>
      <c r="BU210" t="s">
        <v>1400</v>
      </c>
      <c r="BV210" t="s">
        <v>504</v>
      </c>
      <c r="BW210" t="s">
        <v>154</v>
      </c>
      <c r="BX210" t="s">
        <v>45</v>
      </c>
      <c r="BY210" s="6" t="s">
        <v>529</v>
      </c>
      <c r="BZ210">
        <v>1</v>
      </c>
      <c r="CA210" t="s">
        <v>157</v>
      </c>
      <c r="CB210" s="7">
        <v>46315.0537962963</v>
      </c>
    </row>
    <row r="211" spans="1:80">
      <c r="A211" s="6" t="s">
        <v>1469</v>
      </c>
      <c r="B211" t="s">
        <v>491</v>
      </c>
      <c r="C211" s="6" t="s">
        <v>1396</v>
      </c>
      <c r="D211" s="6"/>
      <c r="E211" t="s">
        <v>1397</v>
      </c>
      <c r="F211" t="s">
        <v>1398</v>
      </c>
      <c r="G211" s="6">
        <v>18</v>
      </c>
      <c r="H211" s="6"/>
      <c r="I211" t="s">
        <v>491</v>
      </c>
      <c r="J211" s="3">
        <v>43555</v>
      </c>
      <c r="K211" t="s">
        <v>1399</v>
      </c>
      <c r="L211" t="s">
        <v>139</v>
      </c>
      <c r="N211" t="s">
        <v>247</v>
      </c>
      <c r="O211" t="s">
        <v>224</v>
      </c>
      <c r="P211" t="s">
        <v>224</v>
      </c>
      <c r="Q211" t="s">
        <v>248</v>
      </c>
      <c r="S211" t="s">
        <v>249</v>
      </c>
      <c r="T211" t="s">
        <v>250</v>
      </c>
      <c r="V211" t="s">
        <v>251</v>
      </c>
      <c r="W211" t="s">
        <v>39</v>
      </c>
      <c r="X211" s="6" t="s">
        <v>252</v>
      </c>
      <c r="Y211" s="6"/>
      <c r="Z211" t="s">
        <v>148</v>
      </c>
      <c r="AA211" t="s">
        <v>149</v>
      </c>
      <c r="AC211" t="s">
        <v>150</v>
      </c>
      <c r="AD211" s="6" t="s">
        <v>1302</v>
      </c>
      <c r="AF211" s="3">
        <v>32257</v>
      </c>
      <c r="AG211">
        <v>38</v>
      </c>
      <c r="AH211" t="b">
        <v>0</v>
      </c>
      <c r="AI211" t="b">
        <v>1</v>
      </c>
      <c r="AJ211" s="6" t="s">
        <v>582</v>
      </c>
      <c r="AK211" s="6" t="s">
        <v>171</v>
      </c>
      <c r="AL211" t="b">
        <v>0</v>
      </c>
      <c r="AM211" s="6"/>
      <c r="AN211" s="6"/>
      <c r="AP211" t="b">
        <v>0</v>
      </c>
      <c r="AQ211" s="6"/>
      <c r="AR211" s="6"/>
      <c r="AT211" t="b">
        <v>0</v>
      </c>
      <c r="AU211" s="6"/>
      <c r="AV211" s="6"/>
      <c r="AX211" t="b">
        <v>0</v>
      </c>
      <c r="AY211" s="6"/>
      <c r="AZ211" s="6"/>
      <c r="BA211" t="b">
        <v>0</v>
      </c>
      <c r="BB211" s="6"/>
      <c r="BC211" t="b">
        <v>0</v>
      </c>
      <c r="BD211" s="6"/>
      <c r="BE211" s="6"/>
      <c r="BF211" t="b">
        <v>0</v>
      </c>
      <c r="BG211" s="6"/>
      <c r="BH211" t="b">
        <v>0</v>
      </c>
      <c r="BI211" s="6"/>
      <c r="BJ211" t="b">
        <v>0</v>
      </c>
      <c r="BL211" t="b">
        <v>0</v>
      </c>
      <c r="BM211" t="b">
        <v>0</v>
      </c>
      <c r="BN211" t="b">
        <v>0</v>
      </c>
      <c r="BO211" t="b">
        <v>0</v>
      </c>
      <c r="BQ211" t="b">
        <v>0</v>
      </c>
      <c r="BR211" s="6"/>
      <c r="BT211" t="b">
        <v>0</v>
      </c>
      <c r="BU211" t="s">
        <v>1400</v>
      </c>
      <c r="BV211" t="s">
        <v>504</v>
      </c>
      <c r="BW211" t="s">
        <v>154</v>
      </c>
      <c r="BX211" t="s">
        <v>1137</v>
      </c>
      <c r="BY211" s="6" t="s">
        <v>256</v>
      </c>
      <c r="BZ211">
        <v>1</v>
      </c>
      <c r="CA211" t="s">
        <v>157</v>
      </c>
      <c r="CB211" s="7">
        <v>46315.0537962963</v>
      </c>
    </row>
    <row r="212" spans="1:80">
      <c r="A212" s="6" t="s">
        <v>1470</v>
      </c>
      <c r="B212" t="s">
        <v>491</v>
      </c>
      <c r="C212" s="6" t="s">
        <v>1396</v>
      </c>
      <c r="D212" s="6"/>
      <c r="E212" t="s">
        <v>1397</v>
      </c>
      <c r="F212" t="s">
        <v>1398</v>
      </c>
      <c r="G212" s="6">
        <v>19</v>
      </c>
      <c r="H212" s="6"/>
      <c r="I212" t="s">
        <v>491</v>
      </c>
      <c r="J212" s="3">
        <v>43555</v>
      </c>
      <c r="K212" t="s">
        <v>1399</v>
      </c>
      <c r="L212" t="s">
        <v>139</v>
      </c>
      <c r="N212" t="s">
        <v>211</v>
      </c>
      <c r="O212" t="s">
        <v>212</v>
      </c>
      <c r="P212" t="s">
        <v>212</v>
      </c>
      <c r="Q212" t="s">
        <v>213</v>
      </c>
      <c r="R212" t="s">
        <v>214</v>
      </c>
      <c r="S212" t="s">
        <v>249</v>
      </c>
      <c r="T212" t="s">
        <v>215</v>
      </c>
      <c r="V212" t="s">
        <v>216</v>
      </c>
      <c r="W212" t="s">
        <v>37</v>
      </c>
      <c r="X212" s="6" t="s">
        <v>217</v>
      </c>
      <c r="Y212" s="6"/>
      <c r="Z212" t="s">
        <v>148</v>
      </c>
      <c r="AA212" t="s">
        <v>149</v>
      </c>
      <c r="AC212" t="s">
        <v>150</v>
      </c>
      <c r="AD212" s="6" t="s">
        <v>1321</v>
      </c>
      <c r="AF212" s="3">
        <v>25031</v>
      </c>
      <c r="AG212">
        <v>58</v>
      </c>
      <c r="AH212" t="b">
        <v>0</v>
      </c>
      <c r="AI212" t="b">
        <v>1</v>
      </c>
      <c r="AJ212" s="6" t="s">
        <v>531</v>
      </c>
      <c r="AK212" s="6" t="s">
        <v>171</v>
      </c>
      <c r="AL212" t="b">
        <v>0</v>
      </c>
      <c r="AM212" s="6"/>
      <c r="AN212" s="6"/>
      <c r="AP212" t="b">
        <v>0</v>
      </c>
      <c r="AQ212" s="6"/>
      <c r="AR212" s="6"/>
      <c r="AT212" t="b">
        <v>0</v>
      </c>
      <c r="AU212" s="6"/>
      <c r="AV212" s="6"/>
      <c r="AX212" t="b">
        <v>0</v>
      </c>
      <c r="AY212" s="6"/>
      <c r="AZ212" s="6"/>
      <c r="BA212" t="b">
        <v>0</v>
      </c>
      <c r="BB212" s="6"/>
      <c r="BC212" t="b">
        <v>0</v>
      </c>
      <c r="BD212" s="6"/>
      <c r="BE212" s="6"/>
      <c r="BF212" t="b">
        <v>0</v>
      </c>
      <c r="BG212" s="6"/>
      <c r="BH212" t="b">
        <v>0</v>
      </c>
      <c r="BI212" s="6"/>
      <c r="BJ212" t="b">
        <v>0</v>
      </c>
      <c r="BL212" t="b">
        <v>0</v>
      </c>
      <c r="BM212" t="b">
        <v>0</v>
      </c>
      <c r="BN212" t="b">
        <v>0</v>
      </c>
      <c r="BO212" t="b">
        <v>0</v>
      </c>
      <c r="BQ212" t="b">
        <v>0</v>
      </c>
      <c r="BR212" s="6"/>
      <c r="BT212" t="b">
        <v>0</v>
      </c>
      <c r="BU212" t="s">
        <v>1400</v>
      </c>
      <c r="BV212" t="s">
        <v>504</v>
      </c>
      <c r="BW212" t="s">
        <v>154</v>
      </c>
      <c r="BX212" t="s">
        <v>45</v>
      </c>
      <c r="BY212" s="6" t="s">
        <v>219</v>
      </c>
      <c r="BZ212">
        <v>1</v>
      </c>
      <c r="CA212" t="s">
        <v>157</v>
      </c>
      <c r="CB212" s="7">
        <v>46315.0537962963</v>
      </c>
    </row>
    <row r="213" spans="1:80">
      <c r="A213" s="6" t="s">
        <v>1471</v>
      </c>
      <c r="B213" t="s">
        <v>491</v>
      </c>
      <c r="C213" s="6" t="s">
        <v>1396</v>
      </c>
      <c r="D213" s="6"/>
      <c r="E213" t="s">
        <v>1397</v>
      </c>
      <c r="F213" t="s">
        <v>1398</v>
      </c>
      <c r="G213" s="6">
        <v>20</v>
      </c>
      <c r="H213" s="6"/>
      <c r="I213" t="s">
        <v>491</v>
      </c>
      <c r="J213" s="3">
        <v>43555</v>
      </c>
      <c r="K213" t="s">
        <v>1399</v>
      </c>
      <c r="L213" t="s">
        <v>139</v>
      </c>
      <c r="N213" t="s">
        <v>468</v>
      </c>
      <c r="O213" t="s">
        <v>163</v>
      </c>
      <c r="P213" t="s">
        <v>163</v>
      </c>
      <c r="Q213" t="s">
        <v>469</v>
      </c>
      <c r="S213" t="s">
        <v>249</v>
      </c>
      <c r="T213" t="s">
        <v>470</v>
      </c>
      <c r="V213" t="s">
        <v>471</v>
      </c>
      <c r="W213" t="s">
        <v>38</v>
      </c>
      <c r="X213" s="6" t="s">
        <v>472</v>
      </c>
      <c r="Y213" s="6"/>
      <c r="Z213" t="s">
        <v>148</v>
      </c>
      <c r="AA213" t="s">
        <v>149</v>
      </c>
      <c r="AC213" t="s">
        <v>150</v>
      </c>
      <c r="AD213" s="6" t="s">
        <v>1004</v>
      </c>
      <c r="AF213" s="3">
        <v>35923</v>
      </c>
      <c r="AG213">
        <v>28</v>
      </c>
      <c r="AH213" t="b">
        <v>0</v>
      </c>
      <c r="AI213" t="b">
        <v>1</v>
      </c>
      <c r="AJ213" s="6" t="s">
        <v>473</v>
      </c>
      <c r="AK213" s="6" t="s">
        <v>171</v>
      </c>
      <c r="AL213" t="b">
        <v>0</v>
      </c>
      <c r="AM213" s="6"/>
      <c r="AN213" s="6"/>
      <c r="AP213" t="b">
        <v>0</v>
      </c>
      <c r="AQ213" s="6"/>
      <c r="AR213" s="6"/>
      <c r="AT213" t="b">
        <v>0</v>
      </c>
      <c r="AU213" s="6"/>
      <c r="AV213" s="6"/>
      <c r="AX213" t="b">
        <v>0</v>
      </c>
      <c r="AY213" s="6"/>
      <c r="AZ213" s="6"/>
      <c r="BA213" t="b">
        <v>0</v>
      </c>
      <c r="BB213" s="6"/>
      <c r="BC213" t="b">
        <v>0</v>
      </c>
      <c r="BD213" s="6"/>
      <c r="BE213" s="6"/>
      <c r="BF213" t="b">
        <v>0</v>
      </c>
      <c r="BG213" s="6"/>
      <c r="BH213" t="b">
        <v>0</v>
      </c>
      <c r="BI213" s="6"/>
      <c r="BJ213" t="b">
        <v>0</v>
      </c>
      <c r="BL213" t="b">
        <v>0</v>
      </c>
      <c r="BM213" t="b">
        <v>0</v>
      </c>
      <c r="BN213" t="b">
        <v>0</v>
      </c>
      <c r="BO213" t="b">
        <v>0</v>
      </c>
      <c r="BQ213" t="b">
        <v>0</v>
      </c>
      <c r="BR213" s="6"/>
      <c r="BT213" t="b">
        <v>0</v>
      </c>
      <c r="BU213" t="s">
        <v>1400</v>
      </c>
      <c r="BV213" t="s">
        <v>504</v>
      </c>
      <c r="BW213" t="s">
        <v>154</v>
      </c>
      <c r="BX213" t="s">
        <v>45</v>
      </c>
      <c r="BY213" s="6" t="s">
        <v>475</v>
      </c>
      <c r="BZ213">
        <v>1</v>
      </c>
      <c r="CA213" t="s">
        <v>157</v>
      </c>
      <c r="CB213" s="7">
        <v>46315.0537962963</v>
      </c>
    </row>
    <row r="214" spans="1:80">
      <c r="A214" s="6" t="s">
        <v>1472</v>
      </c>
      <c r="B214" t="s">
        <v>491</v>
      </c>
      <c r="C214" s="6" t="s">
        <v>1396</v>
      </c>
      <c r="D214" s="6"/>
      <c r="E214" t="s">
        <v>1397</v>
      </c>
      <c r="F214" t="s">
        <v>1398</v>
      </c>
      <c r="G214" s="6">
        <v>21</v>
      </c>
      <c r="H214" s="6"/>
      <c r="I214" t="s">
        <v>491</v>
      </c>
      <c r="J214" s="3">
        <v>43555</v>
      </c>
      <c r="K214" t="s">
        <v>1399</v>
      </c>
      <c r="L214" t="s">
        <v>139</v>
      </c>
      <c r="N214" t="s">
        <v>1473</v>
      </c>
      <c r="O214" t="s">
        <v>324</v>
      </c>
      <c r="P214" t="s">
        <v>324</v>
      </c>
      <c r="Q214" t="s">
        <v>1474</v>
      </c>
      <c r="S214" t="s">
        <v>249</v>
      </c>
      <c r="T214" t="s">
        <v>1475</v>
      </c>
      <c r="V214" t="s">
        <v>1476</v>
      </c>
      <c r="W214" t="s">
        <v>40</v>
      </c>
      <c r="X214" s="6" t="s">
        <v>1477</v>
      </c>
      <c r="Y214" s="6"/>
      <c r="Z214" t="s">
        <v>148</v>
      </c>
      <c r="AA214" t="s">
        <v>205</v>
      </c>
      <c r="AC214" t="s">
        <v>150</v>
      </c>
      <c r="AD214" s="6" t="s">
        <v>1478</v>
      </c>
      <c r="AF214" s="3">
        <v>33354</v>
      </c>
      <c r="AG214">
        <v>35</v>
      </c>
      <c r="AH214" t="b">
        <v>0</v>
      </c>
      <c r="AI214" t="b">
        <v>1</v>
      </c>
      <c r="AJ214" s="6" t="s">
        <v>1479</v>
      </c>
      <c r="AK214" s="6" t="s">
        <v>171</v>
      </c>
      <c r="AL214" t="b">
        <v>0</v>
      </c>
      <c r="AM214" s="6"/>
      <c r="AN214" s="6"/>
      <c r="AP214" t="b">
        <v>0</v>
      </c>
      <c r="AQ214" s="6"/>
      <c r="AR214" s="6"/>
      <c r="AT214" t="b">
        <v>0</v>
      </c>
      <c r="AU214" s="6"/>
      <c r="AV214" s="6"/>
      <c r="AX214" t="b">
        <v>0</v>
      </c>
      <c r="AY214" s="6"/>
      <c r="AZ214" s="6"/>
      <c r="BA214" t="b">
        <v>0</v>
      </c>
      <c r="BB214" s="6"/>
      <c r="BC214" t="b">
        <v>0</v>
      </c>
      <c r="BD214" s="6"/>
      <c r="BE214" s="6"/>
      <c r="BF214" t="b">
        <v>0</v>
      </c>
      <c r="BG214" s="6"/>
      <c r="BH214" t="b">
        <v>0</v>
      </c>
      <c r="BI214" s="6"/>
      <c r="BJ214" t="b">
        <v>0</v>
      </c>
      <c r="BL214" t="b">
        <v>0</v>
      </c>
      <c r="BM214" t="b">
        <v>0</v>
      </c>
      <c r="BN214" t="b">
        <v>0</v>
      </c>
      <c r="BO214" t="b">
        <v>0</v>
      </c>
      <c r="BQ214" t="b">
        <v>0</v>
      </c>
      <c r="BR214" s="6"/>
      <c r="BT214" t="b">
        <v>0</v>
      </c>
      <c r="BU214" t="s">
        <v>1400</v>
      </c>
      <c r="BV214" t="s">
        <v>504</v>
      </c>
      <c r="BW214" t="s">
        <v>154</v>
      </c>
      <c r="BX214" t="s">
        <v>1317</v>
      </c>
      <c r="BY214" s="6" t="s">
        <v>1480</v>
      </c>
      <c r="BZ214">
        <v>1</v>
      </c>
      <c r="CA214" t="s">
        <v>157</v>
      </c>
      <c r="CB214" s="7">
        <v>46315.0537962963</v>
      </c>
    </row>
    <row r="215" spans="1:80">
      <c r="A215" s="6" t="s">
        <v>1481</v>
      </c>
      <c r="B215" t="s">
        <v>491</v>
      </c>
      <c r="C215" s="6" t="s">
        <v>1396</v>
      </c>
      <c r="D215" s="6"/>
      <c r="E215" t="s">
        <v>1397</v>
      </c>
      <c r="F215" t="s">
        <v>1398</v>
      </c>
      <c r="G215" s="6">
        <v>22</v>
      </c>
      <c r="H215" s="6"/>
      <c r="I215" t="s">
        <v>491</v>
      </c>
      <c r="J215" s="3">
        <v>43555</v>
      </c>
      <c r="K215" t="s">
        <v>1399</v>
      </c>
      <c r="L215" t="s">
        <v>139</v>
      </c>
      <c r="N215" t="s">
        <v>1482</v>
      </c>
      <c r="O215" t="s">
        <v>212</v>
      </c>
      <c r="P215" t="s">
        <v>212</v>
      </c>
      <c r="Q215" t="s">
        <v>1483</v>
      </c>
      <c r="S215" t="s">
        <v>249</v>
      </c>
      <c r="T215" t="s">
        <v>1484</v>
      </c>
      <c r="V215" t="s">
        <v>1485</v>
      </c>
      <c r="W215" t="s">
        <v>34</v>
      </c>
      <c r="X215" s="6" t="s">
        <v>1486</v>
      </c>
      <c r="Y215" s="6"/>
      <c r="Z215" t="s">
        <v>148</v>
      </c>
      <c r="AA215" t="s">
        <v>205</v>
      </c>
      <c r="AC215" t="s">
        <v>150</v>
      </c>
      <c r="AD215" s="6" t="s">
        <v>1487</v>
      </c>
      <c r="AF215" s="3">
        <v>18366</v>
      </c>
      <c r="AG215">
        <v>76</v>
      </c>
      <c r="AH215" t="b">
        <v>0</v>
      </c>
      <c r="AI215" t="b">
        <v>1</v>
      </c>
      <c r="AJ215" s="6" t="s">
        <v>1488</v>
      </c>
      <c r="AK215" s="6" t="s">
        <v>171</v>
      </c>
      <c r="AL215" t="b">
        <v>0</v>
      </c>
      <c r="AM215" s="6"/>
      <c r="AN215" s="6"/>
      <c r="AP215" t="b">
        <v>0</v>
      </c>
      <c r="AQ215" s="6"/>
      <c r="AR215" s="6"/>
      <c r="AT215" t="b">
        <v>0</v>
      </c>
      <c r="AU215" s="6"/>
      <c r="AV215" s="6"/>
      <c r="AX215" t="b">
        <v>0</v>
      </c>
      <c r="AY215" s="6"/>
      <c r="AZ215" s="6"/>
      <c r="BA215" t="b">
        <v>0</v>
      </c>
      <c r="BB215" s="6"/>
      <c r="BC215" t="b">
        <v>0</v>
      </c>
      <c r="BD215" s="6"/>
      <c r="BE215" s="6"/>
      <c r="BF215" t="b">
        <v>0</v>
      </c>
      <c r="BG215" s="6"/>
      <c r="BH215" t="b">
        <v>0</v>
      </c>
      <c r="BI215" s="6"/>
      <c r="BJ215" t="b">
        <v>0</v>
      </c>
      <c r="BL215" t="b">
        <v>0</v>
      </c>
      <c r="BM215" t="b">
        <v>0</v>
      </c>
      <c r="BN215" t="b">
        <v>0</v>
      </c>
      <c r="BO215" t="b">
        <v>0</v>
      </c>
      <c r="BQ215" t="b">
        <v>0</v>
      </c>
      <c r="BR215" s="6"/>
      <c r="BT215" t="b">
        <v>0</v>
      </c>
      <c r="BU215" t="s">
        <v>1400</v>
      </c>
      <c r="BV215" t="s">
        <v>504</v>
      </c>
      <c r="BW215" t="s">
        <v>154</v>
      </c>
      <c r="BX215" t="s">
        <v>1273</v>
      </c>
      <c r="BY215" s="6" t="s">
        <v>1489</v>
      </c>
      <c r="BZ215">
        <v>1</v>
      </c>
      <c r="CA215" t="s">
        <v>157</v>
      </c>
      <c r="CB215" s="7">
        <v>46315.0537962963</v>
      </c>
    </row>
    <row r="216" spans="1:80">
      <c r="A216" s="6" t="s">
        <v>1490</v>
      </c>
      <c r="B216" t="s">
        <v>491</v>
      </c>
      <c r="C216" s="6" t="s">
        <v>1396</v>
      </c>
      <c r="D216" s="6"/>
      <c r="E216" t="s">
        <v>1397</v>
      </c>
      <c r="F216" t="s">
        <v>1398</v>
      </c>
      <c r="G216" s="6">
        <v>23</v>
      </c>
      <c r="H216" s="6"/>
      <c r="I216" t="s">
        <v>491</v>
      </c>
      <c r="J216" s="3">
        <v>43555</v>
      </c>
      <c r="K216" t="s">
        <v>1399</v>
      </c>
      <c r="L216" t="s">
        <v>139</v>
      </c>
      <c r="N216" t="s">
        <v>1491</v>
      </c>
      <c r="O216" t="s">
        <v>299</v>
      </c>
      <c r="P216" t="s">
        <v>299</v>
      </c>
      <c r="Q216" t="s">
        <v>1492</v>
      </c>
      <c r="R216" t="s">
        <v>446</v>
      </c>
      <c r="S216" t="s">
        <v>249</v>
      </c>
      <c r="T216" t="s">
        <v>1325</v>
      </c>
      <c r="V216" t="s">
        <v>1326</v>
      </c>
      <c r="W216" t="s">
        <v>36</v>
      </c>
      <c r="X216" s="6" t="s">
        <v>1327</v>
      </c>
      <c r="Y216" s="6"/>
      <c r="Z216" t="s">
        <v>148</v>
      </c>
      <c r="AA216" t="s">
        <v>149</v>
      </c>
      <c r="AC216" t="s">
        <v>150</v>
      </c>
      <c r="AD216" s="6" t="s">
        <v>1493</v>
      </c>
      <c r="AF216" s="3">
        <v>34194</v>
      </c>
      <c r="AG216">
        <v>33</v>
      </c>
      <c r="AH216" t="b">
        <v>0</v>
      </c>
      <c r="AI216" t="b">
        <v>1</v>
      </c>
      <c r="AJ216" s="6" t="s">
        <v>1494</v>
      </c>
      <c r="AK216" s="6" t="s">
        <v>171</v>
      </c>
      <c r="AL216" t="b">
        <v>0</v>
      </c>
      <c r="AM216" s="6"/>
      <c r="AN216" s="6"/>
      <c r="AP216" t="b">
        <v>0</v>
      </c>
      <c r="AQ216" s="6"/>
      <c r="AR216" s="6"/>
      <c r="AT216" t="b">
        <v>0</v>
      </c>
      <c r="AU216" s="6"/>
      <c r="AV216" s="6"/>
      <c r="AX216" t="b">
        <v>0</v>
      </c>
      <c r="AY216" s="6"/>
      <c r="AZ216" s="6"/>
      <c r="BA216" t="b">
        <v>0</v>
      </c>
      <c r="BB216" s="6"/>
      <c r="BC216" t="b">
        <v>0</v>
      </c>
      <c r="BD216" s="6"/>
      <c r="BE216" s="6"/>
      <c r="BF216" t="b">
        <v>0</v>
      </c>
      <c r="BG216" s="6"/>
      <c r="BH216" t="b">
        <v>0</v>
      </c>
      <c r="BI216" s="6"/>
      <c r="BJ216" t="b">
        <v>0</v>
      </c>
      <c r="BL216" t="b">
        <v>0</v>
      </c>
      <c r="BM216" t="b">
        <v>0</v>
      </c>
      <c r="BN216" t="b">
        <v>0</v>
      </c>
      <c r="BO216" t="b">
        <v>0</v>
      </c>
      <c r="BQ216" t="b">
        <v>0</v>
      </c>
      <c r="BR216" s="6"/>
      <c r="BT216" t="b">
        <v>0</v>
      </c>
      <c r="BU216" t="s">
        <v>1400</v>
      </c>
      <c r="BV216" t="s">
        <v>504</v>
      </c>
      <c r="BW216" t="s">
        <v>154</v>
      </c>
      <c r="BX216" t="s">
        <v>1431</v>
      </c>
      <c r="BY216" s="6" t="s">
        <v>1495</v>
      </c>
      <c r="BZ216">
        <v>1</v>
      </c>
      <c r="CA216" t="s">
        <v>157</v>
      </c>
      <c r="CB216" s="7">
        <v>46315.0537962963</v>
      </c>
    </row>
    <row r="217" spans="1:80">
      <c r="A217" s="6" t="s">
        <v>1496</v>
      </c>
      <c r="B217" t="s">
        <v>491</v>
      </c>
      <c r="C217" s="6" t="s">
        <v>1396</v>
      </c>
      <c r="D217" s="6"/>
      <c r="E217" t="s">
        <v>1397</v>
      </c>
      <c r="F217" t="s">
        <v>1398</v>
      </c>
      <c r="G217" s="6">
        <v>24</v>
      </c>
      <c r="H217" s="6"/>
      <c r="I217" t="s">
        <v>491</v>
      </c>
      <c r="J217" s="3">
        <v>43555</v>
      </c>
      <c r="K217" t="s">
        <v>1399</v>
      </c>
      <c r="L217" t="s">
        <v>139</v>
      </c>
      <c r="N217" t="s">
        <v>592</v>
      </c>
      <c r="Q217" t="s">
        <v>593</v>
      </c>
      <c r="S217" t="s">
        <v>249</v>
      </c>
      <c r="T217" t="s">
        <v>594</v>
      </c>
      <c r="V217" t="s">
        <v>595</v>
      </c>
      <c r="W217" t="s">
        <v>37</v>
      </c>
      <c r="X217" s="6" t="s">
        <v>596</v>
      </c>
      <c r="Y217" s="6"/>
      <c r="Z217" t="s">
        <v>148</v>
      </c>
      <c r="AA217" t="s">
        <v>205</v>
      </c>
      <c r="AC217" t="s">
        <v>150</v>
      </c>
      <c r="AD217" s="6" t="s">
        <v>1045</v>
      </c>
      <c r="AF217" s="3">
        <v>37086</v>
      </c>
      <c r="AG217">
        <v>25</v>
      </c>
      <c r="AH217" t="b">
        <v>0</v>
      </c>
      <c r="AI217" t="b">
        <v>1</v>
      </c>
      <c r="AJ217" s="6" t="s">
        <v>597</v>
      </c>
      <c r="AK217" s="6" t="s">
        <v>171</v>
      </c>
      <c r="AL217" t="b">
        <v>0</v>
      </c>
      <c r="AM217" s="6"/>
      <c r="AN217" s="6"/>
      <c r="AP217" t="b">
        <v>0</v>
      </c>
      <c r="AQ217" s="6"/>
      <c r="AR217" s="6"/>
      <c r="AT217" t="b">
        <v>0</v>
      </c>
      <c r="AU217" s="6"/>
      <c r="AV217" s="6"/>
      <c r="AX217" t="b">
        <v>0</v>
      </c>
      <c r="AY217" s="6"/>
      <c r="AZ217" s="6"/>
      <c r="BA217" t="b">
        <v>0</v>
      </c>
      <c r="BB217" s="6"/>
      <c r="BC217" t="b">
        <v>0</v>
      </c>
      <c r="BD217" s="6"/>
      <c r="BE217" s="6"/>
      <c r="BF217" t="b">
        <v>0</v>
      </c>
      <c r="BG217" s="6"/>
      <c r="BH217" t="b">
        <v>0</v>
      </c>
      <c r="BI217" s="6"/>
      <c r="BJ217" t="b">
        <v>0</v>
      </c>
      <c r="BL217" t="b">
        <v>0</v>
      </c>
      <c r="BM217" t="b">
        <v>0</v>
      </c>
      <c r="BN217" t="b">
        <v>0</v>
      </c>
      <c r="BO217" t="b">
        <v>0</v>
      </c>
      <c r="BQ217" t="b">
        <v>0</v>
      </c>
      <c r="BR217" s="6"/>
      <c r="BT217" t="b">
        <v>0</v>
      </c>
      <c r="BU217" t="s">
        <v>1400</v>
      </c>
      <c r="BV217" t="s">
        <v>504</v>
      </c>
      <c r="BW217" t="s">
        <v>154</v>
      </c>
      <c r="BX217" t="s">
        <v>1273</v>
      </c>
      <c r="BY217" s="6" t="s">
        <v>599</v>
      </c>
      <c r="BZ217">
        <v>1</v>
      </c>
      <c r="CA217" t="s">
        <v>157</v>
      </c>
      <c r="CB217" s="7">
        <v>46315.0537962963</v>
      </c>
    </row>
    <row r="218" spans="1:80">
      <c r="A218" s="6" t="s">
        <v>1497</v>
      </c>
      <c r="B218" t="s">
        <v>491</v>
      </c>
      <c r="C218" s="6" t="s">
        <v>1396</v>
      </c>
      <c r="D218" s="6"/>
      <c r="E218" t="s">
        <v>1397</v>
      </c>
      <c r="F218" t="s">
        <v>1398</v>
      </c>
      <c r="G218" s="6">
        <v>25</v>
      </c>
      <c r="H218" s="6"/>
      <c r="I218" t="s">
        <v>491</v>
      </c>
      <c r="J218" s="3">
        <v>43555</v>
      </c>
      <c r="K218" t="s">
        <v>1399</v>
      </c>
      <c r="L218" t="s">
        <v>139</v>
      </c>
      <c r="N218" t="s">
        <v>678</v>
      </c>
      <c r="Q218" t="s">
        <v>469</v>
      </c>
      <c r="S218" t="s">
        <v>249</v>
      </c>
      <c r="T218" t="s">
        <v>470</v>
      </c>
      <c r="V218" t="s">
        <v>471</v>
      </c>
      <c r="W218" t="s">
        <v>38</v>
      </c>
      <c r="X218" s="6" t="s">
        <v>472</v>
      </c>
      <c r="Y218" s="6"/>
      <c r="Z218" t="s">
        <v>148</v>
      </c>
      <c r="AA218" t="s">
        <v>149</v>
      </c>
      <c r="AC218" t="s">
        <v>150</v>
      </c>
      <c r="AD218" s="6" t="s">
        <v>1393</v>
      </c>
      <c r="AF218" s="3">
        <v>35924</v>
      </c>
      <c r="AG218">
        <v>28</v>
      </c>
      <c r="AH218" t="b">
        <v>0</v>
      </c>
      <c r="AI218" t="b">
        <v>1</v>
      </c>
      <c r="AJ218" s="6" t="s">
        <v>679</v>
      </c>
      <c r="AK218" s="6" t="s">
        <v>171</v>
      </c>
      <c r="AL218" t="b">
        <v>0</v>
      </c>
      <c r="AM218" s="6"/>
      <c r="AN218" s="6"/>
      <c r="AP218" t="b">
        <v>0</v>
      </c>
      <c r="AQ218" s="6"/>
      <c r="AR218" s="6"/>
      <c r="AT218" t="b">
        <v>0</v>
      </c>
      <c r="AU218" s="6"/>
      <c r="AV218" s="6"/>
      <c r="AX218" t="b">
        <v>0</v>
      </c>
      <c r="AY218" s="6"/>
      <c r="AZ218" s="6"/>
      <c r="BA218" t="b">
        <v>0</v>
      </c>
      <c r="BB218" s="6"/>
      <c r="BC218" t="b">
        <v>0</v>
      </c>
      <c r="BD218" s="6"/>
      <c r="BE218" s="6"/>
      <c r="BF218" t="b">
        <v>0</v>
      </c>
      <c r="BG218" s="6"/>
      <c r="BH218" t="b">
        <v>0</v>
      </c>
      <c r="BI218" s="6"/>
      <c r="BJ218" t="b">
        <v>0</v>
      </c>
      <c r="BL218" t="b">
        <v>0</v>
      </c>
      <c r="BM218" t="b">
        <v>0</v>
      </c>
      <c r="BN218" t="b">
        <v>0</v>
      </c>
      <c r="BO218" t="b">
        <v>0</v>
      </c>
      <c r="BQ218" t="b">
        <v>0</v>
      </c>
      <c r="BR218" s="6"/>
      <c r="BT218" t="b">
        <v>0</v>
      </c>
      <c r="BU218" t="s">
        <v>1400</v>
      </c>
      <c r="BV218" t="s">
        <v>504</v>
      </c>
      <c r="BW218" t="s">
        <v>154</v>
      </c>
      <c r="BX218" t="s">
        <v>1137</v>
      </c>
      <c r="BY218" s="6" t="s">
        <v>681</v>
      </c>
      <c r="BZ218">
        <v>1</v>
      </c>
      <c r="CA218" t="s">
        <v>157</v>
      </c>
      <c r="CB218" s="7">
        <v>46315.0537962963</v>
      </c>
    </row>
    <row r="219" spans="1:80">
      <c r="A219" s="6" t="s">
        <v>1498</v>
      </c>
      <c r="B219" t="s">
        <v>491</v>
      </c>
      <c r="C219" s="6" t="s">
        <v>1396</v>
      </c>
      <c r="D219" s="6"/>
      <c r="E219" t="s">
        <v>1397</v>
      </c>
      <c r="F219" t="s">
        <v>1398</v>
      </c>
      <c r="G219" s="6">
        <v>26</v>
      </c>
      <c r="H219" s="6"/>
      <c r="I219" t="s">
        <v>491</v>
      </c>
      <c r="J219" s="3">
        <v>43555</v>
      </c>
      <c r="K219" t="s">
        <v>1399</v>
      </c>
      <c r="L219" t="s">
        <v>139</v>
      </c>
      <c r="N219" t="s">
        <v>667</v>
      </c>
      <c r="Q219" t="s">
        <v>668</v>
      </c>
      <c r="S219" t="s">
        <v>249</v>
      </c>
      <c r="T219" t="s">
        <v>669</v>
      </c>
      <c r="U219" t="s">
        <v>670</v>
      </c>
      <c r="V219" t="s">
        <v>671</v>
      </c>
      <c r="W219" t="s">
        <v>39</v>
      </c>
      <c r="X219" s="6" t="s">
        <v>672</v>
      </c>
      <c r="Y219" s="6"/>
      <c r="Z219" t="s">
        <v>148</v>
      </c>
      <c r="AA219" t="s">
        <v>149</v>
      </c>
      <c r="AC219" t="s">
        <v>150</v>
      </c>
      <c r="AD219" s="6" t="s">
        <v>1023</v>
      </c>
      <c r="AF219" s="3">
        <v>35083</v>
      </c>
      <c r="AG219">
        <v>30</v>
      </c>
      <c r="AH219" t="b">
        <v>0</v>
      </c>
      <c r="AI219" t="b">
        <v>1</v>
      </c>
      <c r="AJ219" s="6" t="s">
        <v>673</v>
      </c>
      <c r="AK219" s="6" t="s">
        <v>171</v>
      </c>
      <c r="AL219" t="b">
        <v>0</v>
      </c>
      <c r="AM219" s="6"/>
      <c r="AN219" s="6"/>
      <c r="AP219" t="b">
        <v>0</v>
      </c>
      <c r="AQ219" s="6"/>
      <c r="AR219" s="6"/>
      <c r="AT219" t="b">
        <v>0</v>
      </c>
      <c r="AU219" s="6"/>
      <c r="AV219" s="6"/>
      <c r="AX219" t="b">
        <v>0</v>
      </c>
      <c r="AY219" s="6"/>
      <c r="AZ219" s="6"/>
      <c r="BA219" t="b">
        <v>0</v>
      </c>
      <c r="BB219" s="6"/>
      <c r="BC219" t="b">
        <v>0</v>
      </c>
      <c r="BD219" s="6"/>
      <c r="BE219" s="6"/>
      <c r="BF219" t="b">
        <v>0</v>
      </c>
      <c r="BG219" s="6"/>
      <c r="BH219" t="b">
        <v>0</v>
      </c>
      <c r="BI219" s="6"/>
      <c r="BJ219" t="b">
        <v>0</v>
      </c>
      <c r="BL219" t="b">
        <v>0</v>
      </c>
      <c r="BM219" t="b">
        <v>0</v>
      </c>
      <c r="BN219" t="b">
        <v>0</v>
      </c>
      <c r="BO219" t="b">
        <v>0</v>
      </c>
      <c r="BQ219" t="b">
        <v>0</v>
      </c>
      <c r="BR219" s="6"/>
      <c r="BT219" t="b">
        <v>0</v>
      </c>
      <c r="BU219" t="s">
        <v>1400</v>
      </c>
      <c r="BV219" t="s">
        <v>504</v>
      </c>
      <c r="BW219" t="s">
        <v>154</v>
      </c>
      <c r="BX219" t="s">
        <v>1499</v>
      </c>
      <c r="BY219" s="6" t="s">
        <v>676</v>
      </c>
      <c r="BZ219">
        <v>1</v>
      </c>
      <c r="CA219" t="s">
        <v>157</v>
      </c>
      <c r="CB219" s="7">
        <v>46315.0537962963</v>
      </c>
    </row>
    <row r="220" spans="1:80">
      <c r="A220" s="6" t="s">
        <v>1500</v>
      </c>
      <c r="B220" t="s">
        <v>491</v>
      </c>
      <c r="C220" s="6" t="s">
        <v>1396</v>
      </c>
      <c r="D220" s="6"/>
      <c r="E220" t="s">
        <v>1397</v>
      </c>
      <c r="F220" t="s">
        <v>1398</v>
      </c>
      <c r="G220" s="6">
        <v>27</v>
      </c>
      <c r="H220" s="6"/>
      <c r="I220" t="s">
        <v>491</v>
      </c>
      <c r="J220" s="3">
        <v>43555</v>
      </c>
      <c r="K220" t="s">
        <v>1399</v>
      </c>
      <c r="L220" t="s">
        <v>139</v>
      </c>
      <c r="N220" t="s">
        <v>479</v>
      </c>
      <c r="Q220" t="s">
        <v>423</v>
      </c>
      <c r="S220" t="s">
        <v>249</v>
      </c>
      <c r="T220" t="s">
        <v>480</v>
      </c>
      <c r="V220" t="s">
        <v>481</v>
      </c>
      <c r="W220" t="s">
        <v>39</v>
      </c>
      <c r="X220" s="6" t="s">
        <v>482</v>
      </c>
      <c r="Y220" s="6"/>
      <c r="Z220" t="s">
        <v>148</v>
      </c>
      <c r="AA220" t="s">
        <v>149</v>
      </c>
      <c r="AC220" t="s">
        <v>150</v>
      </c>
      <c r="AD220" s="6" t="s">
        <v>773</v>
      </c>
      <c r="AF220" s="3">
        <v>26352</v>
      </c>
      <c r="AG220">
        <v>54</v>
      </c>
      <c r="AH220" t="b">
        <v>0</v>
      </c>
      <c r="AI220" t="b">
        <v>1</v>
      </c>
      <c r="AJ220" s="6" t="s">
        <v>483</v>
      </c>
      <c r="AK220" s="6" t="s">
        <v>171</v>
      </c>
      <c r="AL220" t="b">
        <v>0</v>
      </c>
      <c r="AM220" s="6"/>
      <c r="AN220" s="6"/>
      <c r="AP220" t="b">
        <v>0</v>
      </c>
      <c r="AQ220" s="6"/>
      <c r="AR220" s="6"/>
      <c r="AT220" t="b">
        <v>0</v>
      </c>
      <c r="AU220" s="6"/>
      <c r="AV220" s="6"/>
      <c r="AX220" t="b">
        <v>0</v>
      </c>
      <c r="AY220" s="6"/>
      <c r="AZ220" s="6"/>
      <c r="BA220" t="b">
        <v>0</v>
      </c>
      <c r="BB220" s="6"/>
      <c r="BC220" t="b">
        <v>0</v>
      </c>
      <c r="BD220" s="6"/>
      <c r="BE220" s="6"/>
      <c r="BF220" t="b">
        <v>0</v>
      </c>
      <c r="BG220" s="6"/>
      <c r="BH220" t="b">
        <v>0</v>
      </c>
      <c r="BI220" s="6"/>
      <c r="BJ220" t="b">
        <v>0</v>
      </c>
      <c r="BL220" t="b">
        <v>0</v>
      </c>
      <c r="BM220" t="b">
        <v>0</v>
      </c>
      <c r="BN220" t="b">
        <v>0</v>
      </c>
      <c r="BO220" t="b">
        <v>0</v>
      </c>
      <c r="BQ220" t="b">
        <v>0</v>
      </c>
      <c r="BR220" s="6"/>
      <c r="BT220" t="b">
        <v>0</v>
      </c>
      <c r="BU220" t="s">
        <v>1400</v>
      </c>
      <c r="BV220" t="s">
        <v>504</v>
      </c>
      <c r="BW220" t="s">
        <v>154</v>
      </c>
      <c r="BX220" t="s">
        <v>45</v>
      </c>
      <c r="BY220" s="6" t="s">
        <v>485</v>
      </c>
      <c r="BZ220">
        <v>1</v>
      </c>
      <c r="CA220" t="s">
        <v>157</v>
      </c>
      <c r="CB220" s="7">
        <v>46315.0537962963</v>
      </c>
    </row>
    <row r="221" spans="1:80">
      <c r="A221" s="6" t="s">
        <v>1501</v>
      </c>
      <c r="B221" t="s">
        <v>491</v>
      </c>
      <c r="C221" s="6" t="s">
        <v>1396</v>
      </c>
      <c r="D221" s="6"/>
      <c r="E221" t="s">
        <v>1397</v>
      </c>
      <c r="F221" t="s">
        <v>1398</v>
      </c>
      <c r="G221" s="6">
        <v>28</v>
      </c>
      <c r="H221" s="6"/>
      <c r="I221" t="s">
        <v>491</v>
      </c>
      <c r="J221" s="3">
        <v>43555</v>
      </c>
      <c r="K221" t="s">
        <v>1399</v>
      </c>
      <c r="L221" t="s">
        <v>139</v>
      </c>
      <c r="N221" t="s">
        <v>1234</v>
      </c>
      <c r="O221" t="s">
        <v>142</v>
      </c>
      <c r="P221" t="s">
        <v>142</v>
      </c>
      <c r="Q221" t="s">
        <v>1236</v>
      </c>
      <c r="S221" t="s">
        <v>249</v>
      </c>
      <c r="T221" t="s">
        <v>660</v>
      </c>
      <c r="V221" t="s">
        <v>661</v>
      </c>
      <c r="W221" t="s">
        <v>34</v>
      </c>
      <c r="X221" s="6" t="s">
        <v>662</v>
      </c>
      <c r="Y221" s="6"/>
      <c r="Z221" t="s">
        <v>148</v>
      </c>
      <c r="AA221" t="s">
        <v>149</v>
      </c>
      <c r="AC221" t="s">
        <v>150</v>
      </c>
      <c r="AD221" s="6" t="s">
        <v>1237</v>
      </c>
      <c r="AF221" s="3">
        <v>19966</v>
      </c>
      <c r="AG221">
        <v>72</v>
      </c>
      <c r="AH221" t="b">
        <v>0</v>
      </c>
      <c r="AI221" t="b">
        <v>1</v>
      </c>
      <c r="AJ221" s="6" t="s">
        <v>1239</v>
      </c>
      <c r="AK221" s="6" t="s">
        <v>171</v>
      </c>
      <c r="AL221" t="b">
        <v>0</v>
      </c>
      <c r="AM221" s="6"/>
      <c r="AN221" s="6"/>
      <c r="AP221" t="b">
        <v>0</v>
      </c>
      <c r="AQ221" s="6"/>
      <c r="AR221" s="6"/>
      <c r="AT221" t="b">
        <v>0</v>
      </c>
      <c r="AU221" s="6"/>
      <c r="AV221" s="6"/>
      <c r="AX221" t="b">
        <v>0</v>
      </c>
      <c r="AY221" s="6"/>
      <c r="AZ221" s="6"/>
      <c r="BA221" t="b">
        <v>0</v>
      </c>
      <c r="BB221" s="6"/>
      <c r="BC221" t="b">
        <v>0</v>
      </c>
      <c r="BD221" s="6"/>
      <c r="BE221" s="6"/>
      <c r="BF221" t="b">
        <v>0</v>
      </c>
      <c r="BG221" s="6"/>
      <c r="BH221" t="b">
        <v>0</v>
      </c>
      <c r="BI221" s="6"/>
      <c r="BJ221" t="b">
        <v>0</v>
      </c>
      <c r="BL221" t="b">
        <v>0</v>
      </c>
      <c r="BM221" t="b">
        <v>0</v>
      </c>
      <c r="BN221" t="b">
        <v>0</v>
      </c>
      <c r="BO221" t="b">
        <v>0</v>
      </c>
      <c r="BQ221" t="b">
        <v>0</v>
      </c>
      <c r="BR221" s="6"/>
      <c r="BT221" t="b">
        <v>0</v>
      </c>
      <c r="BU221" t="s">
        <v>1400</v>
      </c>
      <c r="BV221" t="s">
        <v>504</v>
      </c>
      <c r="BW221" t="s">
        <v>154</v>
      </c>
      <c r="BX221" t="s">
        <v>45</v>
      </c>
      <c r="BY221" s="6" t="s">
        <v>1240</v>
      </c>
      <c r="BZ221">
        <v>1</v>
      </c>
      <c r="CA221" t="s">
        <v>157</v>
      </c>
      <c r="CB221" s="7">
        <v>46315.0537962963</v>
      </c>
    </row>
    <row r="222" spans="1:80">
      <c r="A222" s="6" t="s">
        <v>1502</v>
      </c>
      <c r="B222" t="s">
        <v>491</v>
      </c>
      <c r="C222" s="6" t="s">
        <v>1396</v>
      </c>
      <c r="D222" s="6"/>
      <c r="E222" t="s">
        <v>1397</v>
      </c>
      <c r="F222" t="s">
        <v>1398</v>
      </c>
      <c r="G222" s="6">
        <v>29</v>
      </c>
      <c r="H222" s="6"/>
      <c r="I222" t="s">
        <v>491</v>
      </c>
      <c r="J222" s="3">
        <v>43555</v>
      </c>
      <c r="K222" t="s">
        <v>1399</v>
      </c>
      <c r="L222" t="s">
        <v>139</v>
      </c>
      <c r="N222" t="s">
        <v>507</v>
      </c>
      <c r="Q222" t="s">
        <v>703</v>
      </c>
      <c r="S222" t="s">
        <v>249</v>
      </c>
      <c r="T222" t="s">
        <v>704</v>
      </c>
      <c r="V222" t="s">
        <v>705</v>
      </c>
      <c r="W222" t="s">
        <v>36</v>
      </c>
      <c r="X222" s="6" t="s">
        <v>706</v>
      </c>
      <c r="Y222" s="6"/>
      <c r="Z222" t="s">
        <v>148</v>
      </c>
      <c r="AA222" t="s">
        <v>149</v>
      </c>
      <c r="AC222" t="s">
        <v>150</v>
      </c>
      <c r="AD222" s="6" t="s">
        <v>984</v>
      </c>
      <c r="AF222" s="3">
        <v>23873</v>
      </c>
      <c r="AG222">
        <v>61</v>
      </c>
      <c r="AH222" t="b">
        <v>0</v>
      </c>
      <c r="AI222" t="b">
        <v>1</v>
      </c>
      <c r="AJ222" s="6" t="s">
        <v>707</v>
      </c>
      <c r="AK222" s="6" t="s">
        <v>171</v>
      </c>
      <c r="AL222" t="b">
        <v>0</v>
      </c>
      <c r="AM222" s="6"/>
      <c r="AN222" s="6"/>
      <c r="AP222" t="b">
        <v>0</v>
      </c>
      <c r="AQ222" s="6"/>
      <c r="AR222" s="6"/>
      <c r="AT222" t="b">
        <v>0</v>
      </c>
      <c r="AU222" s="6"/>
      <c r="AV222" s="6"/>
      <c r="AX222" t="b">
        <v>0</v>
      </c>
      <c r="AY222" s="6"/>
      <c r="AZ222" s="6"/>
      <c r="BA222" t="b">
        <v>0</v>
      </c>
      <c r="BB222" s="6"/>
      <c r="BC222" t="b">
        <v>0</v>
      </c>
      <c r="BD222" s="6"/>
      <c r="BE222" s="6"/>
      <c r="BF222" t="b">
        <v>0</v>
      </c>
      <c r="BG222" s="6"/>
      <c r="BH222" t="b">
        <v>0</v>
      </c>
      <c r="BI222" s="6"/>
      <c r="BJ222" t="b">
        <v>0</v>
      </c>
      <c r="BL222" t="b">
        <v>0</v>
      </c>
      <c r="BM222" t="b">
        <v>0</v>
      </c>
      <c r="BN222" t="b">
        <v>0</v>
      </c>
      <c r="BO222" t="b">
        <v>0</v>
      </c>
      <c r="BQ222" t="b">
        <v>0</v>
      </c>
      <c r="BR222" s="6"/>
      <c r="BT222" t="b">
        <v>0</v>
      </c>
      <c r="BU222" t="s">
        <v>1400</v>
      </c>
      <c r="BV222" t="s">
        <v>504</v>
      </c>
      <c r="BW222" t="s">
        <v>154</v>
      </c>
      <c r="BX222" t="s">
        <v>1431</v>
      </c>
      <c r="BY222" s="6" t="s">
        <v>709</v>
      </c>
      <c r="BZ222">
        <v>1</v>
      </c>
      <c r="CA222" t="s">
        <v>157</v>
      </c>
      <c r="CB222" s="7">
        <v>46315.0537962963</v>
      </c>
    </row>
    <row r="223" spans="1:80">
      <c r="A223" s="6" t="s">
        <v>1503</v>
      </c>
      <c r="B223" t="s">
        <v>491</v>
      </c>
      <c r="C223" s="6" t="s">
        <v>1396</v>
      </c>
      <c r="D223" s="6"/>
      <c r="E223" t="s">
        <v>1397</v>
      </c>
      <c r="F223" t="s">
        <v>1398</v>
      </c>
      <c r="G223" s="6">
        <v>30</v>
      </c>
      <c r="H223" s="6"/>
      <c r="I223" t="s">
        <v>491</v>
      </c>
      <c r="J223" s="3">
        <v>43555</v>
      </c>
      <c r="K223" t="s">
        <v>1399</v>
      </c>
      <c r="L223" t="s">
        <v>139</v>
      </c>
      <c r="N223" t="s">
        <v>1504</v>
      </c>
      <c r="Q223" t="s">
        <v>1505</v>
      </c>
      <c r="S223" t="s">
        <v>249</v>
      </c>
      <c r="T223" t="s">
        <v>1506</v>
      </c>
      <c r="V223" t="s">
        <v>1107</v>
      </c>
      <c r="W223" t="s">
        <v>38</v>
      </c>
      <c r="X223" s="6" t="s">
        <v>1108</v>
      </c>
      <c r="Y223" s="6"/>
      <c r="Z223" t="s">
        <v>148</v>
      </c>
      <c r="AA223" t="s">
        <v>205</v>
      </c>
      <c r="AC223" t="s">
        <v>150</v>
      </c>
      <c r="AD223" s="6" t="s">
        <v>1507</v>
      </c>
      <c r="AF223" s="3">
        <v>22425</v>
      </c>
      <c r="AG223">
        <v>65</v>
      </c>
      <c r="AH223" t="b">
        <v>0</v>
      </c>
      <c r="AI223" t="b">
        <v>1</v>
      </c>
      <c r="AJ223" s="6" t="s">
        <v>1508</v>
      </c>
      <c r="AK223" s="6" t="s">
        <v>171</v>
      </c>
      <c r="AL223" t="b">
        <v>0</v>
      </c>
      <c r="AM223" s="6"/>
      <c r="AN223" s="6"/>
      <c r="AP223" t="b">
        <v>0</v>
      </c>
      <c r="AQ223" s="6"/>
      <c r="AR223" s="6"/>
      <c r="AT223" t="b">
        <v>0</v>
      </c>
      <c r="AU223" s="6"/>
      <c r="AV223" s="6"/>
      <c r="AX223" t="b">
        <v>0</v>
      </c>
      <c r="AY223" s="6"/>
      <c r="AZ223" s="6"/>
      <c r="BA223" t="b">
        <v>0</v>
      </c>
      <c r="BB223" s="6"/>
      <c r="BC223" t="b">
        <v>0</v>
      </c>
      <c r="BD223" s="6"/>
      <c r="BE223" s="6"/>
      <c r="BF223" t="b">
        <v>0</v>
      </c>
      <c r="BG223" s="6"/>
      <c r="BH223" t="b">
        <v>0</v>
      </c>
      <c r="BI223" s="6"/>
      <c r="BJ223" t="b">
        <v>0</v>
      </c>
      <c r="BL223" t="b">
        <v>0</v>
      </c>
      <c r="BM223" t="b">
        <v>0</v>
      </c>
      <c r="BN223" t="b">
        <v>0</v>
      </c>
      <c r="BO223" t="b">
        <v>0</v>
      </c>
      <c r="BQ223" t="b">
        <v>0</v>
      </c>
      <c r="BR223" s="6"/>
      <c r="BT223" t="b">
        <v>0</v>
      </c>
      <c r="BU223" t="s">
        <v>1400</v>
      </c>
      <c r="BV223" t="s">
        <v>504</v>
      </c>
      <c r="BW223" t="s">
        <v>154</v>
      </c>
      <c r="BX223" t="s">
        <v>1273</v>
      </c>
      <c r="BY223" s="6" t="s">
        <v>1509</v>
      </c>
      <c r="BZ223">
        <v>1</v>
      </c>
      <c r="CA223" t="s">
        <v>157</v>
      </c>
      <c r="CB223" s="7">
        <v>46315.0537962963</v>
      </c>
    </row>
    <row r="224" spans="1:80">
      <c r="A224" s="6" t="s">
        <v>1510</v>
      </c>
      <c r="B224" t="s">
        <v>491</v>
      </c>
      <c r="C224" s="6" t="s">
        <v>1396</v>
      </c>
      <c r="D224" s="6"/>
      <c r="E224" t="s">
        <v>1397</v>
      </c>
      <c r="F224" t="s">
        <v>1398</v>
      </c>
      <c r="G224" s="6">
        <v>31</v>
      </c>
      <c r="H224" s="6"/>
      <c r="I224" t="s">
        <v>491</v>
      </c>
      <c r="J224" s="3">
        <v>43555</v>
      </c>
      <c r="K224" t="s">
        <v>1399</v>
      </c>
      <c r="L224" t="s">
        <v>139</v>
      </c>
      <c r="N224" t="s">
        <v>658</v>
      </c>
      <c r="Q224" t="s">
        <v>1511</v>
      </c>
      <c r="R224" t="s">
        <v>446</v>
      </c>
      <c r="S224" t="s">
        <v>249</v>
      </c>
      <c r="T224" t="s">
        <v>1512</v>
      </c>
      <c r="V224" t="s">
        <v>1513</v>
      </c>
      <c r="W224" t="s">
        <v>33</v>
      </c>
      <c r="X224" s="6" t="s">
        <v>1514</v>
      </c>
      <c r="Y224" s="6"/>
      <c r="Z224" t="s">
        <v>148</v>
      </c>
      <c r="AA224" t="s">
        <v>205</v>
      </c>
      <c r="AC224" t="s">
        <v>150</v>
      </c>
      <c r="AD224" s="6" t="s">
        <v>1515</v>
      </c>
      <c r="AF224" s="3">
        <v>32329</v>
      </c>
      <c r="AG224">
        <v>38</v>
      </c>
      <c r="AH224" t="b">
        <v>0</v>
      </c>
      <c r="AI224" t="b">
        <v>1</v>
      </c>
      <c r="AJ224" s="6" t="s">
        <v>1516</v>
      </c>
      <c r="AK224" s="6" t="s">
        <v>1517</v>
      </c>
      <c r="AL224" t="b">
        <v>0</v>
      </c>
      <c r="AM224" s="6"/>
      <c r="AN224" s="6"/>
      <c r="AP224" t="b">
        <v>0</v>
      </c>
      <c r="AQ224" s="6"/>
      <c r="AR224" s="6"/>
      <c r="AT224" t="b">
        <v>0</v>
      </c>
      <c r="AU224" s="6"/>
      <c r="AV224" s="6"/>
      <c r="AX224" t="b">
        <v>0</v>
      </c>
      <c r="AY224" s="6"/>
      <c r="AZ224" s="6"/>
      <c r="BA224" t="b">
        <v>0</v>
      </c>
      <c r="BB224" s="6"/>
      <c r="BC224" t="b">
        <v>0</v>
      </c>
      <c r="BD224" s="6"/>
      <c r="BE224" s="6"/>
      <c r="BF224" t="b">
        <v>0</v>
      </c>
      <c r="BG224" s="6"/>
      <c r="BH224" t="b">
        <v>0</v>
      </c>
      <c r="BI224" s="6"/>
      <c r="BJ224" t="b">
        <v>0</v>
      </c>
      <c r="BL224" t="b">
        <v>0</v>
      </c>
      <c r="BM224" t="b">
        <v>0</v>
      </c>
      <c r="BN224" t="b">
        <v>0</v>
      </c>
      <c r="BO224" t="b">
        <v>0</v>
      </c>
      <c r="BQ224" t="b">
        <v>0</v>
      </c>
      <c r="BR224" s="6"/>
      <c r="BT224" t="b">
        <v>0</v>
      </c>
      <c r="BU224" t="s">
        <v>1400</v>
      </c>
      <c r="BV224" t="s">
        <v>504</v>
      </c>
      <c r="BW224" t="s">
        <v>289</v>
      </c>
      <c r="BX224" t="s">
        <v>1518</v>
      </c>
      <c r="BY224" s="6" t="s">
        <v>1519</v>
      </c>
      <c r="BZ224">
        <v>1</v>
      </c>
      <c r="CA224" t="s">
        <v>157</v>
      </c>
      <c r="CB224" s="7">
        <v>46315.0537962963</v>
      </c>
    </row>
    <row r="225" spans="1:80">
      <c r="A225" s="6" t="s">
        <v>1520</v>
      </c>
      <c r="B225" t="s">
        <v>491</v>
      </c>
      <c r="C225" s="6" t="s">
        <v>1396</v>
      </c>
      <c r="D225" s="6"/>
      <c r="E225" t="s">
        <v>1397</v>
      </c>
      <c r="F225" t="s">
        <v>1398</v>
      </c>
      <c r="G225" s="6">
        <v>32</v>
      </c>
      <c r="H225" s="6"/>
      <c r="I225" t="s">
        <v>491</v>
      </c>
      <c r="J225" s="3">
        <v>43555</v>
      </c>
      <c r="K225" t="s">
        <v>1399</v>
      </c>
      <c r="L225" t="s">
        <v>139</v>
      </c>
      <c r="N225" t="s">
        <v>610</v>
      </c>
      <c r="Q225" t="s">
        <v>611</v>
      </c>
      <c r="S225" t="s">
        <v>249</v>
      </c>
      <c r="T225" t="s">
        <v>612</v>
      </c>
      <c r="U225" t="s">
        <v>613</v>
      </c>
      <c r="V225" t="s">
        <v>614</v>
      </c>
      <c r="W225" t="s">
        <v>39</v>
      </c>
      <c r="X225" s="6" t="s">
        <v>615</v>
      </c>
      <c r="Y225" s="6"/>
      <c r="Z225" t="s">
        <v>148</v>
      </c>
      <c r="AA225" t="s">
        <v>205</v>
      </c>
      <c r="AC225" t="s">
        <v>150</v>
      </c>
      <c r="AD225" s="6" t="s">
        <v>770</v>
      </c>
      <c r="AF225" s="3">
        <v>28350</v>
      </c>
      <c r="AG225">
        <v>49</v>
      </c>
      <c r="AH225" t="b">
        <v>0</v>
      </c>
      <c r="AI225" t="b">
        <v>1</v>
      </c>
      <c r="AJ225" s="6" t="s">
        <v>616</v>
      </c>
      <c r="AK225" s="6" t="s">
        <v>171</v>
      </c>
      <c r="AL225" t="b">
        <v>0</v>
      </c>
      <c r="AM225" s="6"/>
      <c r="AN225" s="6"/>
      <c r="AP225" t="b">
        <v>0</v>
      </c>
      <c r="AQ225" s="6"/>
      <c r="AR225" s="6"/>
      <c r="AT225" t="b">
        <v>0</v>
      </c>
      <c r="AU225" s="6"/>
      <c r="AV225" s="6"/>
      <c r="AX225" t="b">
        <v>0</v>
      </c>
      <c r="AY225" s="6"/>
      <c r="AZ225" s="6"/>
      <c r="BA225" t="b">
        <v>0</v>
      </c>
      <c r="BB225" s="6"/>
      <c r="BC225" t="b">
        <v>0</v>
      </c>
      <c r="BD225" s="6"/>
      <c r="BE225" s="6"/>
      <c r="BF225" t="b">
        <v>0</v>
      </c>
      <c r="BG225" s="6"/>
      <c r="BH225" t="b">
        <v>0</v>
      </c>
      <c r="BI225" s="6"/>
      <c r="BJ225" t="b">
        <v>0</v>
      </c>
      <c r="BL225" t="b">
        <v>0</v>
      </c>
      <c r="BM225" t="b">
        <v>0</v>
      </c>
      <c r="BN225" t="b">
        <v>0</v>
      </c>
      <c r="BO225" t="b">
        <v>0</v>
      </c>
      <c r="BQ225" t="b">
        <v>0</v>
      </c>
      <c r="BR225" s="6"/>
      <c r="BT225" t="b">
        <v>0</v>
      </c>
      <c r="BU225" t="s">
        <v>1400</v>
      </c>
      <c r="BV225" t="s">
        <v>504</v>
      </c>
      <c r="BW225" t="s">
        <v>154</v>
      </c>
      <c r="BX225" t="s">
        <v>1521</v>
      </c>
      <c r="BY225" s="6" t="s">
        <v>619</v>
      </c>
      <c r="BZ225">
        <v>1</v>
      </c>
      <c r="CA225" t="s">
        <v>157</v>
      </c>
      <c r="CB225" s="7">
        <v>46315.0537962963</v>
      </c>
    </row>
    <row r="226" spans="1:80">
      <c r="A226" s="6" t="s">
        <v>1522</v>
      </c>
      <c r="B226" t="s">
        <v>491</v>
      </c>
      <c r="C226" s="6" t="s">
        <v>1396</v>
      </c>
      <c r="D226" s="6"/>
      <c r="E226" t="s">
        <v>1397</v>
      </c>
      <c r="F226" t="s">
        <v>1398</v>
      </c>
      <c r="G226" s="6">
        <v>33</v>
      </c>
      <c r="H226" s="6"/>
      <c r="I226" t="s">
        <v>491</v>
      </c>
      <c r="J226" s="3">
        <v>43555</v>
      </c>
      <c r="K226" t="s">
        <v>1399</v>
      </c>
      <c r="L226" t="s">
        <v>139</v>
      </c>
      <c r="N226" t="s">
        <v>234</v>
      </c>
      <c r="O226" t="s">
        <v>235</v>
      </c>
      <c r="P226" t="s">
        <v>235</v>
      </c>
      <c r="Q226" t="s">
        <v>236</v>
      </c>
      <c r="S226" t="s">
        <v>249</v>
      </c>
      <c r="T226" t="s">
        <v>237</v>
      </c>
      <c r="V226" t="s">
        <v>238</v>
      </c>
      <c r="W226" t="s">
        <v>37</v>
      </c>
      <c r="X226" s="6" t="s">
        <v>239</v>
      </c>
      <c r="Y226" s="6"/>
      <c r="Z226" t="s">
        <v>148</v>
      </c>
      <c r="AA226" t="s">
        <v>149</v>
      </c>
      <c r="AC226" t="s">
        <v>150</v>
      </c>
      <c r="AD226" s="6" t="s">
        <v>1135</v>
      </c>
      <c r="AF226" s="3">
        <v>19844</v>
      </c>
      <c r="AG226">
        <v>72</v>
      </c>
      <c r="AH226" t="b">
        <v>0</v>
      </c>
      <c r="AI226" t="b">
        <v>1</v>
      </c>
      <c r="AJ226" s="6" t="s">
        <v>713</v>
      </c>
      <c r="AK226" s="6" t="s">
        <v>171</v>
      </c>
      <c r="AL226" t="b">
        <v>0</v>
      </c>
      <c r="AM226" s="6"/>
      <c r="AN226" s="6"/>
      <c r="AP226" t="b">
        <v>0</v>
      </c>
      <c r="AQ226" s="6"/>
      <c r="AR226" s="6"/>
      <c r="AT226" t="b">
        <v>0</v>
      </c>
      <c r="AU226" s="6"/>
      <c r="AV226" s="6"/>
      <c r="AX226" t="b">
        <v>0</v>
      </c>
      <c r="AY226" s="6"/>
      <c r="AZ226" s="6"/>
      <c r="BA226" t="b">
        <v>0</v>
      </c>
      <c r="BB226" s="6"/>
      <c r="BC226" t="b">
        <v>0</v>
      </c>
      <c r="BD226" s="6"/>
      <c r="BE226" s="6"/>
      <c r="BF226" t="b">
        <v>0</v>
      </c>
      <c r="BG226" s="6"/>
      <c r="BH226" t="b">
        <v>0</v>
      </c>
      <c r="BI226" s="6"/>
      <c r="BJ226" t="b">
        <v>0</v>
      </c>
      <c r="BL226" t="b">
        <v>0</v>
      </c>
      <c r="BM226" t="b">
        <v>0</v>
      </c>
      <c r="BN226" t="b">
        <v>0</v>
      </c>
      <c r="BO226" t="b">
        <v>0</v>
      </c>
      <c r="BQ226" t="b">
        <v>0</v>
      </c>
      <c r="BR226" s="6"/>
      <c r="BT226" t="b">
        <v>0</v>
      </c>
      <c r="BU226" t="s">
        <v>1400</v>
      </c>
      <c r="BV226" t="s">
        <v>504</v>
      </c>
      <c r="BW226" t="s">
        <v>154</v>
      </c>
      <c r="BX226" t="s">
        <v>1137</v>
      </c>
      <c r="BY226" s="6" t="s">
        <v>241</v>
      </c>
      <c r="BZ226">
        <v>1</v>
      </c>
      <c r="CA226" t="s">
        <v>157</v>
      </c>
      <c r="CB226" s="7">
        <v>46315.0537962963</v>
      </c>
    </row>
    <row r="227" spans="1:80">
      <c r="A227" s="6" t="s">
        <v>1523</v>
      </c>
      <c r="B227" t="s">
        <v>491</v>
      </c>
      <c r="C227" s="6" t="s">
        <v>1396</v>
      </c>
      <c r="D227" s="6"/>
      <c r="E227" t="s">
        <v>1397</v>
      </c>
      <c r="F227" t="s">
        <v>1398</v>
      </c>
      <c r="G227" s="6">
        <v>34</v>
      </c>
      <c r="H227" s="6"/>
      <c r="I227" t="s">
        <v>491</v>
      </c>
      <c r="J227" s="3">
        <v>43555</v>
      </c>
      <c r="K227" t="s">
        <v>1399</v>
      </c>
      <c r="L227" t="s">
        <v>139</v>
      </c>
      <c r="N227" t="s">
        <v>199</v>
      </c>
      <c r="Q227" t="s">
        <v>200</v>
      </c>
      <c r="R227" t="s">
        <v>201</v>
      </c>
      <c r="S227" t="s">
        <v>249</v>
      </c>
      <c r="T227" t="s">
        <v>202</v>
      </c>
      <c r="V227" t="s">
        <v>203</v>
      </c>
      <c r="W227" t="s">
        <v>34</v>
      </c>
      <c r="X227" s="6" t="s">
        <v>204</v>
      </c>
      <c r="Y227" s="6"/>
      <c r="Z227" t="s">
        <v>148</v>
      </c>
      <c r="AA227" t="s">
        <v>205</v>
      </c>
      <c r="AC227" t="s">
        <v>150</v>
      </c>
      <c r="AD227" s="6" t="s">
        <v>1117</v>
      </c>
      <c r="AF227" s="3">
        <v>36152</v>
      </c>
      <c r="AG227">
        <v>27</v>
      </c>
      <c r="AH227" t="b">
        <v>0</v>
      </c>
      <c r="AI227" t="b">
        <v>1</v>
      </c>
      <c r="AJ227" s="6" t="s">
        <v>632</v>
      </c>
      <c r="AK227" s="6" t="s">
        <v>171</v>
      </c>
      <c r="AL227" t="b">
        <v>0</v>
      </c>
      <c r="AM227" s="6"/>
      <c r="AN227" s="6"/>
      <c r="AP227" t="b">
        <v>0</v>
      </c>
      <c r="AQ227" s="6"/>
      <c r="AR227" s="6"/>
      <c r="AT227" t="b">
        <v>0</v>
      </c>
      <c r="AU227" s="6"/>
      <c r="AV227" s="6"/>
      <c r="AX227" t="b">
        <v>0</v>
      </c>
      <c r="AY227" s="6"/>
      <c r="AZ227" s="6"/>
      <c r="BA227" t="b">
        <v>0</v>
      </c>
      <c r="BB227" s="6"/>
      <c r="BC227" t="b">
        <v>0</v>
      </c>
      <c r="BD227" s="6"/>
      <c r="BE227" s="6"/>
      <c r="BF227" t="b">
        <v>0</v>
      </c>
      <c r="BG227" s="6"/>
      <c r="BH227" t="b">
        <v>0</v>
      </c>
      <c r="BI227" s="6"/>
      <c r="BJ227" t="b">
        <v>0</v>
      </c>
      <c r="BL227" t="b">
        <v>0</v>
      </c>
      <c r="BM227" t="b">
        <v>0</v>
      </c>
      <c r="BN227" t="b">
        <v>0</v>
      </c>
      <c r="BO227" t="b">
        <v>0</v>
      </c>
      <c r="BQ227" t="b">
        <v>0</v>
      </c>
      <c r="BR227" s="6"/>
      <c r="BT227" t="b">
        <v>0</v>
      </c>
      <c r="BU227" t="s">
        <v>1400</v>
      </c>
      <c r="BV227" t="s">
        <v>504</v>
      </c>
      <c r="BW227" t="s">
        <v>154</v>
      </c>
      <c r="BX227" t="s">
        <v>1273</v>
      </c>
      <c r="BY227" s="6" t="s">
        <v>207</v>
      </c>
      <c r="BZ227">
        <v>1</v>
      </c>
      <c r="CA227" t="s">
        <v>157</v>
      </c>
      <c r="CB227" s="7">
        <v>46315.0537962963</v>
      </c>
    </row>
    <row r="228" spans="1:80">
      <c r="A228" s="6" t="s">
        <v>1524</v>
      </c>
      <c r="B228" t="s">
        <v>491</v>
      </c>
      <c r="C228" s="6" t="s">
        <v>1396</v>
      </c>
      <c r="D228" s="6"/>
      <c r="E228" t="s">
        <v>1397</v>
      </c>
      <c r="F228" t="s">
        <v>1398</v>
      </c>
      <c r="G228" s="6">
        <v>35</v>
      </c>
      <c r="H228" s="6"/>
      <c r="I228" t="s">
        <v>491</v>
      </c>
      <c r="J228" s="3">
        <v>43555</v>
      </c>
      <c r="K228" t="s">
        <v>1399</v>
      </c>
      <c r="L228" t="s">
        <v>139</v>
      </c>
      <c r="N228" t="s">
        <v>685</v>
      </c>
      <c r="O228" t="s">
        <v>212</v>
      </c>
      <c r="P228" t="s">
        <v>212</v>
      </c>
      <c r="Q228" t="s">
        <v>686</v>
      </c>
      <c r="S228" t="s">
        <v>249</v>
      </c>
      <c r="T228" t="s">
        <v>687</v>
      </c>
      <c r="V228" t="s">
        <v>688</v>
      </c>
      <c r="W228" t="s">
        <v>38</v>
      </c>
      <c r="X228" s="6" t="s">
        <v>689</v>
      </c>
      <c r="Y228" s="6"/>
      <c r="Z228" t="s">
        <v>148</v>
      </c>
      <c r="AA228" t="s">
        <v>205</v>
      </c>
      <c r="AC228" t="s">
        <v>150</v>
      </c>
      <c r="AD228" s="6" t="s">
        <v>1287</v>
      </c>
      <c r="AF228" s="3">
        <v>21687</v>
      </c>
      <c r="AG228">
        <v>67</v>
      </c>
      <c r="AH228" t="b">
        <v>0</v>
      </c>
      <c r="AI228" t="b">
        <v>1</v>
      </c>
      <c r="AJ228" s="6" t="s">
        <v>690</v>
      </c>
      <c r="AK228" s="6" t="s">
        <v>171</v>
      </c>
      <c r="AL228" t="b">
        <v>0</v>
      </c>
      <c r="AM228" s="6"/>
      <c r="AN228" s="6"/>
      <c r="AP228" t="b">
        <v>0</v>
      </c>
      <c r="AQ228" s="6"/>
      <c r="AR228" s="6"/>
      <c r="AT228" t="b">
        <v>0</v>
      </c>
      <c r="AU228" s="6"/>
      <c r="AV228" s="6"/>
      <c r="AX228" t="b">
        <v>0</v>
      </c>
      <c r="AY228" s="6"/>
      <c r="AZ228" s="6"/>
      <c r="BA228" t="b">
        <v>0</v>
      </c>
      <c r="BB228" s="6"/>
      <c r="BC228" t="b">
        <v>0</v>
      </c>
      <c r="BD228" s="6"/>
      <c r="BE228" s="6"/>
      <c r="BF228" t="b">
        <v>0</v>
      </c>
      <c r="BG228" s="6"/>
      <c r="BH228" t="b">
        <v>0</v>
      </c>
      <c r="BI228" s="6"/>
      <c r="BJ228" t="b">
        <v>0</v>
      </c>
      <c r="BL228" t="b">
        <v>0</v>
      </c>
      <c r="BM228" t="b">
        <v>0</v>
      </c>
      <c r="BN228" t="b">
        <v>0</v>
      </c>
      <c r="BO228" t="b">
        <v>0</v>
      </c>
      <c r="BQ228" t="b">
        <v>0</v>
      </c>
      <c r="BR228" s="6"/>
      <c r="BT228" t="b">
        <v>0</v>
      </c>
      <c r="BU228" t="s">
        <v>1400</v>
      </c>
      <c r="BV228" t="s">
        <v>504</v>
      </c>
      <c r="BW228" t="s">
        <v>154</v>
      </c>
      <c r="BX228" t="s">
        <v>1273</v>
      </c>
      <c r="BY228" s="6" t="s">
        <v>692</v>
      </c>
      <c r="BZ228">
        <v>1</v>
      </c>
      <c r="CA228" t="s">
        <v>157</v>
      </c>
      <c r="CB228" s="7">
        <v>46315.0537962963</v>
      </c>
    </row>
    <row r="229" spans="1:80">
      <c r="A229" s="6" t="s">
        <v>1525</v>
      </c>
      <c r="B229" t="s">
        <v>491</v>
      </c>
      <c r="C229" s="6" t="s">
        <v>1396</v>
      </c>
      <c r="D229" s="6"/>
      <c r="E229" t="s">
        <v>1397</v>
      </c>
      <c r="F229" t="s">
        <v>1398</v>
      </c>
      <c r="G229" s="6">
        <v>36</v>
      </c>
      <c r="H229" s="6"/>
      <c r="I229" t="s">
        <v>491</v>
      </c>
      <c r="J229" s="3">
        <v>43555</v>
      </c>
      <c r="K229" t="s">
        <v>1399</v>
      </c>
      <c r="L229" t="s">
        <v>139</v>
      </c>
      <c r="N229" t="s">
        <v>1526</v>
      </c>
      <c r="O229" t="s">
        <v>299</v>
      </c>
      <c r="P229" t="s">
        <v>299</v>
      </c>
      <c r="Q229" t="s">
        <v>1527</v>
      </c>
      <c r="S229" t="s">
        <v>249</v>
      </c>
      <c r="T229" t="s">
        <v>480</v>
      </c>
      <c r="V229" t="s">
        <v>481</v>
      </c>
      <c r="W229" t="s">
        <v>39</v>
      </c>
      <c r="X229" s="6" t="s">
        <v>482</v>
      </c>
      <c r="Y229" s="6"/>
      <c r="Z229" t="s">
        <v>148</v>
      </c>
      <c r="AA229" t="s">
        <v>149</v>
      </c>
      <c r="AC229" t="s">
        <v>150</v>
      </c>
      <c r="AD229" s="6" t="s">
        <v>1528</v>
      </c>
      <c r="AF229" s="3">
        <v>17600</v>
      </c>
      <c r="AG229">
        <v>78</v>
      </c>
      <c r="AH229" t="b">
        <v>0</v>
      </c>
      <c r="AI229" t="b">
        <v>1</v>
      </c>
      <c r="AJ229" s="6" t="s">
        <v>1529</v>
      </c>
      <c r="AK229" s="6" t="s">
        <v>171</v>
      </c>
      <c r="AL229" t="b">
        <v>0</v>
      </c>
      <c r="AM229" s="6"/>
      <c r="AN229" s="6"/>
      <c r="AP229" t="b">
        <v>0</v>
      </c>
      <c r="AQ229" s="6"/>
      <c r="AR229" s="6"/>
      <c r="AT229" t="b">
        <v>0</v>
      </c>
      <c r="AU229" s="6"/>
      <c r="AV229" s="6"/>
      <c r="AX229" t="b">
        <v>0</v>
      </c>
      <c r="AY229" s="6"/>
      <c r="AZ229" s="6"/>
      <c r="BA229" t="b">
        <v>0</v>
      </c>
      <c r="BB229" s="6"/>
      <c r="BC229" t="b">
        <v>0</v>
      </c>
      <c r="BD229" s="6"/>
      <c r="BE229" s="6"/>
      <c r="BF229" t="b">
        <v>0</v>
      </c>
      <c r="BG229" s="6"/>
      <c r="BH229" t="b">
        <v>0</v>
      </c>
      <c r="BI229" s="6"/>
      <c r="BJ229" t="b">
        <v>0</v>
      </c>
      <c r="BL229" t="b">
        <v>0</v>
      </c>
      <c r="BM229" t="b">
        <v>0</v>
      </c>
      <c r="BN229" t="b">
        <v>0</v>
      </c>
      <c r="BO229" t="b">
        <v>0</v>
      </c>
      <c r="BQ229" t="b">
        <v>0</v>
      </c>
      <c r="BR229" s="6"/>
      <c r="BT229" t="b">
        <v>0</v>
      </c>
      <c r="BU229" t="s">
        <v>1400</v>
      </c>
      <c r="BV229" t="s">
        <v>504</v>
      </c>
      <c r="BW229" t="s">
        <v>154</v>
      </c>
      <c r="BX229" t="s">
        <v>45</v>
      </c>
      <c r="BY229" s="6" t="s">
        <v>1530</v>
      </c>
      <c r="BZ229">
        <v>1</v>
      </c>
      <c r="CA229" t="s">
        <v>157</v>
      </c>
      <c r="CB229" s="7">
        <v>46315.0537962963</v>
      </c>
    </row>
    <row r="230" spans="1:80">
      <c r="A230" s="6" t="s">
        <v>1531</v>
      </c>
      <c r="B230" t="s">
        <v>491</v>
      </c>
      <c r="C230" s="6" t="s">
        <v>1396</v>
      </c>
      <c r="D230" s="6"/>
      <c r="E230" t="s">
        <v>1397</v>
      </c>
      <c r="F230" t="s">
        <v>1398</v>
      </c>
      <c r="G230" s="6">
        <v>37</v>
      </c>
      <c r="H230" s="6"/>
      <c r="I230" t="s">
        <v>491</v>
      </c>
      <c r="J230" s="3">
        <v>43555</v>
      </c>
      <c r="K230" t="s">
        <v>1399</v>
      </c>
      <c r="L230" t="s">
        <v>139</v>
      </c>
      <c r="N230" t="s">
        <v>1532</v>
      </c>
      <c r="Q230" t="s">
        <v>1533</v>
      </c>
      <c r="S230" t="s">
        <v>249</v>
      </c>
      <c r="T230" t="s">
        <v>1534</v>
      </c>
      <c r="V230" t="s">
        <v>525</v>
      </c>
      <c r="W230" t="s">
        <v>34</v>
      </c>
      <c r="X230" s="6" t="s">
        <v>1535</v>
      </c>
      <c r="Y230" s="6"/>
      <c r="Z230" t="s">
        <v>148</v>
      </c>
      <c r="AA230" t="s">
        <v>205</v>
      </c>
      <c r="AC230" t="s">
        <v>150</v>
      </c>
      <c r="AD230" s="6" t="s">
        <v>1536</v>
      </c>
      <c r="AF230" s="3">
        <v>24070</v>
      </c>
      <c r="AG230">
        <v>60</v>
      </c>
      <c r="AH230" t="b">
        <v>0</v>
      </c>
      <c r="AI230" t="b">
        <v>1</v>
      </c>
      <c r="AJ230" s="6" t="s">
        <v>1537</v>
      </c>
      <c r="AK230" s="6" t="s">
        <v>171</v>
      </c>
      <c r="AL230" t="b">
        <v>0</v>
      </c>
      <c r="AM230" s="6"/>
      <c r="AN230" s="6"/>
      <c r="AP230" t="b">
        <v>0</v>
      </c>
      <c r="AQ230" s="6"/>
      <c r="AR230" s="6"/>
      <c r="AT230" t="b">
        <v>0</v>
      </c>
      <c r="AU230" s="6"/>
      <c r="AV230" s="6"/>
      <c r="AX230" t="b">
        <v>0</v>
      </c>
      <c r="AY230" s="6"/>
      <c r="AZ230" s="6"/>
      <c r="BA230" t="b">
        <v>0</v>
      </c>
      <c r="BB230" s="6"/>
      <c r="BC230" t="b">
        <v>0</v>
      </c>
      <c r="BD230" s="6"/>
      <c r="BE230" s="6"/>
      <c r="BF230" t="b">
        <v>0</v>
      </c>
      <c r="BG230" s="6"/>
      <c r="BH230" t="b">
        <v>0</v>
      </c>
      <c r="BI230" s="6"/>
      <c r="BJ230" t="b">
        <v>0</v>
      </c>
      <c r="BL230" t="b">
        <v>0</v>
      </c>
      <c r="BM230" t="b">
        <v>0</v>
      </c>
      <c r="BN230" t="b">
        <v>0</v>
      </c>
      <c r="BO230" t="b">
        <v>0</v>
      </c>
      <c r="BQ230" t="b">
        <v>0</v>
      </c>
      <c r="BR230" s="6"/>
      <c r="BT230" t="b">
        <v>0</v>
      </c>
      <c r="BU230" t="s">
        <v>1400</v>
      </c>
      <c r="BV230" t="s">
        <v>504</v>
      </c>
      <c r="BW230" t="s">
        <v>154</v>
      </c>
      <c r="BX230" t="s">
        <v>1273</v>
      </c>
      <c r="BY230" s="6" t="s">
        <v>1538</v>
      </c>
      <c r="BZ230">
        <v>1</v>
      </c>
      <c r="CA230" t="s">
        <v>157</v>
      </c>
      <c r="CB230" s="7">
        <v>46315.0537962963</v>
      </c>
    </row>
    <row r="231" spans="1:80">
      <c r="A231" s="6" t="s">
        <v>1539</v>
      </c>
      <c r="B231" t="s">
        <v>491</v>
      </c>
      <c r="C231" s="6" t="s">
        <v>1396</v>
      </c>
      <c r="D231" s="6"/>
      <c r="E231" t="s">
        <v>1397</v>
      </c>
      <c r="F231" t="s">
        <v>1398</v>
      </c>
      <c r="G231" s="6">
        <v>38</v>
      </c>
      <c r="H231" s="6"/>
      <c r="I231" t="s">
        <v>491</v>
      </c>
      <c r="J231" s="3">
        <v>43555</v>
      </c>
      <c r="K231" t="s">
        <v>1399</v>
      </c>
      <c r="L231" t="s">
        <v>139</v>
      </c>
      <c r="N231" t="s">
        <v>1540</v>
      </c>
      <c r="O231" t="s">
        <v>163</v>
      </c>
      <c r="P231" t="s">
        <v>163</v>
      </c>
      <c r="Q231" t="s">
        <v>1541</v>
      </c>
      <c r="R231" t="s">
        <v>214</v>
      </c>
      <c r="S231" t="s">
        <v>249</v>
      </c>
      <c r="T231" t="s">
        <v>1542</v>
      </c>
      <c r="V231" t="s">
        <v>1543</v>
      </c>
      <c r="W231" t="s">
        <v>34</v>
      </c>
      <c r="X231" s="6" t="s">
        <v>1544</v>
      </c>
      <c r="Y231" s="6"/>
      <c r="Z231" t="s">
        <v>148</v>
      </c>
      <c r="AA231" t="s">
        <v>205</v>
      </c>
      <c r="AC231" t="s">
        <v>150</v>
      </c>
      <c r="AD231" s="6" t="s">
        <v>1545</v>
      </c>
      <c r="AF231" s="3">
        <v>28679</v>
      </c>
      <c r="AG231">
        <v>48</v>
      </c>
      <c r="AH231" t="b">
        <v>0</v>
      </c>
      <c r="AI231" t="b">
        <v>1</v>
      </c>
      <c r="AJ231" s="6" t="s">
        <v>1546</v>
      </c>
      <c r="AK231" s="6" t="s">
        <v>171</v>
      </c>
      <c r="AL231" t="b">
        <v>0</v>
      </c>
      <c r="AM231" s="6"/>
      <c r="AN231" s="6"/>
      <c r="AP231" t="b">
        <v>0</v>
      </c>
      <c r="AQ231" s="6"/>
      <c r="AR231" s="6"/>
      <c r="AT231" t="b">
        <v>0</v>
      </c>
      <c r="AU231" s="6"/>
      <c r="AV231" s="6"/>
      <c r="AX231" t="b">
        <v>0</v>
      </c>
      <c r="AY231" s="6"/>
      <c r="AZ231" s="6"/>
      <c r="BA231" t="b">
        <v>0</v>
      </c>
      <c r="BB231" s="6"/>
      <c r="BC231" t="b">
        <v>0</v>
      </c>
      <c r="BD231" s="6"/>
      <c r="BE231" s="6"/>
      <c r="BF231" t="b">
        <v>0</v>
      </c>
      <c r="BG231" s="6"/>
      <c r="BH231" t="b">
        <v>0</v>
      </c>
      <c r="BI231" s="6"/>
      <c r="BJ231" t="b">
        <v>0</v>
      </c>
      <c r="BL231" t="b">
        <v>0</v>
      </c>
      <c r="BM231" t="b">
        <v>0</v>
      </c>
      <c r="BN231" t="b">
        <v>0</v>
      </c>
      <c r="BO231" t="b">
        <v>0</v>
      </c>
      <c r="BQ231" t="b">
        <v>0</v>
      </c>
      <c r="BR231" s="6"/>
      <c r="BT231" t="b">
        <v>0</v>
      </c>
      <c r="BU231" t="s">
        <v>1400</v>
      </c>
      <c r="BV231" t="s">
        <v>504</v>
      </c>
      <c r="BW231" t="s">
        <v>154</v>
      </c>
      <c r="BX231" t="s">
        <v>1273</v>
      </c>
      <c r="BY231" s="6" t="s">
        <v>1547</v>
      </c>
      <c r="BZ231">
        <v>1</v>
      </c>
      <c r="CA231" t="s">
        <v>157</v>
      </c>
      <c r="CB231" s="7">
        <v>46315.0537962963</v>
      </c>
    </row>
    <row r="232" spans="1:80">
      <c r="A232" s="6" t="s">
        <v>1548</v>
      </c>
      <c r="B232" t="s">
        <v>491</v>
      </c>
      <c r="C232" s="6" t="s">
        <v>1396</v>
      </c>
      <c r="D232" s="6"/>
      <c r="E232" t="s">
        <v>1397</v>
      </c>
      <c r="F232" t="s">
        <v>1398</v>
      </c>
      <c r="G232" s="6">
        <v>39</v>
      </c>
      <c r="H232" s="6"/>
      <c r="I232" t="s">
        <v>491</v>
      </c>
      <c r="J232" s="3">
        <v>43555</v>
      </c>
      <c r="K232" t="s">
        <v>1399</v>
      </c>
      <c r="L232" t="s">
        <v>139</v>
      </c>
      <c r="N232" t="s">
        <v>407</v>
      </c>
      <c r="Q232" t="s">
        <v>408</v>
      </c>
      <c r="S232" t="s">
        <v>249</v>
      </c>
      <c r="T232" t="s">
        <v>409</v>
      </c>
      <c r="V232" t="s">
        <v>410</v>
      </c>
      <c r="W232" t="s">
        <v>39</v>
      </c>
      <c r="X232" s="6" t="s">
        <v>411</v>
      </c>
      <c r="Y232" s="6"/>
      <c r="Z232" t="s">
        <v>148</v>
      </c>
      <c r="AA232" t="s">
        <v>149</v>
      </c>
      <c r="AC232" t="s">
        <v>150</v>
      </c>
      <c r="AD232" s="6" t="s">
        <v>412</v>
      </c>
      <c r="AF232" s="3">
        <v>20473</v>
      </c>
      <c r="AG232">
        <v>70</v>
      </c>
      <c r="AH232" t="b">
        <v>0</v>
      </c>
      <c r="AI232" t="b">
        <v>1</v>
      </c>
      <c r="AJ232" s="6" t="s">
        <v>413</v>
      </c>
      <c r="AK232" s="6" t="s">
        <v>171</v>
      </c>
      <c r="AL232" t="b">
        <v>0</v>
      </c>
      <c r="AM232" s="6"/>
      <c r="AN232" s="6"/>
      <c r="AP232" t="b">
        <v>0</v>
      </c>
      <c r="AQ232" s="6"/>
      <c r="AR232" s="6"/>
      <c r="AT232" t="b">
        <v>0</v>
      </c>
      <c r="AU232" s="6"/>
      <c r="AV232" s="6"/>
      <c r="AX232" t="b">
        <v>0</v>
      </c>
      <c r="AY232" s="6"/>
      <c r="AZ232" s="6"/>
      <c r="BA232" t="b">
        <v>0</v>
      </c>
      <c r="BB232" s="6"/>
      <c r="BC232" t="b">
        <v>0</v>
      </c>
      <c r="BD232" s="6"/>
      <c r="BE232" s="6"/>
      <c r="BF232" t="b">
        <v>0</v>
      </c>
      <c r="BG232" s="6"/>
      <c r="BH232" t="b">
        <v>0</v>
      </c>
      <c r="BI232" s="6"/>
      <c r="BJ232" t="b">
        <v>0</v>
      </c>
      <c r="BL232" t="b">
        <v>0</v>
      </c>
      <c r="BM232" t="b">
        <v>0</v>
      </c>
      <c r="BN232" t="b">
        <v>0</v>
      </c>
      <c r="BO232" t="b">
        <v>0</v>
      </c>
      <c r="BQ232" t="b">
        <v>0</v>
      </c>
      <c r="BR232" s="6"/>
      <c r="BT232" t="b">
        <v>0</v>
      </c>
      <c r="BU232" t="s">
        <v>1400</v>
      </c>
      <c r="BV232" t="s">
        <v>504</v>
      </c>
      <c r="BW232" t="s">
        <v>154</v>
      </c>
      <c r="BX232" t="s">
        <v>45</v>
      </c>
      <c r="BY232" s="6" t="s">
        <v>416</v>
      </c>
      <c r="BZ232">
        <v>1</v>
      </c>
      <c r="CA232" t="s">
        <v>157</v>
      </c>
      <c r="CB232" s="7">
        <v>46315.0537962963</v>
      </c>
    </row>
    <row r="233" spans="1:80">
      <c r="A233" s="6" t="s">
        <v>1549</v>
      </c>
      <c r="B233" t="s">
        <v>491</v>
      </c>
      <c r="C233" s="6" t="s">
        <v>1396</v>
      </c>
      <c r="D233" s="6"/>
      <c r="E233" t="s">
        <v>1397</v>
      </c>
      <c r="F233" t="s">
        <v>1398</v>
      </c>
      <c r="G233" s="6">
        <v>40</v>
      </c>
      <c r="H233" s="6"/>
      <c r="I233" t="s">
        <v>491</v>
      </c>
      <c r="J233" s="3">
        <v>43555</v>
      </c>
      <c r="K233" t="s">
        <v>1399</v>
      </c>
      <c r="L233" t="s">
        <v>139</v>
      </c>
      <c r="N233" t="s">
        <v>266</v>
      </c>
      <c r="O233" t="s">
        <v>267</v>
      </c>
      <c r="P233" t="s">
        <v>267</v>
      </c>
      <c r="Q233" t="s">
        <v>268</v>
      </c>
      <c r="S233" t="s">
        <v>249</v>
      </c>
      <c r="T233" t="s">
        <v>269</v>
      </c>
      <c r="V233" t="s">
        <v>636</v>
      </c>
      <c r="W233" t="s">
        <v>33</v>
      </c>
      <c r="X233" s="6" t="s">
        <v>271</v>
      </c>
      <c r="Y233" s="6"/>
      <c r="Z233" t="s">
        <v>148</v>
      </c>
      <c r="AA233" t="s">
        <v>149</v>
      </c>
      <c r="AC233" t="s">
        <v>150</v>
      </c>
      <c r="AD233" s="6" t="s">
        <v>1177</v>
      </c>
      <c r="AF233" s="3">
        <v>24084</v>
      </c>
      <c r="AG233">
        <v>60</v>
      </c>
      <c r="AH233" t="b">
        <v>0</v>
      </c>
      <c r="AI233" t="b">
        <v>1</v>
      </c>
      <c r="AJ233" s="6" t="s">
        <v>637</v>
      </c>
      <c r="AK233" s="6" t="s">
        <v>171</v>
      </c>
      <c r="AL233" t="b">
        <v>0</v>
      </c>
      <c r="AM233" s="6"/>
      <c r="AN233" s="6"/>
      <c r="AP233" t="b">
        <v>0</v>
      </c>
      <c r="AQ233" s="6"/>
      <c r="AR233" s="6"/>
      <c r="AT233" t="b">
        <v>0</v>
      </c>
      <c r="AU233" s="6"/>
      <c r="AV233" s="6"/>
      <c r="AX233" t="b">
        <v>0</v>
      </c>
      <c r="AY233" s="6"/>
      <c r="AZ233" s="6"/>
      <c r="BA233" t="b">
        <v>0</v>
      </c>
      <c r="BB233" s="6"/>
      <c r="BC233" t="b">
        <v>0</v>
      </c>
      <c r="BD233" s="6"/>
      <c r="BE233" s="6"/>
      <c r="BF233" t="b">
        <v>0</v>
      </c>
      <c r="BG233" s="6"/>
      <c r="BH233" t="b">
        <v>0</v>
      </c>
      <c r="BI233" s="6"/>
      <c r="BJ233" t="b">
        <v>0</v>
      </c>
      <c r="BL233" t="b">
        <v>0</v>
      </c>
      <c r="BM233" t="b">
        <v>0</v>
      </c>
      <c r="BN233" t="b">
        <v>0</v>
      </c>
      <c r="BO233" t="b">
        <v>0</v>
      </c>
      <c r="BQ233" t="b">
        <v>0</v>
      </c>
      <c r="BR233" s="6"/>
      <c r="BT233" t="b">
        <v>0</v>
      </c>
      <c r="BU233" t="s">
        <v>1400</v>
      </c>
      <c r="BV233" t="s">
        <v>504</v>
      </c>
      <c r="BW233" t="s">
        <v>154</v>
      </c>
      <c r="BX233" t="s">
        <v>1137</v>
      </c>
      <c r="BY233" s="6" t="s">
        <v>277</v>
      </c>
      <c r="BZ233">
        <v>1</v>
      </c>
      <c r="CA233" t="s">
        <v>157</v>
      </c>
      <c r="CB233" s="7">
        <v>46315.0537962963</v>
      </c>
    </row>
    <row r="234" spans="1:80">
      <c r="A234" s="6" t="s">
        <v>1550</v>
      </c>
      <c r="B234" t="s">
        <v>491</v>
      </c>
      <c r="C234" s="6" t="s">
        <v>1396</v>
      </c>
      <c r="D234" s="6"/>
      <c r="E234" t="s">
        <v>1397</v>
      </c>
      <c r="F234" t="s">
        <v>1398</v>
      </c>
      <c r="G234" s="6">
        <v>41</v>
      </c>
      <c r="H234" s="6"/>
      <c r="I234" t="s">
        <v>491</v>
      </c>
      <c r="J234" s="3">
        <v>43555</v>
      </c>
      <c r="K234" t="s">
        <v>1399</v>
      </c>
      <c r="L234" t="s">
        <v>139</v>
      </c>
      <c r="N234" t="s">
        <v>535</v>
      </c>
      <c r="O234" t="s">
        <v>1180</v>
      </c>
      <c r="P234" t="s">
        <v>1180</v>
      </c>
      <c r="Q234" t="s">
        <v>536</v>
      </c>
      <c r="S234" t="s">
        <v>249</v>
      </c>
      <c r="T234" t="s">
        <v>537</v>
      </c>
      <c r="V234" t="s">
        <v>538</v>
      </c>
      <c r="W234" t="s">
        <v>40</v>
      </c>
      <c r="X234" s="6" t="s">
        <v>539</v>
      </c>
      <c r="Y234" s="6"/>
      <c r="Z234" t="s">
        <v>148</v>
      </c>
      <c r="AA234" t="s">
        <v>205</v>
      </c>
      <c r="AC234" t="s">
        <v>150</v>
      </c>
      <c r="AD234" s="6" t="s">
        <v>1181</v>
      </c>
      <c r="AF234" s="3">
        <v>34510</v>
      </c>
      <c r="AG234">
        <v>32</v>
      </c>
      <c r="AH234" t="b">
        <v>0</v>
      </c>
      <c r="AI234" t="b">
        <v>1</v>
      </c>
      <c r="AJ234" s="6" t="s">
        <v>540</v>
      </c>
      <c r="AK234" s="6" t="s">
        <v>171</v>
      </c>
      <c r="AL234" t="b">
        <v>0</v>
      </c>
      <c r="AM234" s="6"/>
      <c r="AN234" s="6"/>
      <c r="AP234" t="b">
        <v>0</v>
      </c>
      <c r="AQ234" s="6"/>
      <c r="AR234" s="6"/>
      <c r="AT234" t="b">
        <v>0</v>
      </c>
      <c r="AU234" s="6"/>
      <c r="AV234" s="6"/>
      <c r="AX234" t="b">
        <v>0</v>
      </c>
      <c r="AY234" s="6"/>
      <c r="AZ234" s="6"/>
      <c r="BA234" t="b">
        <v>0</v>
      </c>
      <c r="BB234" s="6"/>
      <c r="BC234" t="b">
        <v>0</v>
      </c>
      <c r="BD234" s="6"/>
      <c r="BE234" s="6"/>
      <c r="BF234" t="b">
        <v>0</v>
      </c>
      <c r="BG234" s="6"/>
      <c r="BH234" t="b">
        <v>0</v>
      </c>
      <c r="BI234" s="6"/>
      <c r="BJ234" t="b">
        <v>0</v>
      </c>
      <c r="BL234" t="b">
        <v>0</v>
      </c>
      <c r="BM234" t="b">
        <v>0</v>
      </c>
      <c r="BN234" t="b">
        <v>0</v>
      </c>
      <c r="BO234" t="b">
        <v>0</v>
      </c>
      <c r="BQ234" t="b">
        <v>0</v>
      </c>
      <c r="BR234" s="6"/>
      <c r="BT234" t="b">
        <v>0</v>
      </c>
      <c r="BU234" t="s">
        <v>1400</v>
      </c>
      <c r="BV234" t="s">
        <v>504</v>
      </c>
      <c r="BW234" t="s">
        <v>154</v>
      </c>
      <c r="BX234" t="s">
        <v>1273</v>
      </c>
      <c r="BY234" s="6" t="s">
        <v>542</v>
      </c>
      <c r="BZ234">
        <v>1</v>
      </c>
      <c r="CA234" t="s">
        <v>157</v>
      </c>
      <c r="CB234" s="7">
        <v>46315.0537962963</v>
      </c>
    </row>
    <row r="235" spans="1:80">
      <c r="A235" s="6" t="s">
        <v>1551</v>
      </c>
      <c r="B235" t="s">
        <v>491</v>
      </c>
      <c r="C235" s="6" t="s">
        <v>1552</v>
      </c>
      <c r="D235" s="6"/>
      <c r="E235" t="s">
        <v>1553</v>
      </c>
      <c r="F235" t="s">
        <v>1554</v>
      </c>
      <c r="G235" s="6">
        <v>2</v>
      </c>
      <c r="H235" s="6"/>
      <c r="I235" t="s">
        <v>491</v>
      </c>
      <c r="J235" s="3">
        <v>46280</v>
      </c>
      <c r="K235" t="s">
        <v>138</v>
      </c>
      <c r="L235" t="s">
        <v>139</v>
      </c>
      <c r="N235" t="s">
        <v>1461</v>
      </c>
      <c r="O235" t="s">
        <v>224</v>
      </c>
      <c r="P235" t="s">
        <v>224</v>
      </c>
      <c r="Q235" t="s">
        <v>1555</v>
      </c>
      <c r="S235" t="s">
        <v>144</v>
      </c>
      <c r="T235" t="s">
        <v>1556</v>
      </c>
      <c r="V235" t="s">
        <v>1557</v>
      </c>
      <c r="W235" t="s">
        <v>38</v>
      </c>
      <c r="X235" s="6" t="s">
        <v>1558</v>
      </c>
      <c r="Y235" s="6"/>
      <c r="Z235" t="s">
        <v>148</v>
      </c>
      <c r="AA235" t="s">
        <v>205</v>
      </c>
      <c r="AC235" t="s">
        <v>150</v>
      </c>
      <c r="AD235" s="6" t="s">
        <v>1559</v>
      </c>
      <c r="AF235" s="3">
        <v>19221</v>
      </c>
      <c r="AG235">
        <v>74</v>
      </c>
      <c r="AH235" t="b">
        <v>0</v>
      </c>
      <c r="AI235" t="b">
        <v>1</v>
      </c>
      <c r="AJ235" s="6" t="s">
        <v>1560</v>
      </c>
      <c r="AK235" s="6" t="s">
        <v>171</v>
      </c>
      <c r="AL235" t="b">
        <v>0</v>
      </c>
      <c r="AM235" s="6"/>
      <c r="AN235" s="6"/>
      <c r="AP235" t="b">
        <v>0</v>
      </c>
      <c r="AQ235" s="6"/>
      <c r="AR235" s="6"/>
      <c r="AT235" t="b">
        <v>0</v>
      </c>
      <c r="AU235" s="6"/>
      <c r="AV235" s="6"/>
      <c r="AX235" t="b">
        <v>0</v>
      </c>
      <c r="AY235" s="6"/>
      <c r="AZ235" s="6"/>
      <c r="BA235" t="b">
        <v>0</v>
      </c>
      <c r="BB235" s="6"/>
      <c r="BC235" t="b">
        <v>0</v>
      </c>
      <c r="BD235" s="6"/>
      <c r="BE235" s="6"/>
      <c r="BF235" t="b">
        <v>1</v>
      </c>
      <c r="BG235" s="6" t="s">
        <v>1561</v>
      </c>
      <c r="BH235" t="b">
        <v>1</v>
      </c>
      <c r="BI235" s="6" t="s">
        <v>1562</v>
      </c>
      <c r="BJ235" t="b">
        <v>0</v>
      </c>
      <c r="BK235" t="s">
        <v>1563</v>
      </c>
      <c r="BL235" t="b">
        <v>0</v>
      </c>
      <c r="BM235" t="b">
        <v>0</v>
      </c>
      <c r="BN235" t="b">
        <v>0</v>
      </c>
      <c r="BO235" t="b">
        <v>0</v>
      </c>
      <c r="BQ235" t="b">
        <v>0</v>
      </c>
      <c r="BR235" s="6"/>
      <c r="BT235" t="b">
        <v>0</v>
      </c>
      <c r="BU235" t="s">
        <v>1564</v>
      </c>
      <c r="BV235" t="s">
        <v>504</v>
      </c>
      <c r="BW235" t="s">
        <v>154</v>
      </c>
      <c r="BX235" t="s">
        <v>43</v>
      </c>
      <c r="BY235" s="6" t="s">
        <v>1565</v>
      </c>
      <c r="BZ235">
        <v>1</v>
      </c>
      <c r="CA235" t="s">
        <v>157</v>
      </c>
      <c r="CB235" s="7">
        <v>46315.0537962963</v>
      </c>
    </row>
    <row r="236" spans="1:80">
      <c r="A236" s="6" t="s">
        <v>1566</v>
      </c>
      <c r="B236" t="s">
        <v>491</v>
      </c>
      <c r="C236" s="6" t="s">
        <v>1552</v>
      </c>
      <c r="D236" s="6"/>
      <c r="E236" t="s">
        <v>1553</v>
      </c>
      <c r="F236" t="s">
        <v>1554</v>
      </c>
      <c r="G236" s="6">
        <v>3</v>
      </c>
      <c r="H236" s="6"/>
      <c r="I236" t="s">
        <v>491</v>
      </c>
      <c r="J236" s="3">
        <v>46280</v>
      </c>
      <c r="K236" t="s">
        <v>138</v>
      </c>
      <c r="L236" t="s">
        <v>139</v>
      </c>
      <c r="N236" t="s">
        <v>1567</v>
      </c>
      <c r="O236" t="s">
        <v>299</v>
      </c>
      <c r="P236" t="s">
        <v>299</v>
      </c>
      <c r="Q236" t="s">
        <v>435</v>
      </c>
      <c r="S236" t="s">
        <v>144</v>
      </c>
      <c r="T236" t="s">
        <v>436</v>
      </c>
      <c r="V236" t="s">
        <v>437</v>
      </c>
      <c r="W236" t="s">
        <v>40</v>
      </c>
      <c r="X236" s="6" t="s">
        <v>438</v>
      </c>
      <c r="Y236" s="6"/>
      <c r="Z236" t="s">
        <v>148</v>
      </c>
      <c r="AA236" t="s">
        <v>149</v>
      </c>
      <c r="AC236" t="s">
        <v>150</v>
      </c>
      <c r="AD236" s="6"/>
      <c r="AF236" s="3">
        <v>40330</v>
      </c>
      <c r="AG236">
        <v>16</v>
      </c>
      <c r="AH236" t="b">
        <v>1</v>
      </c>
      <c r="AI236" t="b">
        <v>1</v>
      </c>
      <c r="AJ236" s="6" t="s">
        <v>1568</v>
      </c>
      <c r="AK236" s="6" t="s">
        <v>171</v>
      </c>
      <c r="AL236" t="b">
        <v>0</v>
      </c>
      <c r="AM236" s="6"/>
      <c r="AN236" s="6"/>
      <c r="AP236" t="b">
        <v>0</v>
      </c>
      <c r="AQ236" s="6"/>
      <c r="AR236" s="6"/>
      <c r="AT236" t="b">
        <v>0</v>
      </c>
      <c r="AU236" s="6"/>
      <c r="AV236" s="6"/>
      <c r="AX236" t="b">
        <v>0</v>
      </c>
      <c r="AY236" s="6"/>
      <c r="AZ236" s="6"/>
      <c r="BA236" t="b">
        <v>0</v>
      </c>
      <c r="BB236" s="6"/>
      <c r="BC236" t="b">
        <v>0</v>
      </c>
      <c r="BD236" s="6"/>
      <c r="BE236" s="6"/>
      <c r="BF236" t="b">
        <v>1</v>
      </c>
      <c r="BG236" s="6" t="s">
        <v>1569</v>
      </c>
      <c r="BH236" t="b">
        <v>1</v>
      </c>
      <c r="BI236" s="6" t="s">
        <v>1570</v>
      </c>
      <c r="BJ236" t="b">
        <v>0</v>
      </c>
      <c r="BK236" t="s">
        <v>1563</v>
      </c>
      <c r="BL236" t="b">
        <v>0</v>
      </c>
      <c r="BM236" t="b">
        <v>0</v>
      </c>
      <c r="BN236" t="b">
        <v>0</v>
      </c>
      <c r="BO236" t="b">
        <v>0</v>
      </c>
      <c r="BQ236" t="b">
        <v>0</v>
      </c>
      <c r="BR236" s="6"/>
      <c r="BT236" t="b">
        <v>0</v>
      </c>
      <c r="BU236" t="s">
        <v>1564</v>
      </c>
      <c r="BV236" t="s">
        <v>504</v>
      </c>
      <c r="BW236" t="s">
        <v>171</v>
      </c>
      <c r="BX236" t="s">
        <v>1571</v>
      </c>
      <c r="BY236" s="6" t="s">
        <v>1572</v>
      </c>
      <c r="BZ236">
        <v>1</v>
      </c>
      <c r="CB236" s="7">
        <v>46315.0537962963</v>
      </c>
    </row>
    <row r="237" spans="1:80">
      <c r="A237" s="6" t="s">
        <v>1573</v>
      </c>
      <c r="B237" t="s">
        <v>491</v>
      </c>
      <c r="C237" s="6" t="s">
        <v>1552</v>
      </c>
      <c r="D237" s="6"/>
      <c r="E237" t="s">
        <v>1553</v>
      </c>
      <c r="F237" t="s">
        <v>1554</v>
      </c>
      <c r="G237" s="6">
        <v>4</v>
      </c>
      <c r="H237" s="6"/>
      <c r="I237" t="s">
        <v>491</v>
      </c>
      <c r="J237" s="3">
        <v>46280</v>
      </c>
      <c r="K237" t="s">
        <v>138</v>
      </c>
      <c r="L237" t="s">
        <v>139</v>
      </c>
      <c r="N237" t="s">
        <v>832</v>
      </c>
      <c r="Q237" t="s">
        <v>1574</v>
      </c>
      <c r="S237" t="s">
        <v>144</v>
      </c>
      <c r="T237" t="s">
        <v>1575</v>
      </c>
      <c r="V237" t="s">
        <v>1576</v>
      </c>
      <c r="W237" t="s">
        <v>34</v>
      </c>
      <c r="X237" s="6" t="s">
        <v>1577</v>
      </c>
      <c r="Y237" s="6"/>
      <c r="Z237" t="s">
        <v>148</v>
      </c>
      <c r="AA237" t="s">
        <v>205</v>
      </c>
      <c r="AC237" t="s">
        <v>150</v>
      </c>
      <c r="AD237" s="6" t="s">
        <v>1578</v>
      </c>
      <c r="AF237" s="3">
        <v>20467</v>
      </c>
      <c r="AG237">
        <v>70</v>
      </c>
      <c r="AH237" t="b">
        <v>0</v>
      </c>
      <c r="AI237" t="b">
        <v>1</v>
      </c>
      <c r="AJ237" s="6" t="s">
        <v>1579</v>
      </c>
      <c r="AK237" s="6" t="s">
        <v>171</v>
      </c>
      <c r="AL237" t="b">
        <v>0</v>
      </c>
      <c r="AM237" s="6"/>
      <c r="AN237" s="6"/>
      <c r="AP237" t="b">
        <v>0</v>
      </c>
      <c r="AQ237" s="6"/>
      <c r="AR237" s="6"/>
      <c r="AT237" t="b">
        <v>0</v>
      </c>
      <c r="AU237" s="6"/>
      <c r="AV237" s="6"/>
      <c r="AX237" t="b">
        <v>0</v>
      </c>
      <c r="AY237" s="6"/>
      <c r="AZ237" s="6"/>
      <c r="BA237" t="b">
        <v>0</v>
      </c>
      <c r="BB237" s="6"/>
      <c r="BC237" t="b">
        <v>0</v>
      </c>
      <c r="BD237" s="6"/>
      <c r="BE237" s="6"/>
      <c r="BF237" t="b">
        <v>1</v>
      </c>
      <c r="BG237" s="6" t="s">
        <v>1580</v>
      </c>
      <c r="BH237" t="b">
        <v>1</v>
      </c>
      <c r="BI237" s="6" t="s">
        <v>1581</v>
      </c>
      <c r="BJ237" t="b">
        <v>0</v>
      </c>
      <c r="BK237" t="s">
        <v>1563</v>
      </c>
      <c r="BL237" t="b">
        <v>0</v>
      </c>
      <c r="BM237" t="b">
        <v>0</v>
      </c>
      <c r="BN237" t="b">
        <v>0</v>
      </c>
      <c r="BO237" t="b">
        <v>0</v>
      </c>
      <c r="BQ237" t="b">
        <v>0</v>
      </c>
      <c r="BR237" s="6"/>
      <c r="BT237" t="b">
        <v>0</v>
      </c>
      <c r="BU237" t="s">
        <v>1564</v>
      </c>
      <c r="BV237" t="s">
        <v>504</v>
      </c>
      <c r="BW237" t="s">
        <v>154</v>
      </c>
      <c r="BX237" t="s">
        <v>43</v>
      </c>
      <c r="BY237" s="6" t="s">
        <v>1582</v>
      </c>
      <c r="BZ237">
        <v>1</v>
      </c>
      <c r="CA237" t="s">
        <v>157</v>
      </c>
      <c r="CB237" s="7">
        <v>46315.0537962963</v>
      </c>
    </row>
    <row r="238" spans="1:80">
      <c r="A238" s="6" t="s">
        <v>1583</v>
      </c>
      <c r="B238" t="s">
        <v>491</v>
      </c>
      <c r="C238" s="6" t="s">
        <v>1552</v>
      </c>
      <c r="D238" s="6"/>
      <c r="E238" t="s">
        <v>1553</v>
      </c>
      <c r="F238" t="s">
        <v>1554</v>
      </c>
      <c r="G238" s="6">
        <v>5</v>
      </c>
      <c r="H238" s="6"/>
      <c r="I238" t="s">
        <v>491</v>
      </c>
      <c r="J238" s="3">
        <v>46280</v>
      </c>
      <c r="K238" t="s">
        <v>138</v>
      </c>
      <c r="L238" t="s">
        <v>139</v>
      </c>
      <c r="N238" t="s">
        <v>678</v>
      </c>
      <c r="Q238" t="s">
        <v>1584</v>
      </c>
      <c r="S238" t="s">
        <v>144</v>
      </c>
      <c r="T238" t="s">
        <v>1443</v>
      </c>
      <c r="V238" t="s">
        <v>1444</v>
      </c>
      <c r="W238" t="s">
        <v>35</v>
      </c>
      <c r="X238" s="6" t="s">
        <v>1445</v>
      </c>
      <c r="Y238" s="6"/>
      <c r="Z238" t="s">
        <v>148</v>
      </c>
      <c r="AA238" t="s">
        <v>149</v>
      </c>
      <c r="AC238" t="s">
        <v>150</v>
      </c>
      <c r="AD238" s="6" t="s">
        <v>1585</v>
      </c>
      <c r="AF238" s="3">
        <v>34437</v>
      </c>
      <c r="AG238">
        <v>32</v>
      </c>
      <c r="AH238" t="b">
        <v>0</v>
      </c>
      <c r="AI238" t="b">
        <v>1</v>
      </c>
      <c r="AJ238" s="6" t="s">
        <v>1586</v>
      </c>
      <c r="AK238" s="6" t="s">
        <v>171</v>
      </c>
      <c r="AL238" t="b">
        <v>0</v>
      </c>
      <c r="AM238" s="6"/>
      <c r="AN238" s="6"/>
      <c r="AP238" t="b">
        <v>0</v>
      </c>
      <c r="AQ238" s="6"/>
      <c r="AR238" s="6"/>
      <c r="AT238" t="b">
        <v>0</v>
      </c>
      <c r="AU238" s="6"/>
      <c r="AV238" s="6"/>
      <c r="AX238" t="b">
        <v>0</v>
      </c>
      <c r="AY238" s="6"/>
      <c r="AZ238" s="6"/>
      <c r="BA238" t="b">
        <v>0</v>
      </c>
      <c r="BB238" s="6"/>
      <c r="BC238" t="b">
        <v>0</v>
      </c>
      <c r="BD238" s="6"/>
      <c r="BE238" s="6"/>
      <c r="BF238" t="b">
        <v>1</v>
      </c>
      <c r="BG238" s="6" t="s">
        <v>1587</v>
      </c>
      <c r="BH238" t="b">
        <v>1</v>
      </c>
      <c r="BI238" s="6" t="s">
        <v>1588</v>
      </c>
      <c r="BJ238" t="b">
        <v>0</v>
      </c>
      <c r="BK238" t="s">
        <v>1563</v>
      </c>
      <c r="BL238" t="b">
        <v>0</v>
      </c>
      <c r="BM238" t="b">
        <v>0</v>
      </c>
      <c r="BN238" t="b">
        <v>0</v>
      </c>
      <c r="BO238" t="b">
        <v>0</v>
      </c>
      <c r="BQ238" t="b">
        <v>0</v>
      </c>
      <c r="BR238" s="6"/>
      <c r="BT238" t="b">
        <v>0</v>
      </c>
      <c r="BU238" t="s">
        <v>1564</v>
      </c>
      <c r="BV238" t="s">
        <v>504</v>
      </c>
      <c r="BW238" t="s">
        <v>154</v>
      </c>
      <c r="BX238" t="s">
        <v>47</v>
      </c>
      <c r="BY238" s="6" t="s">
        <v>1589</v>
      </c>
      <c r="BZ238">
        <v>1</v>
      </c>
      <c r="CA238" t="s">
        <v>157</v>
      </c>
      <c r="CB238" s="7">
        <v>46315.0537962963</v>
      </c>
    </row>
    <row r="239" spans="1:80">
      <c r="A239" s="6" t="s">
        <v>1590</v>
      </c>
      <c r="B239" t="s">
        <v>491</v>
      </c>
      <c r="C239" s="6" t="s">
        <v>1552</v>
      </c>
      <c r="D239" s="6"/>
      <c r="E239" t="s">
        <v>1553</v>
      </c>
      <c r="F239" t="s">
        <v>1554</v>
      </c>
      <c r="G239" s="6">
        <v>6</v>
      </c>
      <c r="H239" s="6"/>
      <c r="I239" t="s">
        <v>491</v>
      </c>
      <c r="J239" s="3">
        <v>46280</v>
      </c>
      <c r="K239" t="s">
        <v>138</v>
      </c>
      <c r="L239" t="s">
        <v>139</v>
      </c>
      <c r="N239" t="s">
        <v>678</v>
      </c>
      <c r="Q239" t="s">
        <v>1591</v>
      </c>
      <c r="S239" t="s">
        <v>144</v>
      </c>
      <c r="T239" t="s">
        <v>1592</v>
      </c>
      <c r="V239" t="s">
        <v>1593</v>
      </c>
      <c r="W239" t="s">
        <v>40</v>
      </c>
      <c r="X239" s="6" t="s">
        <v>1594</v>
      </c>
      <c r="Y239" s="6"/>
      <c r="Z239" t="s">
        <v>148</v>
      </c>
      <c r="AA239" t="s">
        <v>205</v>
      </c>
      <c r="AC239" t="s">
        <v>150</v>
      </c>
      <c r="AD239" s="6" t="s">
        <v>1595</v>
      </c>
      <c r="AF239" s="3">
        <v>21055</v>
      </c>
      <c r="AG239">
        <v>69</v>
      </c>
      <c r="AH239" t="b">
        <v>0</v>
      </c>
      <c r="AI239" t="b">
        <v>1</v>
      </c>
      <c r="AJ239" s="6" t="s">
        <v>1596</v>
      </c>
      <c r="AK239" s="6" t="s">
        <v>171</v>
      </c>
      <c r="AL239" t="b">
        <v>0</v>
      </c>
      <c r="AM239" s="6"/>
      <c r="AN239" s="6"/>
      <c r="AP239" t="b">
        <v>0</v>
      </c>
      <c r="AQ239" s="6"/>
      <c r="AR239" s="6"/>
      <c r="AT239" t="b">
        <v>0</v>
      </c>
      <c r="AU239" s="6"/>
      <c r="AV239" s="6"/>
      <c r="AX239" t="b">
        <v>0</v>
      </c>
      <c r="AY239" s="6"/>
      <c r="AZ239" s="6"/>
      <c r="BA239" t="b">
        <v>0</v>
      </c>
      <c r="BB239" s="6"/>
      <c r="BC239" t="b">
        <v>0</v>
      </c>
      <c r="BD239" s="6"/>
      <c r="BE239" s="6"/>
      <c r="BF239" t="b">
        <v>1</v>
      </c>
      <c r="BG239" s="6" t="s">
        <v>1597</v>
      </c>
      <c r="BH239" t="b">
        <v>1</v>
      </c>
      <c r="BI239" s="6" t="s">
        <v>1598</v>
      </c>
      <c r="BJ239" t="b">
        <v>0</v>
      </c>
      <c r="BK239" t="s">
        <v>1563</v>
      </c>
      <c r="BL239" t="b">
        <v>0</v>
      </c>
      <c r="BM239" t="b">
        <v>0</v>
      </c>
      <c r="BN239" t="b">
        <v>0</v>
      </c>
      <c r="BO239" t="b">
        <v>0</v>
      </c>
      <c r="BQ239" t="b">
        <v>0</v>
      </c>
      <c r="BR239" s="6"/>
      <c r="BT239" t="b">
        <v>0</v>
      </c>
      <c r="BU239" t="s">
        <v>1564</v>
      </c>
      <c r="BV239" t="s">
        <v>504</v>
      </c>
      <c r="BW239" t="s">
        <v>154</v>
      </c>
      <c r="BX239" t="s">
        <v>43</v>
      </c>
      <c r="BY239" s="6" t="s">
        <v>1599</v>
      </c>
      <c r="BZ239">
        <v>1</v>
      </c>
      <c r="CA239" t="s">
        <v>157</v>
      </c>
      <c r="CB239" s="7">
        <v>46315.0537962963</v>
      </c>
    </row>
    <row r="240" spans="1:80">
      <c r="A240" s="6" t="s">
        <v>1600</v>
      </c>
      <c r="B240" t="s">
        <v>491</v>
      </c>
      <c r="C240" s="6" t="s">
        <v>1552</v>
      </c>
      <c r="D240" s="6"/>
      <c r="E240" t="s">
        <v>1553</v>
      </c>
      <c r="F240" t="s">
        <v>1554</v>
      </c>
      <c r="G240" s="6">
        <v>7</v>
      </c>
      <c r="H240" s="6"/>
      <c r="I240" t="s">
        <v>491</v>
      </c>
      <c r="J240" s="3">
        <v>46280</v>
      </c>
      <c r="K240" t="s">
        <v>138</v>
      </c>
      <c r="L240" t="s">
        <v>139</v>
      </c>
      <c r="N240" t="s">
        <v>247</v>
      </c>
      <c r="O240" t="s">
        <v>224</v>
      </c>
      <c r="P240" t="s">
        <v>224</v>
      </c>
      <c r="Q240" t="s">
        <v>248</v>
      </c>
      <c r="S240" t="s">
        <v>144</v>
      </c>
      <c r="T240" t="s">
        <v>250</v>
      </c>
      <c r="V240" t="s">
        <v>251</v>
      </c>
      <c r="W240" t="s">
        <v>39</v>
      </c>
      <c r="X240" s="6" t="s">
        <v>252</v>
      </c>
      <c r="Y240" s="6"/>
      <c r="Z240" t="s">
        <v>148</v>
      </c>
      <c r="AA240" t="s">
        <v>149</v>
      </c>
      <c r="AC240" t="s">
        <v>150</v>
      </c>
      <c r="AD240" s="6" t="s">
        <v>1302</v>
      </c>
      <c r="AF240" s="3">
        <v>32257</v>
      </c>
      <c r="AG240">
        <v>38</v>
      </c>
      <c r="AH240" t="b">
        <v>0</v>
      </c>
      <c r="AI240" t="b">
        <v>1</v>
      </c>
      <c r="AJ240" s="6" t="s">
        <v>582</v>
      </c>
      <c r="AK240" s="6" t="s">
        <v>171</v>
      </c>
      <c r="AL240" t="b">
        <v>0</v>
      </c>
      <c r="AM240" s="6"/>
      <c r="AN240" s="6"/>
      <c r="AP240" t="b">
        <v>0</v>
      </c>
      <c r="AQ240" s="6"/>
      <c r="AR240" s="6"/>
      <c r="AT240" t="b">
        <v>0</v>
      </c>
      <c r="AU240" s="6"/>
      <c r="AV240" s="6"/>
      <c r="AX240" t="b">
        <v>0</v>
      </c>
      <c r="AY240" s="6"/>
      <c r="AZ240" s="6"/>
      <c r="BA240" t="b">
        <v>0</v>
      </c>
      <c r="BB240" s="6"/>
      <c r="BC240" t="b">
        <v>0</v>
      </c>
      <c r="BD240" s="6"/>
      <c r="BE240" s="6"/>
      <c r="BF240" t="b">
        <v>1</v>
      </c>
      <c r="BG240" s="6" t="s">
        <v>1601</v>
      </c>
      <c r="BH240" t="b">
        <v>1</v>
      </c>
      <c r="BI240" s="6" t="s">
        <v>253</v>
      </c>
      <c r="BJ240" t="b">
        <v>0</v>
      </c>
      <c r="BK240" t="s">
        <v>1563</v>
      </c>
      <c r="BL240" t="b">
        <v>0</v>
      </c>
      <c r="BM240" t="b">
        <v>0</v>
      </c>
      <c r="BN240" t="b">
        <v>0</v>
      </c>
      <c r="BO240" t="b">
        <v>0</v>
      </c>
      <c r="BQ240" t="b">
        <v>0</v>
      </c>
      <c r="BR240" s="6"/>
      <c r="BT240" t="b">
        <v>0</v>
      </c>
      <c r="BU240" t="s">
        <v>1564</v>
      </c>
      <c r="BV240" t="s">
        <v>504</v>
      </c>
      <c r="BW240" t="s">
        <v>154</v>
      </c>
      <c r="BX240" t="s">
        <v>340</v>
      </c>
      <c r="BY240" s="6" t="s">
        <v>256</v>
      </c>
      <c r="BZ240">
        <v>1</v>
      </c>
      <c r="CA240" t="s">
        <v>157</v>
      </c>
      <c r="CB240" s="7">
        <v>46315.0537962963</v>
      </c>
    </row>
    <row r="241" spans="1:80">
      <c r="A241" s="6" t="s">
        <v>1602</v>
      </c>
      <c r="B241" t="s">
        <v>491</v>
      </c>
      <c r="C241" s="6" t="s">
        <v>1552</v>
      </c>
      <c r="D241" s="6"/>
      <c r="E241" t="s">
        <v>1553</v>
      </c>
      <c r="F241" t="s">
        <v>1554</v>
      </c>
      <c r="G241" s="6">
        <v>8</v>
      </c>
      <c r="H241" s="6"/>
      <c r="I241" t="s">
        <v>491</v>
      </c>
      <c r="J241" s="3">
        <v>46280</v>
      </c>
      <c r="K241" t="s">
        <v>138</v>
      </c>
      <c r="L241" t="s">
        <v>139</v>
      </c>
      <c r="N241" t="s">
        <v>1603</v>
      </c>
      <c r="O241" t="s">
        <v>178</v>
      </c>
      <c r="P241" t="s">
        <v>178</v>
      </c>
      <c r="Q241" t="s">
        <v>1604</v>
      </c>
      <c r="S241" t="s">
        <v>144</v>
      </c>
      <c r="T241" t="s">
        <v>424</v>
      </c>
      <c r="V241" t="s">
        <v>425</v>
      </c>
      <c r="W241" t="s">
        <v>40</v>
      </c>
      <c r="X241" s="6" t="s">
        <v>426</v>
      </c>
      <c r="Y241" s="6"/>
      <c r="Z241" t="s">
        <v>148</v>
      </c>
      <c r="AA241" t="s">
        <v>149</v>
      </c>
      <c r="AC241" t="s">
        <v>150</v>
      </c>
      <c r="AD241" s="6" t="s">
        <v>1605</v>
      </c>
      <c r="AF241" s="3">
        <v>36760</v>
      </c>
      <c r="AG241">
        <v>26</v>
      </c>
      <c r="AH241" t="b">
        <v>0</v>
      </c>
      <c r="AI241" t="b">
        <v>1</v>
      </c>
      <c r="AJ241" s="6" t="s">
        <v>1606</v>
      </c>
      <c r="AK241" s="6" t="s">
        <v>171</v>
      </c>
      <c r="AL241" t="b">
        <v>0</v>
      </c>
      <c r="AM241" s="6"/>
      <c r="AN241" s="6"/>
      <c r="AP241" t="b">
        <v>0</v>
      </c>
      <c r="AQ241" s="6"/>
      <c r="AR241" s="6"/>
      <c r="AT241" t="b">
        <v>0</v>
      </c>
      <c r="AU241" s="6"/>
      <c r="AV241" s="6"/>
      <c r="AX241" t="b">
        <v>0</v>
      </c>
      <c r="AY241" s="6"/>
      <c r="AZ241" s="6"/>
      <c r="BA241" t="b">
        <v>0</v>
      </c>
      <c r="BB241" s="6"/>
      <c r="BC241" t="b">
        <v>0</v>
      </c>
      <c r="BD241" s="6"/>
      <c r="BE241" s="6"/>
      <c r="BF241" t="b">
        <v>1</v>
      </c>
      <c r="BG241" s="6" t="s">
        <v>1607</v>
      </c>
      <c r="BH241" t="b">
        <v>1</v>
      </c>
      <c r="BI241" s="6" t="s">
        <v>1608</v>
      </c>
      <c r="BJ241" t="b">
        <v>0</v>
      </c>
      <c r="BK241" t="s">
        <v>1563</v>
      </c>
      <c r="BL241" t="b">
        <v>0</v>
      </c>
      <c r="BM241" t="b">
        <v>0</v>
      </c>
      <c r="BN241" t="b">
        <v>0</v>
      </c>
      <c r="BO241" t="b">
        <v>0</v>
      </c>
      <c r="BQ241" t="b">
        <v>0</v>
      </c>
      <c r="BR241" s="6"/>
      <c r="BT241" t="b">
        <v>0</v>
      </c>
      <c r="BU241" t="s">
        <v>1564</v>
      </c>
      <c r="BV241" t="s">
        <v>504</v>
      </c>
      <c r="BW241" t="s">
        <v>171</v>
      </c>
      <c r="BY241" s="6" t="s">
        <v>1609</v>
      </c>
      <c r="BZ241">
        <v>1</v>
      </c>
      <c r="CB241" s="7">
        <v>46315.0537962963</v>
      </c>
    </row>
    <row r="242" spans="1:80">
      <c r="A242" s="6" t="s">
        <v>1610</v>
      </c>
      <c r="B242" t="s">
        <v>491</v>
      </c>
      <c r="C242" s="6" t="s">
        <v>1552</v>
      </c>
      <c r="D242" s="6"/>
      <c r="E242" t="s">
        <v>1553</v>
      </c>
      <c r="F242" t="s">
        <v>1554</v>
      </c>
      <c r="G242" s="6">
        <v>9</v>
      </c>
      <c r="H242" s="6"/>
      <c r="I242" t="s">
        <v>491</v>
      </c>
      <c r="J242" s="3">
        <v>46280</v>
      </c>
      <c r="K242" t="s">
        <v>138</v>
      </c>
      <c r="L242" t="s">
        <v>139</v>
      </c>
      <c r="N242" t="s">
        <v>832</v>
      </c>
      <c r="O242" t="s">
        <v>212</v>
      </c>
      <c r="P242" t="s">
        <v>212</v>
      </c>
      <c r="Q242" t="s">
        <v>1611</v>
      </c>
      <c r="R242" t="s">
        <v>446</v>
      </c>
      <c r="S242" t="s">
        <v>144</v>
      </c>
      <c r="T242" t="s">
        <v>548</v>
      </c>
      <c r="V242" t="s">
        <v>549</v>
      </c>
      <c r="W242" t="s">
        <v>33</v>
      </c>
      <c r="X242" s="6" t="s">
        <v>550</v>
      </c>
      <c r="Y242" s="6"/>
      <c r="Z242" t="s">
        <v>148</v>
      </c>
      <c r="AA242" t="s">
        <v>149</v>
      </c>
      <c r="AC242" t="s">
        <v>150</v>
      </c>
      <c r="AD242" s="6" t="s">
        <v>1612</v>
      </c>
      <c r="AF242" s="3">
        <v>31032</v>
      </c>
      <c r="AG242">
        <v>41</v>
      </c>
      <c r="AH242" t="b">
        <v>0</v>
      </c>
      <c r="AI242" t="b">
        <v>1</v>
      </c>
      <c r="AJ242" s="6" t="s">
        <v>1613</v>
      </c>
      <c r="AK242" s="6" t="s">
        <v>171</v>
      </c>
      <c r="AL242" t="b">
        <v>0</v>
      </c>
      <c r="AM242" s="6"/>
      <c r="AN242" s="6"/>
      <c r="AP242" t="b">
        <v>0</v>
      </c>
      <c r="AQ242" s="6"/>
      <c r="AR242" s="6"/>
      <c r="AT242" t="b">
        <v>0</v>
      </c>
      <c r="AU242" s="6"/>
      <c r="AV242" s="6"/>
      <c r="AX242" t="b">
        <v>0</v>
      </c>
      <c r="AY242" s="6"/>
      <c r="AZ242" s="6"/>
      <c r="BA242" t="b">
        <v>0</v>
      </c>
      <c r="BB242" s="6"/>
      <c r="BC242" t="b">
        <v>0</v>
      </c>
      <c r="BD242" s="6"/>
      <c r="BE242" s="6"/>
      <c r="BF242" t="b">
        <v>1</v>
      </c>
      <c r="BG242" s="6" t="s">
        <v>1614</v>
      </c>
      <c r="BH242" t="b">
        <v>1</v>
      </c>
      <c r="BI242" s="6" t="s">
        <v>1615</v>
      </c>
      <c r="BJ242" t="b">
        <v>0</v>
      </c>
      <c r="BK242" t="s">
        <v>1563</v>
      </c>
      <c r="BL242" t="b">
        <v>0</v>
      </c>
      <c r="BM242" t="b">
        <v>0</v>
      </c>
      <c r="BN242" t="b">
        <v>0</v>
      </c>
      <c r="BO242" t="b">
        <v>0</v>
      </c>
      <c r="BQ242" t="b">
        <v>0</v>
      </c>
      <c r="BR242" s="6"/>
      <c r="BT242" t="b">
        <v>0</v>
      </c>
      <c r="BU242" t="s">
        <v>1564</v>
      </c>
      <c r="BV242" t="s">
        <v>504</v>
      </c>
      <c r="BW242" t="s">
        <v>171</v>
      </c>
      <c r="BY242" s="6" t="s">
        <v>1616</v>
      </c>
      <c r="BZ242">
        <v>1</v>
      </c>
      <c r="CB242" s="7">
        <v>46315.0537962963</v>
      </c>
    </row>
    <row r="243" spans="1:80">
      <c r="A243" s="6" t="s">
        <v>1617</v>
      </c>
      <c r="B243" t="s">
        <v>491</v>
      </c>
      <c r="C243" s="6" t="s">
        <v>1552</v>
      </c>
      <c r="D243" s="6"/>
      <c r="E243" t="s">
        <v>1553</v>
      </c>
      <c r="F243" t="s">
        <v>1554</v>
      </c>
      <c r="G243" s="6">
        <v>10</v>
      </c>
      <c r="H243" s="6"/>
      <c r="I243" t="s">
        <v>491</v>
      </c>
      <c r="J243" s="3">
        <v>46280</v>
      </c>
      <c r="K243" t="s">
        <v>138</v>
      </c>
      <c r="L243" t="s">
        <v>139</v>
      </c>
      <c r="N243" t="s">
        <v>308</v>
      </c>
      <c r="O243" t="s">
        <v>224</v>
      </c>
      <c r="P243" t="s">
        <v>224</v>
      </c>
      <c r="Q243" t="s">
        <v>300</v>
      </c>
      <c r="S243" t="s">
        <v>144</v>
      </c>
      <c r="T243" t="s">
        <v>301</v>
      </c>
      <c r="V243" t="s">
        <v>302</v>
      </c>
      <c r="W243" t="s">
        <v>35</v>
      </c>
      <c r="X243" s="6" t="s">
        <v>303</v>
      </c>
      <c r="Y243" s="6"/>
      <c r="Z243" t="s">
        <v>148</v>
      </c>
      <c r="AA243" t="s">
        <v>149</v>
      </c>
      <c r="AC243" t="s">
        <v>150</v>
      </c>
      <c r="AD243" s="6"/>
      <c r="AF243" s="3">
        <v>41455</v>
      </c>
      <c r="AG243">
        <v>13</v>
      </c>
      <c r="AH243" t="b">
        <v>1</v>
      </c>
      <c r="AI243" t="b">
        <v>1</v>
      </c>
      <c r="AJ243" s="6" t="s">
        <v>1618</v>
      </c>
      <c r="AK243" s="6" t="s">
        <v>171</v>
      </c>
      <c r="AL243" t="b">
        <v>0</v>
      </c>
      <c r="AM243" s="6"/>
      <c r="AN243" s="6"/>
      <c r="AP243" t="b">
        <v>0</v>
      </c>
      <c r="AQ243" s="6"/>
      <c r="AR243" s="6"/>
      <c r="AT243" t="b">
        <v>0</v>
      </c>
      <c r="AU243" s="6"/>
      <c r="AV243" s="6"/>
      <c r="AX243" t="b">
        <v>0</v>
      </c>
      <c r="AY243" s="6"/>
      <c r="AZ243" s="6"/>
      <c r="BA243" t="b">
        <v>0</v>
      </c>
      <c r="BB243" s="6"/>
      <c r="BC243" t="b">
        <v>0</v>
      </c>
      <c r="BD243" s="6"/>
      <c r="BE243" s="6"/>
      <c r="BF243" t="b">
        <v>1</v>
      </c>
      <c r="BG243" s="6" t="s">
        <v>1619</v>
      </c>
      <c r="BH243" t="b">
        <v>1</v>
      </c>
      <c r="BI243" s="6" t="s">
        <v>1620</v>
      </c>
      <c r="BJ243" t="b">
        <v>0</v>
      </c>
      <c r="BK243" t="s">
        <v>1563</v>
      </c>
      <c r="BL243" t="b">
        <v>0</v>
      </c>
      <c r="BM243" t="b">
        <v>0</v>
      </c>
      <c r="BN243" t="b">
        <v>0</v>
      </c>
      <c r="BO243" t="b">
        <v>0</v>
      </c>
      <c r="BQ243" t="b">
        <v>0</v>
      </c>
      <c r="BR243" s="6"/>
      <c r="BT243" t="b">
        <v>0</v>
      </c>
      <c r="BU243" t="s">
        <v>1564</v>
      </c>
      <c r="BV243" t="s">
        <v>504</v>
      </c>
      <c r="BW243" t="s">
        <v>154</v>
      </c>
      <c r="BX243" t="s">
        <v>309</v>
      </c>
      <c r="BY243" s="6" t="s">
        <v>310</v>
      </c>
      <c r="BZ243">
        <v>1</v>
      </c>
      <c r="CA243" t="s">
        <v>157</v>
      </c>
      <c r="CB243" s="7">
        <v>46315.0537962963</v>
      </c>
    </row>
    <row r="244" spans="1:80">
      <c r="A244" s="6" t="s">
        <v>1621</v>
      </c>
      <c r="B244" t="s">
        <v>491</v>
      </c>
      <c r="C244" s="6" t="s">
        <v>1552</v>
      </c>
      <c r="D244" s="6"/>
      <c r="E244" t="s">
        <v>1553</v>
      </c>
      <c r="F244" t="s">
        <v>1554</v>
      </c>
      <c r="G244" s="6">
        <v>11</v>
      </c>
      <c r="H244" s="6"/>
      <c r="I244" t="s">
        <v>491</v>
      </c>
      <c r="J244" s="3">
        <v>46280</v>
      </c>
      <c r="K244" t="s">
        <v>138</v>
      </c>
      <c r="L244" t="s">
        <v>139</v>
      </c>
      <c r="N244" t="s">
        <v>1622</v>
      </c>
      <c r="O244" t="s">
        <v>324</v>
      </c>
      <c r="P244" t="s">
        <v>324</v>
      </c>
      <c r="Q244" t="s">
        <v>547</v>
      </c>
      <c r="S244" t="s">
        <v>144</v>
      </c>
      <c r="T244" t="s">
        <v>1325</v>
      </c>
      <c r="V244" t="s">
        <v>1326</v>
      </c>
      <c r="W244" t="s">
        <v>36</v>
      </c>
      <c r="X244" s="6" t="s">
        <v>1327</v>
      </c>
      <c r="Y244" s="6"/>
      <c r="Z244" t="s">
        <v>148</v>
      </c>
      <c r="AA244" t="s">
        <v>149</v>
      </c>
      <c r="AC244" t="s">
        <v>150</v>
      </c>
      <c r="AD244" s="6"/>
      <c r="AF244" s="3">
        <v>39859</v>
      </c>
      <c r="AG244">
        <v>17</v>
      </c>
      <c r="AH244" t="b">
        <v>1</v>
      </c>
      <c r="AI244" t="b">
        <v>1</v>
      </c>
      <c r="AJ244" s="6" t="s">
        <v>1623</v>
      </c>
      <c r="AK244" s="6" t="s">
        <v>171</v>
      </c>
      <c r="AL244" t="b">
        <v>0</v>
      </c>
      <c r="AM244" s="6"/>
      <c r="AN244" s="6"/>
      <c r="AP244" t="b">
        <v>0</v>
      </c>
      <c r="AQ244" s="6"/>
      <c r="AR244" s="6"/>
      <c r="AT244" t="b">
        <v>0</v>
      </c>
      <c r="AU244" s="6"/>
      <c r="AV244" s="6"/>
      <c r="AX244" t="b">
        <v>0</v>
      </c>
      <c r="AY244" s="6"/>
      <c r="AZ244" s="6"/>
      <c r="BA244" t="b">
        <v>0</v>
      </c>
      <c r="BB244" s="6"/>
      <c r="BC244" t="b">
        <v>0</v>
      </c>
      <c r="BD244" s="6"/>
      <c r="BE244" s="6"/>
      <c r="BF244" t="b">
        <v>1</v>
      </c>
      <c r="BG244" s="6" t="s">
        <v>1624</v>
      </c>
      <c r="BH244" t="b">
        <v>1</v>
      </c>
      <c r="BI244" s="6" t="s">
        <v>1625</v>
      </c>
      <c r="BJ244" t="b">
        <v>0</v>
      </c>
      <c r="BK244" t="s">
        <v>1563</v>
      </c>
      <c r="BL244" t="b">
        <v>0</v>
      </c>
      <c r="BM244" t="b">
        <v>0</v>
      </c>
      <c r="BN244" t="b">
        <v>0</v>
      </c>
      <c r="BO244" t="b">
        <v>0</v>
      </c>
      <c r="BQ244" t="b">
        <v>0</v>
      </c>
      <c r="BR244" s="6"/>
      <c r="BT244" t="b">
        <v>0</v>
      </c>
      <c r="BU244" t="s">
        <v>1564</v>
      </c>
      <c r="BV244" t="s">
        <v>504</v>
      </c>
      <c r="BW244" t="s">
        <v>154</v>
      </c>
      <c r="BX244" t="s">
        <v>309</v>
      </c>
      <c r="BY244" s="6" t="s">
        <v>1626</v>
      </c>
      <c r="BZ244">
        <v>1</v>
      </c>
      <c r="CA244" t="s">
        <v>157</v>
      </c>
      <c r="CB244" s="7">
        <v>46315.0537962963</v>
      </c>
    </row>
    <row r="245" spans="1:80">
      <c r="A245" s="6" t="s">
        <v>1627</v>
      </c>
      <c r="B245" t="s">
        <v>491</v>
      </c>
      <c r="C245" s="6" t="s">
        <v>1552</v>
      </c>
      <c r="D245" s="6"/>
      <c r="E245" t="s">
        <v>1553</v>
      </c>
      <c r="F245" t="s">
        <v>1554</v>
      </c>
      <c r="G245" s="6">
        <v>12</v>
      </c>
      <c r="H245" s="6"/>
      <c r="I245" t="s">
        <v>491</v>
      </c>
      <c r="J245" s="3">
        <v>46280</v>
      </c>
      <c r="K245" t="s">
        <v>138</v>
      </c>
      <c r="L245" t="s">
        <v>139</v>
      </c>
      <c r="N245" t="s">
        <v>1359</v>
      </c>
      <c r="O245" t="s">
        <v>163</v>
      </c>
      <c r="P245" t="s">
        <v>163</v>
      </c>
      <c r="Q245" t="s">
        <v>508</v>
      </c>
      <c r="S245" t="s">
        <v>144</v>
      </c>
      <c r="T245" t="s">
        <v>509</v>
      </c>
      <c r="V245" t="s">
        <v>510</v>
      </c>
      <c r="W245" t="s">
        <v>37</v>
      </c>
      <c r="X245" s="6" t="s">
        <v>511</v>
      </c>
      <c r="Y245" s="6"/>
      <c r="Z245" t="s">
        <v>148</v>
      </c>
      <c r="AA245" t="s">
        <v>149</v>
      </c>
      <c r="AC245" t="s">
        <v>150</v>
      </c>
      <c r="AD245" s="6" t="s">
        <v>1628</v>
      </c>
      <c r="AF245" s="3">
        <v>38529</v>
      </c>
      <c r="AG245">
        <v>21</v>
      </c>
      <c r="AH245" t="b">
        <v>0</v>
      </c>
      <c r="AI245" t="b">
        <v>1</v>
      </c>
      <c r="AJ245" s="6" t="s">
        <v>1629</v>
      </c>
      <c r="AK245" s="6" t="s">
        <v>171</v>
      </c>
      <c r="AL245" t="b">
        <v>0</v>
      </c>
      <c r="AM245" s="6"/>
      <c r="AN245" s="6"/>
      <c r="AP245" t="b">
        <v>0</v>
      </c>
      <c r="AQ245" s="6"/>
      <c r="AR245" s="6"/>
      <c r="AT245" t="b">
        <v>0</v>
      </c>
      <c r="AU245" s="6"/>
      <c r="AV245" s="6"/>
      <c r="AX245" t="b">
        <v>0</v>
      </c>
      <c r="AY245" s="6"/>
      <c r="AZ245" s="6"/>
      <c r="BA245" t="b">
        <v>0</v>
      </c>
      <c r="BB245" s="6"/>
      <c r="BC245" t="b">
        <v>0</v>
      </c>
      <c r="BD245" s="6"/>
      <c r="BE245" s="6"/>
      <c r="BF245" t="b">
        <v>1</v>
      </c>
      <c r="BG245" s="6" t="s">
        <v>1630</v>
      </c>
      <c r="BH245" t="b">
        <v>1</v>
      </c>
      <c r="BI245" s="6" t="s">
        <v>1631</v>
      </c>
      <c r="BJ245" t="b">
        <v>0</v>
      </c>
      <c r="BK245" t="s">
        <v>1563</v>
      </c>
      <c r="BL245" t="b">
        <v>0</v>
      </c>
      <c r="BM245" t="b">
        <v>0</v>
      </c>
      <c r="BN245" t="b">
        <v>0</v>
      </c>
      <c r="BO245" t="b">
        <v>0</v>
      </c>
      <c r="BQ245" t="b">
        <v>0</v>
      </c>
      <c r="BR245" s="6"/>
      <c r="BT245" t="b">
        <v>0</v>
      </c>
      <c r="BU245" t="s">
        <v>1564</v>
      </c>
      <c r="BV245" t="s">
        <v>504</v>
      </c>
      <c r="BW245" t="s">
        <v>154</v>
      </c>
      <c r="BX245" t="s">
        <v>44</v>
      </c>
      <c r="BY245" s="6" t="s">
        <v>1632</v>
      </c>
      <c r="BZ245">
        <v>1</v>
      </c>
      <c r="CA245" t="s">
        <v>157</v>
      </c>
      <c r="CB245" s="7">
        <v>46315.0537962963</v>
      </c>
    </row>
    <row r="246" spans="1:80">
      <c r="A246" s="6" t="s">
        <v>1633</v>
      </c>
      <c r="B246" t="s">
        <v>491</v>
      </c>
      <c r="C246" s="6" t="s">
        <v>1552</v>
      </c>
      <c r="D246" s="6"/>
      <c r="E246" t="s">
        <v>1553</v>
      </c>
      <c r="F246" t="s">
        <v>1554</v>
      </c>
      <c r="G246" s="6">
        <v>13</v>
      </c>
      <c r="H246" s="6"/>
      <c r="I246" t="s">
        <v>491</v>
      </c>
      <c r="J246" s="3">
        <v>46280</v>
      </c>
      <c r="K246" t="s">
        <v>138</v>
      </c>
      <c r="L246" t="s">
        <v>139</v>
      </c>
      <c r="N246" t="s">
        <v>694</v>
      </c>
      <c r="O246" t="s">
        <v>1200</v>
      </c>
      <c r="P246" t="s">
        <v>1200</v>
      </c>
      <c r="Q246" t="s">
        <v>695</v>
      </c>
      <c r="S246" t="s">
        <v>144</v>
      </c>
      <c r="T246" t="s">
        <v>696</v>
      </c>
      <c r="V246" t="s">
        <v>697</v>
      </c>
      <c r="W246" t="s">
        <v>40</v>
      </c>
      <c r="X246" s="6" t="s">
        <v>698</v>
      </c>
      <c r="Y246" s="6"/>
      <c r="Z246" t="s">
        <v>148</v>
      </c>
      <c r="AA246" t="s">
        <v>149</v>
      </c>
      <c r="AC246" t="s">
        <v>150</v>
      </c>
      <c r="AD246" s="6" t="s">
        <v>1201</v>
      </c>
      <c r="AF246" s="3">
        <v>25058</v>
      </c>
      <c r="AG246">
        <v>58</v>
      </c>
      <c r="AH246" t="b">
        <v>0</v>
      </c>
      <c r="AI246" t="b">
        <v>1</v>
      </c>
      <c r="AJ246" s="6" t="s">
        <v>699</v>
      </c>
      <c r="AK246" s="6" t="s">
        <v>171</v>
      </c>
      <c r="AL246" t="b">
        <v>0</v>
      </c>
      <c r="AM246" s="6"/>
      <c r="AN246" s="6"/>
      <c r="AP246" t="b">
        <v>0</v>
      </c>
      <c r="AQ246" s="6"/>
      <c r="AR246" s="6"/>
      <c r="AT246" t="b">
        <v>0</v>
      </c>
      <c r="AU246" s="6"/>
      <c r="AV246" s="6"/>
      <c r="AX246" t="b">
        <v>0</v>
      </c>
      <c r="AY246" s="6"/>
      <c r="AZ246" s="6"/>
      <c r="BA246" t="b">
        <v>0</v>
      </c>
      <c r="BB246" s="6"/>
      <c r="BC246" t="b">
        <v>0</v>
      </c>
      <c r="BD246" s="6"/>
      <c r="BE246" s="6"/>
      <c r="BF246" t="b">
        <v>1</v>
      </c>
      <c r="BG246" s="6" t="s">
        <v>1634</v>
      </c>
      <c r="BH246" t="b">
        <v>1</v>
      </c>
      <c r="BI246" s="6" t="s">
        <v>700</v>
      </c>
      <c r="BJ246" t="b">
        <v>0</v>
      </c>
      <c r="BK246" t="s">
        <v>1563</v>
      </c>
      <c r="BL246" t="b">
        <v>0</v>
      </c>
      <c r="BM246" t="b">
        <v>0</v>
      </c>
      <c r="BN246" t="b">
        <v>0</v>
      </c>
      <c r="BO246" t="b">
        <v>0</v>
      </c>
      <c r="BQ246" t="b">
        <v>0</v>
      </c>
      <c r="BR246" s="6"/>
      <c r="BT246" t="b">
        <v>0</v>
      </c>
      <c r="BU246" t="s">
        <v>1564</v>
      </c>
      <c r="BV246" t="s">
        <v>504</v>
      </c>
      <c r="BW246" t="s">
        <v>171</v>
      </c>
      <c r="BY246" s="6" t="s">
        <v>701</v>
      </c>
      <c r="BZ246">
        <v>1</v>
      </c>
      <c r="CB246" s="7">
        <v>46315.0537962963</v>
      </c>
    </row>
    <row r="247" spans="1:80">
      <c r="A247" s="6" t="s">
        <v>1635</v>
      </c>
      <c r="B247" t="s">
        <v>491</v>
      </c>
      <c r="C247" s="6" t="s">
        <v>1552</v>
      </c>
      <c r="D247" s="6"/>
      <c r="E247" t="s">
        <v>1553</v>
      </c>
      <c r="F247" t="s">
        <v>1554</v>
      </c>
      <c r="G247" s="6">
        <v>14</v>
      </c>
      <c r="H247" s="6"/>
      <c r="I247" t="s">
        <v>491</v>
      </c>
      <c r="J247" s="3">
        <v>46280</v>
      </c>
      <c r="K247" t="s">
        <v>138</v>
      </c>
      <c r="L247" t="s">
        <v>139</v>
      </c>
      <c r="N247" t="s">
        <v>177</v>
      </c>
      <c r="O247" t="s">
        <v>178</v>
      </c>
      <c r="P247" t="s">
        <v>178</v>
      </c>
      <c r="Q247" t="s">
        <v>179</v>
      </c>
      <c r="S247" t="s">
        <v>144</v>
      </c>
      <c r="T247" t="s">
        <v>180</v>
      </c>
      <c r="V247" t="s">
        <v>181</v>
      </c>
      <c r="W247" t="s">
        <v>40</v>
      </c>
      <c r="X247" s="6" t="s">
        <v>182</v>
      </c>
      <c r="Y247" s="6"/>
      <c r="Z247" t="s">
        <v>148</v>
      </c>
      <c r="AA247" t="s">
        <v>149</v>
      </c>
      <c r="AC247" t="s">
        <v>150</v>
      </c>
      <c r="AD247" s="6" t="s">
        <v>386</v>
      </c>
      <c r="AF247" s="3">
        <v>31930</v>
      </c>
      <c r="AG247">
        <v>39</v>
      </c>
      <c r="AH247" t="b">
        <v>0</v>
      </c>
      <c r="AI247" t="b">
        <v>1</v>
      </c>
      <c r="AJ247" s="6" t="s">
        <v>387</v>
      </c>
      <c r="AK247" s="6" t="s">
        <v>171</v>
      </c>
      <c r="AL247" t="b">
        <v>0</v>
      </c>
      <c r="AM247" s="6"/>
      <c r="AN247" s="6"/>
      <c r="AP247" t="b">
        <v>0</v>
      </c>
      <c r="AQ247" s="6"/>
      <c r="AR247" s="6"/>
      <c r="AT247" t="b">
        <v>0</v>
      </c>
      <c r="AU247" s="6"/>
      <c r="AV247" s="6"/>
      <c r="AX247" t="b">
        <v>0</v>
      </c>
      <c r="AY247" s="6"/>
      <c r="AZ247" s="6"/>
      <c r="BA247" t="b">
        <v>0</v>
      </c>
      <c r="BB247" s="6"/>
      <c r="BC247" t="b">
        <v>0</v>
      </c>
      <c r="BD247" s="6"/>
      <c r="BE247" s="6"/>
      <c r="BF247" t="b">
        <v>1</v>
      </c>
      <c r="BG247" s="6" t="s">
        <v>1636</v>
      </c>
      <c r="BH247" t="b">
        <v>1</v>
      </c>
      <c r="BI247" s="6" t="s">
        <v>183</v>
      </c>
      <c r="BJ247" t="b">
        <v>0</v>
      </c>
      <c r="BK247" t="s">
        <v>1563</v>
      </c>
      <c r="BL247" t="b">
        <v>0</v>
      </c>
      <c r="BM247" t="b">
        <v>0</v>
      </c>
      <c r="BN247" t="b">
        <v>0</v>
      </c>
      <c r="BO247" t="b">
        <v>0</v>
      </c>
      <c r="BQ247" t="b">
        <v>0</v>
      </c>
      <c r="BR247" s="6"/>
      <c r="BT247" t="b">
        <v>0</v>
      </c>
      <c r="BU247" t="s">
        <v>1564</v>
      </c>
      <c r="BV247" t="s">
        <v>504</v>
      </c>
      <c r="BW247" t="s">
        <v>171</v>
      </c>
      <c r="BY247" s="6" t="s">
        <v>184</v>
      </c>
      <c r="BZ247">
        <v>1</v>
      </c>
      <c r="CB247" s="7">
        <v>46315.0537962963</v>
      </c>
    </row>
    <row r="248" spans="1:80">
      <c r="A248" s="6" t="s">
        <v>1637</v>
      </c>
      <c r="B248" t="s">
        <v>491</v>
      </c>
      <c r="C248" s="6" t="s">
        <v>1552</v>
      </c>
      <c r="D248" s="6"/>
      <c r="E248" t="s">
        <v>1553</v>
      </c>
      <c r="F248" t="s">
        <v>1554</v>
      </c>
      <c r="G248" s="6">
        <v>15</v>
      </c>
      <c r="H248" s="6"/>
      <c r="I248" t="s">
        <v>491</v>
      </c>
      <c r="J248" s="3">
        <v>46280</v>
      </c>
      <c r="K248" t="s">
        <v>138</v>
      </c>
      <c r="L248" t="s">
        <v>139</v>
      </c>
      <c r="N248" t="s">
        <v>1638</v>
      </c>
      <c r="O248" t="s">
        <v>1639</v>
      </c>
      <c r="P248" t="s">
        <v>1639</v>
      </c>
      <c r="Q248" t="s">
        <v>1640</v>
      </c>
      <c r="S248" t="s">
        <v>144</v>
      </c>
      <c r="T248" t="s">
        <v>1641</v>
      </c>
      <c r="V248" t="s">
        <v>801</v>
      </c>
      <c r="W248" t="s">
        <v>33</v>
      </c>
      <c r="X248" s="6" t="s">
        <v>1642</v>
      </c>
      <c r="Y248" s="6"/>
      <c r="Z248" t="s">
        <v>148</v>
      </c>
      <c r="AA248" t="s">
        <v>205</v>
      </c>
      <c r="AC248" t="s">
        <v>150</v>
      </c>
      <c r="AD248" s="6" t="s">
        <v>1224</v>
      </c>
      <c r="AF248" s="3">
        <v>30045</v>
      </c>
      <c r="AG248">
        <v>44</v>
      </c>
      <c r="AH248" t="b">
        <v>0</v>
      </c>
      <c r="AI248" t="b">
        <v>1</v>
      </c>
      <c r="AJ248" s="6" t="s">
        <v>1643</v>
      </c>
      <c r="AK248" s="6" t="s">
        <v>171</v>
      </c>
      <c r="AL248" t="b">
        <v>0</v>
      </c>
      <c r="AM248" s="6"/>
      <c r="AN248" s="6"/>
      <c r="AP248" t="b">
        <v>0</v>
      </c>
      <c r="AQ248" s="6"/>
      <c r="AR248" s="6"/>
      <c r="AT248" t="b">
        <v>0</v>
      </c>
      <c r="AU248" s="6"/>
      <c r="AV248" s="6"/>
      <c r="AX248" t="b">
        <v>0</v>
      </c>
      <c r="AY248" s="6"/>
      <c r="AZ248" s="6"/>
      <c r="BA248" t="b">
        <v>0</v>
      </c>
      <c r="BB248" s="6"/>
      <c r="BC248" t="b">
        <v>0</v>
      </c>
      <c r="BD248" s="6"/>
      <c r="BE248" s="6"/>
      <c r="BF248" t="b">
        <v>1</v>
      </c>
      <c r="BG248" s="6" t="s">
        <v>1644</v>
      </c>
      <c r="BH248" t="b">
        <v>1</v>
      </c>
      <c r="BI248" s="6" t="s">
        <v>1645</v>
      </c>
      <c r="BJ248" t="b">
        <v>0</v>
      </c>
      <c r="BK248" t="s">
        <v>1563</v>
      </c>
      <c r="BL248" t="b">
        <v>0</v>
      </c>
      <c r="BM248" t="b">
        <v>0</v>
      </c>
      <c r="BN248" t="b">
        <v>0</v>
      </c>
      <c r="BO248" t="b">
        <v>0</v>
      </c>
      <c r="BQ248" t="b">
        <v>0</v>
      </c>
      <c r="BR248" s="6"/>
      <c r="BT248" t="b">
        <v>0</v>
      </c>
      <c r="BU248" t="s">
        <v>1564</v>
      </c>
      <c r="BV248" t="s">
        <v>504</v>
      </c>
      <c r="BW248" t="s">
        <v>154</v>
      </c>
      <c r="BX248" t="s">
        <v>1646</v>
      </c>
      <c r="BY248" s="6" t="s">
        <v>1647</v>
      </c>
      <c r="BZ248">
        <v>1</v>
      </c>
      <c r="CA248" t="s">
        <v>157</v>
      </c>
      <c r="CB248" s="7">
        <v>46315.0537962963</v>
      </c>
    </row>
    <row r="249" spans="1:80">
      <c r="A249" s="6" t="s">
        <v>1648</v>
      </c>
      <c r="B249" t="s">
        <v>491</v>
      </c>
      <c r="C249" s="6" t="s">
        <v>1552</v>
      </c>
      <c r="D249" s="6"/>
      <c r="E249" t="s">
        <v>1553</v>
      </c>
      <c r="F249" t="s">
        <v>1554</v>
      </c>
      <c r="G249" s="6">
        <v>16</v>
      </c>
      <c r="H249" s="6"/>
      <c r="I249" t="s">
        <v>491</v>
      </c>
      <c r="J249" s="3">
        <v>46280</v>
      </c>
      <c r="K249" t="s">
        <v>138</v>
      </c>
      <c r="L249" t="s">
        <v>139</v>
      </c>
      <c r="N249" t="s">
        <v>223</v>
      </c>
      <c r="O249" t="s">
        <v>224</v>
      </c>
      <c r="P249" t="s">
        <v>224</v>
      </c>
      <c r="Q249" t="s">
        <v>225</v>
      </c>
      <c r="S249" t="s">
        <v>144</v>
      </c>
      <c r="T249" t="s">
        <v>226</v>
      </c>
      <c r="V249" t="s">
        <v>227</v>
      </c>
      <c r="W249" t="s">
        <v>37</v>
      </c>
      <c r="X249" s="6" t="s">
        <v>228</v>
      </c>
      <c r="Y249" s="6"/>
      <c r="Z249" t="s">
        <v>148</v>
      </c>
      <c r="AA249" t="s">
        <v>149</v>
      </c>
      <c r="AC249" t="s">
        <v>150</v>
      </c>
      <c r="AD249" s="6" t="s">
        <v>1120</v>
      </c>
      <c r="AF249" s="3">
        <v>24202</v>
      </c>
      <c r="AG249">
        <v>60</v>
      </c>
      <c r="AH249" t="b">
        <v>0</v>
      </c>
      <c r="AI249" t="b">
        <v>1</v>
      </c>
      <c r="AJ249" s="6" t="s">
        <v>588</v>
      </c>
      <c r="AK249" s="6" t="s">
        <v>171</v>
      </c>
      <c r="AL249" t="b">
        <v>0</v>
      </c>
      <c r="AM249" s="6"/>
      <c r="AN249" s="6"/>
      <c r="AP249" t="b">
        <v>0</v>
      </c>
      <c r="AQ249" s="6"/>
      <c r="AR249" s="6"/>
      <c r="AT249" t="b">
        <v>0</v>
      </c>
      <c r="AU249" s="6"/>
      <c r="AV249" s="6"/>
      <c r="AX249" t="b">
        <v>0</v>
      </c>
      <c r="AY249" s="6"/>
      <c r="AZ249" s="6"/>
      <c r="BA249" t="b">
        <v>0</v>
      </c>
      <c r="BB249" s="6"/>
      <c r="BC249" t="b">
        <v>0</v>
      </c>
      <c r="BD249" s="6"/>
      <c r="BE249" s="6"/>
      <c r="BF249" t="b">
        <v>1</v>
      </c>
      <c r="BG249" s="6" t="s">
        <v>1649</v>
      </c>
      <c r="BH249" t="b">
        <v>1</v>
      </c>
      <c r="BI249" s="6" t="s">
        <v>229</v>
      </c>
      <c r="BJ249" t="b">
        <v>0</v>
      </c>
      <c r="BK249" t="s">
        <v>1563</v>
      </c>
      <c r="BL249" t="b">
        <v>0</v>
      </c>
      <c r="BM249" t="b">
        <v>0</v>
      </c>
      <c r="BN249" t="b">
        <v>0</v>
      </c>
      <c r="BO249" t="b">
        <v>0</v>
      </c>
      <c r="BQ249" t="b">
        <v>0</v>
      </c>
      <c r="BR249" s="6"/>
      <c r="BT249" t="b">
        <v>0</v>
      </c>
      <c r="BU249" t="s">
        <v>1564</v>
      </c>
      <c r="BV249" t="s">
        <v>504</v>
      </c>
      <c r="BW249" t="s">
        <v>171</v>
      </c>
      <c r="BX249" t="s">
        <v>51</v>
      </c>
      <c r="BY249" s="6" t="s">
        <v>230</v>
      </c>
      <c r="BZ249">
        <v>1</v>
      </c>
      <c r="CB249" s="7">
        <v>46315.0537962963</v>
      </c>
    </row>
    <row r="250" spans="1:80">
      <c r="A250" s="6" t="s">
        <v>1650</v>
      </c>
      <c r="B250" t="s">
        <v>491</v>
      </c>
      <c r="C250" s="6" t="s">
        <v>1552</v>
      </c>
      <c r="D250" s="6"/>
      <c r="E250" t="s">
        <v>1553</v>
      </c>
      <c r="F250" t="s">
        <v>1554</v>
      </c>
      <c r="G250" s="6">
        <v>17</v>
      </c>
      <c r="H250" s="6"/>
      <c r="I250" t="s">
        <v>491</v>
      </c>
      <c r="J250" s="3">
        <v>46280</v>
      </c>
      <c r="K250" t="s">
        <v>138</v>
      </c>
      <c r="L250" t="s">
        <v>139</v>
      </c>
      <c r="N250" t="s">
        <v>314</v>
      </c>
      <c r="O250" t="s">
        <v>163</v>
      </c>
      <c r="P250" t="s">
        <v>163</v>
      </c>
      <c r="Q250" t="s">
        <v>315</v>
      </c>
      <c r="S250" t="s">
        <v>144</v>
      </c>
      <c r="T250" t="s">
        <v>316</v>
      </c>
      <c r="V250" t="s">
        <v>317</v>
      </c>
      <c r="W250" t="s">
        <v>34</v>
      </c>
      <c r="X250" s="6" t="s">
        <v>318</v>
      </c>
      <c r="Y250" s="6"/>
      <c r="Z250" t="s">
        <v>148</v>
      </c>
      <c r="AA250" t="s">
        <v>149</v>
      </c>
      <c r="AC250" t="s">
        <v>150</v>
      </c>
      <c r="AD250" s="6" t="s">
        <v>1073</v>
      </c>
      <c r="AF250" s="3">
        <v>28458</v>
      </c>
      <c r="AG250">
        <v>48</v>
      </c>
      <c r="AH250" t="b">
        <v>0</v>
      </c>
      <c r="AI250" t="b">
        <v>1</v>
      </c>
      <c r="AJ250" s="6" t="s">
        <v>555</v>
      </c>
      <c r="AK250" s="6" t="s">
        <v>171</v>
      </c>
      <c r="AL250" t="b">
        <v>0</v>
      </c>
      <c r="AM250" s="6"/>
      <c r="AN250" s="6"/>
      <c r="AP250" t="b">
        <v>0</v>
      </c>
      <c r="AQ250" s="6"/>
      <c r="AR250" s="6"/>
      <c r="AT250" t="b">
        <v>0</v>
      </c>
      <c r="AU250" s="6"/>
      <c r="AV250" s="6"/>
      <c r="AX250" t="b">
        <v>0</v>
      </c>
      <c r="AY250" s="6"/>
      <c r="AZ250" s="6"/>
      <c r="BA250" t="b">
        <v>0</v>
      </c>
      <c r="BB250" s="6"/>
      <c r="BC250" t="b">
        <v>0</v>
      </c>
      <c r="BD250" s="6"/>
      <c r="BE250" s="6"/>
      <c r="BF250" t="b">
        <v>1</v>
      </c>
      <c r="BG250" s="6" t="s">
        <v>1651</v>
      </c>
      <c r="BH250" t="b">
        <v>1</v>
      </c>
      <c r="BI250" s="6" t="s">
        <v>556</v>
      </c>
      <c r="BJ250" t="b">
        <v>0</v>
      </c>
      <c r="BK250" t="s">
        <v>1563</v>
      </c>
      <c r="BL250" t="b">
        <v>0</v>
      </c>
      <c r="BM250" t="b">
        <v>0</v>
      </c>
      <c r="BN250" t="b">
        <v>0</v>
      </c>
      <c r="BO250" t="b">
        <v>0</v>
      </c>
      <c r="BQ250" t="b">
        <v>0</v>
      </c>
      <c r="BR250" s="6"/>
      <c r="BT250" t="b">
        <v>0</v>
      </c>
      <c r="BU250" t="s">
        <v>1564</v>
      </c>
      <c r="BV250" t="s">
        <v>504</v>
      </c>
      <c r="BW250" t="s">
        <v>154</v>
      </c>
      <c r="BX250" t="s">
        <v>44</v>
      </c>
      <c r="BY250" s="6" t="s">
        <v>321</v>
      </c>
      <c r="BZ250">
        <v>1</v>
      </c>
      <c r="CA250" t="s">
        <v>157</v>
      </c>
      <c r="CB250" s="7">
        <v>46315.0537962963</v>
      </c>
    </row>
    <row r="251" spans="1:80">
      <c r="A251" s="6" t="s">
        <v>1652</v>
      </c>
      <c r="B251" t="s">
        <v>491</v>
      </c>
      <c r="C251" s="6" t="s">
        <v>1552</v>
      </c>
      <c r="D251" s="6"/>
      <c r="E251" t="s">
        <v>1553</v>
      </c>
      <c r="F251" t="s">
        <v>1554</v>
      </c>
      <c r="G251" s="6">
        <v>18</v>
      </c>
      <c r="H251" s="6"/>
      <c r="I251" t="s">
        <v>491</v>
      </c>
      <c r="J251" s="3">
        <v>46280</v>
      </c>
      <c r="K251" t="s">
        <v>138</v>
      </c>
      <c r="L251" t="s">
        <v>139</v>
      </c>
      <c r="N251" t="s">
        <v>520</v>
      </c>
      <c r="O251" t="s">
        <v>163</v>
      </c>
      <c r="P251" t="s">
        <v>163</v>
      </c>
      <c r="Q251" t="s">
        <v>508</v>
      </c>
      <c r="S251" t="s">
        <v>144</v>
      </c>
      <c r="T251" t="s">
        <v>509</v>
      </c>
      <c r="V251" t="s">
        <v>510</v>
      </c>
      <c r="W251" t="s">
        <v>37</v>
      </c>
      <c r="X251" s="6" t="s">
        <v>511</v>
      </c>
      <c r="Y251" s="6"/>
      <c r="Z251" t="s">
        <v>148</v>
      </c>
      <c r="AA251" t="s">
        <v>149</v>
      </c>
      <c r="AC251" t="s">
        <v>150</v>
      </c>
      <c r="AD251" s="6"/>
      <c r="AF251" s="3">
        <v>41814</v>
      </c>
      <c r="AG251">
        <v>12</v>
      </c>
      <c r="AH251" t="b">
        <v>1</v>
      </c>
      <c r="AI251" t="b">
        <v>1</v>
      </c>
      <c r="AJ251" s="6" t="s">
        <v>1653</v>
      </c>
      <c r="AK251" s="6" t="s">
        <v>171</v>
      </c>
      <c r="AL251" t="b">
        <v>0</v>
      </c>
      <c r="AM251" s="6"/>
      <c r="AN251" s="6"/>
      <c r="AP251" t="b">
        <v>0</v>
      </c>
      <c r="AQ251" s="6"/>
      <c r="AR251" s="6"/>
      <c r="AT251" t="b">
        <v>0</v>
      </c>
      <c r="AU251" s="6"/>
      <c r="AV251" s="6"/>
      <c r="AX251" t="b">
        <v>0</v>
      </c>
      <c r="AY251" s="6"/>
      <c r="AZ251" s="6"/>
      <c r="BA251" t="b">
        <v>0</v>
      </c>
      <c r="BB251" s="6"/>
      <c r="BC251" t="b">
        <v>0</v>
      </c>
      <c r="BD251" s="6"/>
      <c r="BE251" s="6"/>
      <c r="BF251" t="b">
        <v>1</v>
      </c>
      <c r="BG251" s="6" t="s">
        <v>1654</v>
      </c>
      <c r="BH251" t="b">
        <v>1</v>
      </c>
      <c r="BI251" s="6" t="s">
        <v>1655</v>
      </c>
      <c r="BJ251" t="b">
        <v>0</v>
      </c>
      <c r="BK251" t="s">
        <v>1563</v>
      </c>
      <c r="BL251" t="b">
        <v>0</v>
      </c>
      <c r="BM251" t="b">
        <v>0</v>
      </c>
      <c r="BN251" t="b">
        <v>0</v>
      </c>
      <c r="BO251" t="b">
        <v>0</v>
      </c>
      <c r="BQ251" t="b">
        <v>0</v>
      </c>
      <c r="BR251" s="6"/>
      <c r="BT251" t="b">
        <v>0</v>
      </c>
      <c r="BU251" t="s">
        <v>1564</v>
      </c>
      <c r="BV251" t="s">
        <v>504</v>
      </c>
      <c r="BW251" t="s">
        <v>154</v>
      </c>
      <c r="BX251" t="s">
        <v>1656</v>
      </c>
      <c r="BY251" s="6" t="s">
        <v>521</v>
      </c>
      <c r="BZ251">
        <v>1</v>
      </c>
      <c r="CA251" t="s">
        <v>157</v>
      </c>
      <c r="CB251" s="7">
        <v>46315.0537962963</v>
      </c>
    </row>
    <row r="252" spans="1:80">
      <c r="A252" s="6" t="s">
        <v>1657</v>
      </c>
      <c r="B252" t="s">
        <v>491</v>
      </c>
      <c r="C252" s="6" t="s">
        <v>1552</v>
      </c>
      <c r="D252" s="6"/>
      <c r="E252" t="s">
        <v>1553</v>
      </c>
      <c r="F252" t="s">
        <v>1554</v>
      </c>
      <c r="G252" s="6">
        <v>19</v>
      </c>
      <c r="H252" s="6"/>
      <c r="I252" t="s">
        <v>491</v>
      </c>
      <c r="J252" s="3">
        <v>46280</v>
      </c>
      <c r="K252" t="s">
        <v>138</v>
      </c>
      <c r="L252" t="s">
        <v>139</v>
      </c>
      <c r="N252" t="s">
        <v>559</v>
      </c>
      <c r="Q252" t="s">
        <v>315</v>
      </c>
      <c r="S252" t="s">
        <v>144</v>
      </c>
      <c r="T252" t="s">
        <v>316</v>
      </c>
      <c r="V252" t="s">
        <v>317</v>
      </c>
      <c r="W252" t="s">
        <v>34</v>
      </c>
      <c r="X252" s="6" t="s">
        <v>318</v>
      </c>
      <c r="Y252" s="6"/>
      <c r="Z252" t="s">
        <v>148</v>
      </c>
      <c r="AA252" t="s">
        <v>149</v>
      </c>
      <c r="AC252" t="s">
        <v>150</v>
      </c>
      <c r="AD252" s="6"/>
      <c r="AF252" s="3">
        <v>41333</v>
      </c>
      <c r="AG252">
        <v>13</v>
      </c>
      <c r="AH252" t="b">
        <v>1</v>
      </c>
      <c r="AI252" t="b">
        <v>1</v>
      </c>
      <c r="AJ252" s="6" t="s">
        <v>1658</v>
      </c>
      <c r="AK252" s="6" t="s">
        <v>171</v>
      </c>
      <c r="AL252" t="b">
        <v>0</v>
      </c>
      <c r="AM252" s="6"/>
      <c r="AN252" s="6"/>
      <c r="AP252" t="b">
        <v>0</v>
      </c>
      <c r="AQ252" s="6"/>
      <c r="AR252" s="6"/>
      <c r="AT252" t="b">
        <v>0</v>
      </c>
      <c r="AU252" s="6"/>
      <c r="AV252" s="6"/>
      <c r="AX252" t="b">
        <v>0</v>
      </c>
      <c r="AY252" s="6"/>
      <c r="AZ252" s="6"/>
      <c r="BA252" t="b">
        <v>0</v>
      </c>
      <c r="BB252" s="6"/>
      <c r="BC252" t="b">
        <v>0</v>
      </c>
      <c r="BD252" s="6"/>
      <c r="BE252" s="6"/>
      <c r="BF252" t="b">
        <v>1</v>
      </c>
      <c r="BG252" s="6" t="s">
        <v>1659</v>
      </c>
      <c r="BH252" t="b">
        <v>1</v>
      </c>
      <c r="BI252" s="6" t="s">
        <v>1660</v>
      </c>
      <c r="BJ252" t="b">
        <v>0</v>
      </c>
      <c r="BK252" t="s">
        <v>1563</v>
      </c>
      <c r="BL252" t="b">
        <v>0</v>
      </c>
      <c r="BM252" t="b">
        <v>0</v>
      </c>
      <c r="BN252" t="b">
        <v>0</v>
      </c>
      <c r="BO252" t="b">
        <v>0</v>
      </c>
      <c r="BQ252" t="b">
        <v>0</v>
      </c>
      <c r="BR252" s="6"/>
      <c r="BT252" t="b">
        <v>0</v>
      </c>
      <c r="BU252" t="s">
        <v>1564</v>
      </c>
      <c r="BV252" t="s">
        <v>504</v>
      </c>
      <c r="BW252" t="s">
        <v>171</v>
      </c>
      <c r="BX252" t="s">
        <v>46</v>
      </c>
      <c r="BY252" s="6" t="s">
        <v>560</v>
      </c>
      <c r="BZ252">
        <v>1</v>
      </c>
      <c r="CB252" s="7">
        <v>46315.0537962963</v>
      </c>
    </row>
    <row r="253" spans="1:80">
      <c r="A253" s="6" t="s">
        <v>1661</v>
      </c>
      <c r="B253" t="s">
        <v>491</v>
      </c>
      <c r="C253" s="6" t="s">
        <v>1552</v>
      </c>
      <c r="D253" s="6"/>
      <c r="E253" t="s">
        <v>1553</v>
      </c>
      <c r="F253" t="s">
        <v>1554</v>
      </c>
      <c r="G253" s="6">
        <v>20</v>
      </c>
      <c r="H253" s="6"/>
      <c r="I253" t="s">
        <v>491</v>
      </c>
      <c r="J253" s="3">
        <v>46280</v>
      </c>
      <c r="K253" t="s">
        <v>138</v>
      </c>
      <c r="L253" t="s">
        <v>139</v>
      </c>
      <c r="N253" t="s">
        <v>1662</v>
      </c>
      <c r="Q253" t="s">
        <v>1663</v>
      </c>
      <c r="S253" t="s">
        <v>144</v>
      </c>
      <c r="T253" t="s">
        <v>1664</v>
      </c>
      <c r="V253" t="s">
        <v>1665</v>
      </c>
      <c r="W253" t="s">
        <v>39</v>
      </c>
      <c r="X253" s="6" t="s">
        <v>1666</v>
      </c>
      <c r="Y253" s="6"/>
      <c r="Z253" t="s">
        <v>148</v>
      </c>
      <c r="AA253" t="s">
        <v>205</v>
      </c>
      <c r="AC253" t="s">
        <v>150</v>
      </c>
      <c r="AD253" s="6" t="s">
        <v>1667</v>
      </c>
      <c r="AF253" s="3">
        <v>18821</v>
      </c>
      <c r="AG253">
        <v>75</v>
      </c>
      <c r="AH253" t="b">
        <v>0</v>
      </c>
      <c r="AI253" t="b">
        <v>1</v>
      </c>
      <c r="AJ253" s="6" t="s">
        <v>1668</v>
      </c>
      <c r="AK253" s="6" t="s">
        <v>171</v>
      </c>
      <c r="AL253" t="b">
        <v>0</v>
      </c>
      <c r="AM253" s="6"/>
      <c r="AN253" s="6"/>
      <c r="AP253" t="b">
        <v>0</v>
      </c>
      <c r="AQ253" s="6"/>
      <c r="AR253" s="6"/>
      <c r="AT253" t="b">
        <v>0</v>
      </c>
      <c r="AU253" s="6"/>
      <c r="AV253" s="6"/>
      <c r="AX253" t="b">
        <v>0</v>
      </c>
      <c r="AY253" s="6"/>
      <c r="AZ253" s="6"/>
      <c r="BA253" t="b">
        <v>0</v>
      </c>
      <c r="BB253" s="6"/>
      <c r="BC253" t="b">
        <v>0</v>
      </c>
      <c r="BD253" s="6"/>
      <c r="BE253" s="6"/>
      <c r="BF253" t="b">
        <v>1</v>
      </c>
      <c r="BG253" s="6" t="s">
        <v>1669</v>
      </c>
      <c r="BH253" t="b">
        <v>1</v>
      </c>
      <c r="BI253" s="6" t="s">
        <v>1670</v>
      </c>
      <c r="BJ253" t="b">
        <v>0</v>
      </c>
      <c r="BK253" t="s">
        <v>1563</v>
      </c>
      <c r="BL253" t="b">
        <v>0</v>
      </c>
      <c r="BM253" t="b">
        <v>0</v>
      </c>
      <c r="BN253" t="b">
        <v>0</v>
      </c>
      <c r="BO253" t="b">
        <v>0</v>
      </c>
      <c r="BQ253" t="b">
        <v>0</v>
      </c>
      <c r="BR253" s="6"/>
      <c r="BT253" t="b">
        <v>0</v>
      </c>
      <c r="BU253" t="s">
        <v>1564</v>
      </c>
      <c r="BV253" t="s">
        <v>504</v>
      </c>
      <c r="BW253" t="s">
        <v>154</v>
      </c>
      <c r="BX253" t="s">
        <v>43</v>
      </c>
      <c r="BY253" s="6" t="s">
        <v>1671</v>
      </c>
      <c r="BZ253">
        <v>1</v>
      </c>
      <c r="CA253" t="s">
        <v>157</v>
      </c>
      <c r="CB253" s="7">
        <v>46315.0537962963</v>
      </c>
    </row>
    <row r="254" spans="1:80">
      <c r="A254" s="6" t="s">
        <v>1672</v>
      </c>
      <c r="B254" t="s">
        <v>491</v>
      </c>
      <c r="C254" s="6" t="s">
        <v>1552</v>
      </c>
      <c r="D254" s="6"/>
      <c r="E254" t="s">
        <v>1553</v>
      </c>
      <c r="F254" t="s">
        <v>1554</v>
      </c>
      <c r="G254" s="6">
        <v>21</v>
      </c>
      <c r="H254" s="6"/>
      <c r="I254" t="s">
        <v>491</v>
      </c>
      <c r="J254" s="3">
        <v>46280</v>
      </c>
      <c r="K254" t="s">
        <v>138</v>
      </c>
      <c r="L254" t="s">
        <v>139</v>
      </c>
      <c r="N254" t="s">
        <v>298</v>
      </c>
      <c r="O254" t="s">
        <v>299</v>
      </c>
      <c r="P254" t="s">
        <v>299</v>
      </c>
      <c r="Q254" t="s">
        <v>300</v>
      </c>
      <c r="S254" t="s">
        <v>144</v>
      </c>
      <c r="T254" t="s">
        <v>301</v>
      </c>
      <c r="V254" t="s">
        <v>302</v>
      </c>
      <c r="W254" t="s">
        <v>35</v>
      </c>
      <c r="X254" s="6" t="s">
        <v>303</v>
      </c>
      <c r="Y254" s="6"/>
      <c r="Z254" t="s">
        <v>148</v>
      </c>
      <c r="AA254" t="s">
        <v>149</v>
      </c>
      <c r="AC254" t="s">
        <v>150</v>
      </c>
      <c r="AD254" s="6" t="s">
        <v>1127</v>
      </c>
      <c r="AF254" s="3">
        <v>20070</v>
      </c>
      <c r="AG254">
        <v>71</v>
      </c>
      <c r="AH254" t="b">
        <v>0</v>
      </c>
      <c r="AI254" t="b">
        <v>1</v>
      </c>
      <c r="AJ254" s="6" t="s">
        <v>573</v>
      </c>
      <c r="AK254" s="6" t="s">
        <v>171</v>
      </c>
      <c r="AL254" t="b">
        <v>0</v>
      </c>
      <c r="AM254" s="6"/>
      <c r="AN254" s="6"/>
      <c r="AP254" t="b">
        <v>0</v>
      </c>
      <c r="AQ254" s="6"/>
      <c r="AR254" s="6"/>
      <c r="AT254" t="b">
        <v>0</v>
      </c>
      <c r="AU254" s="6"/>
      <c r="AV254" s="6"/>
      <c r="AX254" t="b">
        <v>0</v>
      </c>
      <c r="AY254" s="6"/>
      <c r="AZ254" s="6"/>
      <c r="BA254" t="b">
        <v>0</v>
      </c>
      <c r="BB254" s="6"/>
      <c r="BC254" t="b">
        <v>0</v>
      </c>
      <c r="BD254" s="6"/>
      <c r="BE254" s="6"/>
      <c r="BF254" t="b">
        <v>1</v>
      </c>
      <c r="BG254" s="6" t="s">
        <v>1673</v>
      </c>
      <c r="BH254" t="b">
        <v>1</v>
      </c>
      <c r="BI254" s="6" t="s">
        <v>304</v>
      </c>
      <c r="BJ254" t="b">
        <v>0</v>
      </c>
      <c r="BK254" t="s">
        <v>1563</v>
      </c>
      <c r="BL254" t="b">
        <v>0</v>
      </c>
      <c r="BM254" t="b">
        <v>0</v>
      </c>
      <c r="BN254" t="b">
        <v>0</v>
      </c>
      <c r="BO254" t="b">
        <v>0</v>
      </c>
      <c r="BQ254" t="b">
        <v>0</v>
      </c>
      <c r="BR254" s="6"/>
      <c r="BT254" t="b">
        <v>0</v>
      </c>
      <c r="BU254" t="s">
        <v>1564</v>
      </c>
      <c r="BV254" t="s">
        <v>504</v>
      </c>
      <c r="BW254" t="s">
        <v>154</v>
      </c>
      <c r="BX254" t="s">
        <v>305</v>
      </c>
      <c r="BY254" s="6" t="s">
        <v>306</v>
      </c>
      <c r="BZ254">
        <v>1</v>
      </c>
      <c r="CA254" t="s">
        <v>157</v>
      </c>
      <c r="CB254" s="7">
        <v>46315.0537962963</v>
      </c>
    </row>
    <row r="255" spans="1:80">
      <c r="A255" s="6" t="s">
        <v>1674</v>
      </c>
      <c r="B255" t="s">
        <v>491</v>
      </c>
      <c r="C255" s="6" t="s">
        <v>1552</v>
      </c>
      <c r="D255" s="6"/>
      <c r="E255" t="s">
        <v>1553</v>
      </c>
      <c r="F255" t="s">
        <v>1554</v>
      </c>
      <c r="G255" s="6">
        <v>22</v>
      </c>
      <c r="H255" s="6"/>
      <c r="I255" t="s">
        <v>491</v>
      </c>
      <c r="J255" s="3">
        <v>46280</v>
      </c>
      <c r="K255" t="s">
        <v>138</v>
      </c>
      <c r="L255" t="s">
        <v>139</v>
      </c>
      <c r="N255" t="s">
        <v>1675</v>
      </c>
      <c r="O255" t="s">
        <v>163</v>
      </c>
      <c r="P255" t="s">
        <v>163</v>
      </c>
      <c r="Q255" t="s">
        <v>248</v>
      </c>
      <c r="S255" t="s">
        <v>144</v>
      </c>
      <c r="T255" t="s">
        <v>250</v>
      </c>
      <c r="V255" t="s">
        <v>251</v>
      </c>
      <c r="W255" t="s">
        <v>39</v>
      </c>
      <c r="X255" s="6" t="s">
        <v>252</v>
      </c>
      <c r="Y255" s="6"/>
      <c r="Z255" t="s">
        <v>148</v>
      </c>
      <c r="AA255" t="s">
        <v>149</v>
      </c>
      <c r="AC255" t="s">
        <v>150</v>
      </c>
      <c r="AD255" s="6"/>
      <c r="AF255" s="3">
        <v>40928</v>
      </c>
      <c r="AG255">
        <v>14</v>
      </c>
      <c r="AH255" t="b">
        <v>1</v>
      </c>
      <c r="AI255" t="b">
        <v>1</v>
      </c>
      <c r="AJ255" s="6" t="s">
        <v>1676</v>
      </c>
      <c r="AK255" s="6" t="s">
        <v>171</v>
      </c>
      <c r="AL255" t="b">
        <v>0</v>
      </c>
      <c r="AM255" s="6"/>
      <c r="AN255" s="6"/>
      <c r="AP255" t="b">
        <v>0</v>
      </c>
      <c r="AQ255" s="6"/>
      <c r="AR255" s="6"/>
      <c r="AT255" t="b">
        <v>0</v>
      </c>
      <c r="AU255" s="6"/>
      <c r="AV255" s="6"/>
      <c r="AX255" t="b">
        <v>0</v>
      </c>
      <c r="AY255" s="6"/>
      <c r="AZ255" s="6"/>
      <c r="BA255" t="b">
        <v>0</v>
      </c>
      <c r="BB255" s="6"/>
      <c r="BC255" t="b">
        <v>0</v>
      </c>
      <c r="BD255" s="6"/>
      <c r="BE255" s="6"/>
      <c r="BF255" t="b">
        <v>1</v>
      </c>
      <c r="BG255" s="6" t="s">
        <v>1677</v>
      </c>
      <c r="BH255" t="b">
        <v>1</v>
      </c>
      <c r="BI255" s="6" t="s">
        <v>1678</v>
      </c>
      <c r="BJ255" t="b">
        <v>0</v>
      </c>
      <c r="BK255" t="s">
        <v>1563</v>
      </c>
      <c r="BL255" t="b">
        <v>0</v>
      </c>
      <c r="BM255" t="b">
        <v>0</v>
      </c>
      <c r="BN255" t="b">
        <v>0</v>
      </c>
      <c r="BO255" t="b">
        <v>0</v>
      </c>
      <c r="BQ255" t="b">
        <v>0</v>
      </c>
      <c r="BR255" s="6"/>
      <c r="BT255" t="b">
        <v>0</v>
      </c>
      <c r="BU255" t="s">
        <v>1564</v>
      </c>
      <c r="BV255" t="s">
        <v>504</v>
      </c>
      <c r="BW255" t="s">
        <v>154</v>
      </c>
      <c r="BX255" t="s">
        <v>261</v>
      </c>
      <c r="BY255" s="6" t="s">
        <v>1679</v>
      </c>
      <c r="BZ255">
        <v>1</v>
      </c>
      <c r="CA255" t="s">
        <v>157</v>
      </c>
      <c r="CB255" s="7">
        <v>46315.0537962963</v>
      </c>
    </row>
    <row r="256" spans="1:80">
      <c r="A256" s="6" t="s">
        <v>1680</v>
      </c>
      <c r="B256" t="s">
        <v>491</v>
      </c>
      <c r="C256" s="6" t="s">
        <v>1552</v>
      </c>
      <c r="D256" s="6"/>
      <c r="E256" t="s">
        <v>1553</v>
      </c>
      <c r="F256" t="s">
        <v>1554</v>
      </c>
      <c r="G256" s="6">
        <v>23</v>
      </c>
      <c r="H256" s="6"/>
      <c r="I256" t="s">
        <v>491</v>
      </c>
      <c r="J256" s="3">
        <v>46280</v>
      </c>
      <c r="K256" t="s">
        <v>138</v>
      </c>
      <c r="L256" t="s">
        <v>139</v>
      </c>
      <c r="N256" t="s">
        <v>258</v>
      </c>
      <c r="O256" t="s">
        <v>267</v>
      </c>
      <c r="P256" t="s">
        <v>267</v>
      </c>
      <c r="Q256" t="s">
        <v>1681</v>
      </c>
      <c r="S256" t="s">
        <v>144</v>
      </c>
      <c r="T256" t="s">
        <v>1682</v>
      </c>
      <c r="V256" t="s">
        <v>1683</v>
      </c>
      <c r="W256" t="s">
        <v>33</v>
      </c>
      <c r="X256" s="6" t="s">
        <v>1684</v>
      </c>
      <c r="Y256" s="6"/>
      <c r="Z256" t="s">
        <v>148</v>
      </c>
      <c r="AA256" t="s">
        <v>205</v>
      </c>
      <c r="AC256" t="s">
        <v>150</v>
      </c>
      <c r="AD256" s="6" t="s">
        <v>1685</v>
      </c>
      <c r="AF256" s="3">
        <v>19058</v>
      </c>
      <c r="AG256">
        <v>74</v>
      </c>
      <c r="AH256" t="b">
        <v>0</v>
      </c>
      <c r="AI256" t="b">
        <v>1</v>
      </c>
      <c r="AJ256" s="6" t="s">
        <v>1686</v>
      </c>
      <c r="AK256" s="6" t="s">
        <v>171</v>
      </c>
      <c r="AL256" t="b">
        <v>0</v>
      </c>
      <c r="AM256" s="6"/>
      <c r="AN256" s="6"/>
      <c r="AP256" t="b">
        <v>0</v>
      </c>
      <c r="AQ256" s="6"/>
      <c r="AR256" s="6"/>
      <c r="AT256" t="b">
        <v>0</v>
      </c>
      <c r="AU256" s="6"/>
      <c r="AV256" s="6"/>
      <c r="AX256" t="b">
        <v>0</v>
      </c>
      <c r="AY256" s="6"/>
      <c r="AZ256" s="6"/>
      <c r="BA256" t="b">
        <v>0</v>
      </c>
      <c r="BB256" s="6"/>
      <c r="BC256" t="b">
        <v>0</v>
      </c>
      <c r="BD256" s="6"/>
      <c r="BE256" s="6"/>
      <c r="BF256" t="b">
        <v>1</v>
      </c>
      <c r="BG256" s="6" t="s">
        <v>1687</v>
      </c>
      <c r="BH256" t="b">
        <v>1</v>
      </c>
      <c r="BI256" s="6" t="s">
        <v>1688</v>
      </c>
      <c r="BJ256" t="b">
        <v>0</v>
      </c>
      <c r="BK256" t="s">
        <v>1563</v>
      </c>
      <c r="BL256" t="b">
        <v>0</v>
      </c>
      <c r="BM256" t="b">
        <v>0</v>
      </c>
      <c r="BN256" t="b">
        <v>0</v>
      </c>
      <c r="BO256" t="b">
        <v>0</v>
      </c>
      <c r="BQ256" t="b">
        <v>0</v>
      </c>
      <c r="BR256" s="6"/>
      <c r="BT256" t="b">
        <v>0</v>
      </c>
      <c r="BU256" t="s">
        <v>1564</v>
      </c>
      <c r="BV256" t="s">
        <v>504</v>
      </c>
      <c r="BW256" t="s">
        <v>154</v>
      </c>
      <c r="BX256" t="s">
        <v>1689</v>
      </c>
      <c r="BY256" s="6" t="s">
        <v>1690</v>
      </c>
      <c r="BZ256">
        <v>1</v>
      </c>
      <c r="CA256" t="s">
        <v>157</v>
      </c>
      <c r="CB256" s="7">
        <v>46315.0537962963</v>
      </c>
    </row>
    <row r="257" spans="1:80">
      <c r="A257" s="6" t="s">
        <v>1691</v>
      </c>
      <c r="B257" t="s">
        <v>491</v>
      </c>
      <c r="C257" s="6" t="s">
        <v>1552</v>
      </c>
      <c r="D257" s="6"/>
      <c r="E257" t="s">
        <v>1553</v>
      </c>
      <c r="F257" t="s">
        <v>1554</v>
      </c>
      <c r="G257" s="6">
        <v>24</v>
      </c>
      <c r="H257" s="6"/>
      <c r="I257" t="s">
        <v>491</v>
      </c>
      <c r="J257" s="3">
        <v>46280</v>
      </c>
      <c r="K257" t="s">
        <v>138</v>
      </c>
      <c r="L257" t="s">
        <v>139</v>
      </c>
      <c r="N257" t="s">
        <v>1215</v>
      </c>
      <c r="O257" t="s">
        <v>178</v>
      </c>
      <c r="P257" t="s">
        <v>178</v>
      </c>
      <c r="Q257" t="s">
        <v>1692</v>
      </c>
      <c r="S257" t="s">
        <v>144</v>
      </c>
      <c r="T257" t="s">
        <v>1693</v>
      </c>
      <c r="V257" t="s">
        <v>1694</v>
      </c>
      <c r="W257" t="s">
        <v>37</v>
      </c>
      <c r="X257" s="6" t="s">
        <v>1695</v>
      </c>
      <c r="Y257" s="6"/>
      <c r="Z257" t="s">
        <v>148</v>
      </c>
      <c r="AA257" t="s">
        <v>205</v>
      </c>
      <c r="AC257" t="s">
        <v>150</v>
      </c>
      <c r="AD257" s="6" t="s">
        <v>1696</v>
      </c>
      <c r="AF257" s="3">
        <v>23997</v>
      </c>
      <c r="AG257">
        <v>61</v>
      </c>
      <c r="AH257" t="b">
        <v>0</v>
      </c>
      <c r="AI257" t="b">
        <v>1</v>
      </c>
      <c r="AJ257" s="6" t="s">
        <v>1697</v>
      </c>
      <c r="AK257" s="6" t="s">
        <v>171</v>
      </c>
      <c r="AL257" t="b">
        <v>0</v>
      </c>
      <c r="AM257" s="6"/>
      <c r="AN257" s="6"/>
      <c r="AP257" t="b">
        <v>0</v>
      </c>
      <c r="AQ257" s="6"/>
      <c r="AR257" s="6"/>
      <c r="AT257" t="b">
        <v>0</v>
      </c>
      <c r="AU257" s="6"/>
      <c r="AV257" s="6"/>
      <c r="AX257" t="b">
        <v>0</v>
      </c>
      <c r="AY257" s="6"/>
      <c r="AZ257" s="6"/>
      <c r="BA257" t="b">
        <v>0</v>
      </c>
      <c r="BB257" s="6"/>
      <c r="BC257" t="b">
        <v>0</v>
      </c>
      <c r="BD257" s="6"/>
      <c r="BE257" s="6"/>
      <c r="BF257" t="b">
        <v>1</v>
      </c>
      <c r="BG257" s="6" t="s">
        <v>1698</v>
      </c>
      <c r="BH257" t="b">
        <v>1</v>
      </c>
      <c r="BI257" s="6" t="s">
        <v>1699</v>
      </c>
      <c r="BJ257" t="b">
        <v>0</v>
      </c>
      <c r="BK257" t="s">
        <v>1563</v>
      </c>
      <c r="BL257" t="b">
        <v>0</v>
      </c>
      <c r="BM257" t="b">
        <v>0</v>
      </c>
      <c r="BN257" t="b">
        <v>0</v>
      </c>
      <c r="BO257" t="b">
        <v>0</v>
      </c>
      <c r="BQ257" t="b">
        <v>0</v>
      </c>
      <c r="BR257" s="6"/>
      <c r="BT257" t="b">
        <v>0</v>
      </c>
      <c r="BU257" t="s">
        <v>1564</v>
      </c>
      <c r="BV257" t="s">
        <v>504</v>
      </c>
      <c r="BW257" t="s">
        <v>154</v>
      </c>
      <c r="BX257" t="s">
        <v>1646</v>
      </c>
      <c r="BY257" s="6" t="s">
        <v>1700</v>
      </c>
      <c r="BZ257">
        <v>1</v>
      </c>
      <c r="CA257" t="s">
        <v>157</v>
      </c>
      <c r="CB257" s="7">
        <v>46315.0537962963</v>
      </c>
    </row>
    <row r="258" spans="1:80">
      <c r="A258" s="6" t="s">
        <v>1701</v>
      </c>
      <c r="B258" t="s">
        <v>491</v>
      </c>
      <c r="C258" s="6" t="s">
        <v>1552</v>
      </c>
      <c r="D258" s="6"/>
      <c r="E258" t="s">
        <v>1553</v>
      </c>
      <c r="F258" t="s">
        <v>1554</v>
      </c>
      <c r="G258" s="6">
        <v>25</v>
      </c>
      <c r="H258" s="6"/>
      <c r="I258" t="s">
        <v>491</v>
      </c>
      <c r="J258" s="3">
        <v>46280</v>
      </c>
      <c r="K258" t="s">
        <v>138</v>
      </c>
      <c r="L258" t="s">
        <v>139</v>
      </c>
      <c r="N258" t="s">
        <v>323</v>
      </c>
      <c r="O258" t="s">
        <v>1180</v>
      </c>
      <c r="P258" t="s">
        <v>1180</v>
      </c>
      <c r="Q258" t="s">
        <v>1702</v>
      </c>
      <c r="S258" t="s">
        <v>144</v>
      </c>
      <c r="T258" t="s">
        <v>1703</v>
      </c>
      <c r="V258" t="s">
        <v>1704</v>
      </c>
      <c r="W258" t="s">
        <v>33</v>
      </c>
      <c r="X258" s="6" t="s">
        <v>1705</v>
      </c>
      <c r="Y258" s="6"/>
      <c r="Z258" t="s">
        <v>148</v>
      </c>
      <c r="AA258" t="s">
        <v>205</v>
      </c>
      <c r="AC258" t="s">
        <v>150</v>
      </c>
      <c r="AD258" s="6" t="s">
        <v>756</v>
      </c>
      <c r="AF258" s="3">
        <v>32550</v>
      </c>
      <c r="AG258">
        <v>37</v>
      </c>
      <c r="AH258" t="b">
        <v>0</v>
      </c>
      <c r="AI258" t="b">
        <v>1</v>
      </c>
      <c r="AJ258" s="6" t="s">
        <v>1706</v>
      </c>
      <c r="AK258" s="6" t="s">
        <v>171</v>
      </c>
      <c r="AL258" t="b">
        <v>0</v>
      </c>
      <c r="AM258" s="6"/>
      <c r="AN258" s="6"/>
      <c r="AP258" t="b">
        <v>0</v>
      </c>
      <c r="AQ258" s="6"/>
      <c r="AR258" s="6"/>
      <c r="AT258" t="b">
        <v>0</v>
      </c>
      <c r="AU258" s="6"/>
      <c r="AV258" s="6"/>
      <c r="AX258" t="b">
        <v>0</v>
      </c>
      <c r="AY258" s="6"/>
      <c r="AZ258" s="6"/>
      <c r="BA258" t="b">
        <v>0</v>
      </c>
      <c r="BB258" s="6"/>
      <c r="BC258" t="b">
        <v>0</v>
      </c>
      <c r="BD258" s="6"/>
      <c r="BE258" s="6"/>
      <c r="BF258" t="b">
        <v>1</v>
      </c>
      <c r="BG258" s="6" t="s">
        <v>1707</v>
      </c>
      <c r="BH258" t="b">
        <v>1</v>
      </c>
      <c r="BI258" s="6" t="s">
        <v>1708</v>
      </c>
      <c r="BJ258" t="b">
        <v>0</v>
      </c>
      <c r="BK258" t="s">
        <v>1563</v>
      </c>
      <c r="BL258" t="b">
        <v>0</v>
      </c>
      <c r="BM258" t="b">
        <v>0</v>
      </c>
      <c r="BN258" t="b">
        <v>0</v>
      </c>
      <c r="BO258" t="b">
        <v>0</v>
      </c>
      <c r="BQ258" t="b">
        <v>0</v>
      </c>
      <c r="BR258" s="6"/>
      <c r="BT258" t="b">
        <v>0</v>
      </c>
      <c r="BU258" t="s">
        <v>1564</v>
      </c>
      <c r="BV258" t="s">
        <v>504</v>
      </c>
      <c r="BW258" t="s">
        <v>154</v>
      </c>
      <c r="BX258" t="s">
        <v>1646</v>
      </c>
      <c r="BY258" s="6" t="s">
        <v>1709</v>
      </c>
      <c r="BZ258">
        <v>1</v>
      </c>
      <c r="CA258" t="s">
        <v>157</v>
      </c>
      <c r="CB258" s="7">
        <v>46315.0537962963</v>
      </c>
    </row>
    <row r="259" spans="1:80">
      <c r="A259" s="6" t="s">
        <v>1710</v>
      </c>
      <c r="B259" t="s">
        <v>491</v>
      </c>
      <c r="C259" s="6" t="s">
        <v>1552</v>
      </c>
      <c r="D259" s="6"/>
      <c r="E259" t="s">
        <v>1553</v>
      </c>
      <c r="F259" t="s">
        <v>1554</v>
      </c>
      <c r="G259" s="6">
        <v>26</v>
      </c>
      <c r="H259" s="6"/>
      <c r="I259" t="s">
        <v>491</v>
      </c>
      <c r="J259" s="3">
        <v>46280</v>
      </c>
      <c r="K259" t="s">
        <v>138</v>
      </c>
      <c r="L259" t="s">
        <v>139</v>
      </c>
      <c r="N259" t="s">
        <v>621</v>
      </c>
      <c r="O259" t="s">
        <v>434</v>
      </c>
      <c r="P259" t="s">
        <v>434</v>
      </c>
      <c r="Q259" t="s">
        <v>611</v>
      </c>
      <c r="S259" t="s">
        <v>144</v>
      </c>
      <c r="T259" t="s">
        <v>612</v>
      </c>
      <c r="U259" t="s">
        <v>613</v>
      </c>
      <c r="V259" t="s">
        <v>614</v>
      </c>
      <c r="W259" t="s">
        <v>39</v>
      </c>
      <c r="X259" s="6" t="s">
        <v>615</v>
      </c>
      <c r="Y259" s="6"/>
      <c r="Z259" t="s">
        <v>148</v>
      </c>
      <c r="AA259" t="s">
        <v>205</v>
      </c>
      <c r="AC259" t="s">
        <v>150</v>
      </c>
      <c r="AD259" s="6" t="s">
        <v>1711</v>
      </c>
      <c r="AF259" s="3">
        <v>38496</v>
      </c>
      <c r="AG259">
        <v>21</v>
      </c>
      <c r="AH259" t="b">
        <v>0</v>
      </c>
      <c r="AI259" t="b">
        <v>1</v>
      </c>
      <c r="AJ259" s="6" t="s">
        <v>1712</v>
      </c>
      <c r="AK259" s="6" t="s">
        <v>171</v>
      </c>
      <c r="AL259" t="b">
        <v>0</v>
      </c>
      <c r="AM259" s="6"/>
      <c r="AN259" s="6"/>
      <c r="AP259" t="b">
        <v>0</v>
      </c>
      <c r="AQ259" s="6"/>
      <c r="AR259" s="6"/>
      <c r="AT259" t="b">
        <v>0</v>
      </c>
      <c r="AU259" s="6"/>
      <c r="AV259" s="6"/>
      <c r="AX259" t="b">
        <v>0</v>
      </c>
      <c r="AY259" s="6"/>
      <c r="AZ259" s="6"/>
      <c r="BA259" t="b">
        <v>0</v>
      </c>
      <c r="BB259" s="6"/>
      <c r="BC259" t="b">
        <v>0</v>
      </c>
      <c r="BD259" s="6"/>
      <c r="BE259" s="6"/>
      <c r="BF259" t="b">
        <v>1</v>
      </c>
      <c r="BG259" s="6" t="s">
        <v>1713</v>
      </c>
      <c r="BH259" t="b">
        <v>1</v>
      </c>
      <c r="BI259" s="6" t="s">
        <v>1714</v>
      </c>
      <c r="BJ259" t="b">
        <v>0</v>
      </c>
      <c r="BK259" t="s">
        <v>1563</v>
      </c>
      <c r="BL259" t="b">
        <v>0</v>
      </c>
      <c r="BM259" t="b">
        <v>0</v>
      </c>
      <c r="BN259" t="b">
        <v>0</v>
      </c>
      <c r="BO259" t="b">
        <v>0</v>
      </c>
      <c r="BQ259" t="b">
        <v>0</v>
      </c>
      <c r="BR259" s="6"/>
      <c r="BT259" t="b">
        <v>0</v>
      </c>
      <c r="BU259" t="s">
        <v>1564</v>
      </c>
      <c r="BV259" t="s">
        <v>504</v>
      </c>
      <c r="BW259" t="s">
        <v>154</v>
      </c>
      <c r="BX259" t="s">
        <v>618</v>
      </c>
      <c r="BY259" s="6" t="s">
        <v>622</v>
      </c>
      <c r="BZ259">
        <v>1</v>
      </c>
      <c r="CA259" t="s">
        <v>157</v>
      </c>
      <c r="CB259" s="7">
        <v>46315.0537962963</v>
      </c>
    </row>
    <row r="260" spans="1:80">
      <c r="A260" s="6" t="s">
        <v>1715</v>
      </c>
      <c r="B260" t="s">
        <v>491</v>
      </c>
      <c r="C260" s="6" t="s">
        <v>1552</v>
      </c>
      <c r="D260" s="6"/>
      <c r="E260" t="s">
        <v>1553</v>
      </c>
      <c r="F260" t="s">
        <v>1554</v>
      </c>
      <c r="G260" s="6">
        <v>27</v>
      </c>
      <c r="H260" s="6"/>
      <c r="I260" t="s">
        <v>491</v>
      </c>
      <c r="J260" s="3">
        <v>46280</v>
      </c>
      <c r="K260" t="s">
        <v>138</v>
      </c>
      <c r="L260" t="s">
        <v>139</v>
      </c>
      <c r="N260" t="s">
        <v>479</v>
      </c>
      <c r="Q260" t="s">
        <v>423</v>
      </c>
      <c r="S260" t="s">
        <v>144</v>
      </c>
      <c r="T260" t="s">
        <v>480</v>
      </c>
      <c r="V260" t="s">
        <v>481</v>
      </c>
      <c r="W260" t="s">
        <v>39</v>
      </c>
      <c r="X260" s="6" t="s">
        <v>482</v>
      </c>
      <c r="Y260" s="6"/>
      <c r="Z260" t="s">
        <v>148</v>
      </c>
      <c r="AA260" t="s">
        <v>149</v>
      </c>
      <c r="AC260" t="s">
        <v>150</v>
      </c>
      <c r="AD260" s="6" t="s">
        <v>773</v>
      </c>
      <c r="AF260" s="3">
        <v>26352</v>
      </c>
      <c r="AG260">
        <v>54</v>
      </c>
      <c r="AH260" t="b">
        <v>0</v>
      </c>
      <c r="AI260" t="b">
        <v>1</v>
      </c>
      <c r="AJ260" s="6" t="s">
        <v>483</v>
      </c>
      <c r="AK260" s="6" t="s">
        <v>171</v>
      </c>
      <c r="AL260" t="b">
        <v>0</v>
      </c>
      <c r="AM260" s="6"/>
      <c r="AN260" s="6"/>
      <c r="AP260" t="b">
        <v>0</v>
      </c>
      <c r="AQ260" s="6"/>
      <c r="AR260" s="6"/>
      <c r="AT260" t="b">
        <v>0</v>
      </c>
      <c r="AU260" s="6"/>
      <c r="AV260" s="6"/>
      <c r="AX260" t="b">
        <v>0</v>
      </c>
      <c r="AY260" s="6"/>
      <c r="AZ260" s="6"/>
      <c r="BA260" t="b">
        <v>0</v>
      </c>
      <c r="BB260" s="6"/>
      <c r="BC260" t="b">
        <v>0</v>
      </c>
      <c r="BD260" s="6"/>
      <c r="BE260" s="6"/>
      <c r="BF260" t="b">
        <v>1</v>
      </c>
      <c r="BG260" s="6" t="s">
        <v>1716</v>
      </c>
      <c r="BH260" t="b">
        <v>1</v>
      </c>
      <c r="BI260" s="6" t="s">
        <v>544</v>
      </c>
      <c r="BJ260" t="b">
        <v>0</v>
      </c>
      <c r="BK260" t="s">
        <v>1563</v>
      </c>
      <c r="BL260" t="b">
        <v>0</v>
      </c>
      <c r="BM260" t="b">
        <v>0</v>
      </c>
      <c r="BN260" t="b">
        <v>0</v>
      </c>
      <c r="BO260" t="b">
        <v>0</v>
      </c>
      <c r="BQ260" t="b">
        <v>0</v>
      </c>
      <c r="BR260" s="6"/>
      <c r="BT260" t="b">
        <v>0</v>
      </c>
      <c r="BU260" t="s">
        <v>1564</v>
      </c>
      <c r="BV260" t="s">
        <v>504</v>
      </c>
      <c r="BW260" t="s">
        <v>154</v>
      </c>
      <c r="BX260" t="s">
        <v>1717</v>
      </c>
      <c r="BY260" s="6" t="s">
        <v>485</v>
      </c>
      <c r="BZ260">
        <v>1</v>
      </c>
      <c r="CA260" t="s">
        <v>157</v>
      </c>
      <c r="CB260" s="7">
        <v>46315.0537962963</v>
      </c>
    </row>
    <row r="261" spans="1:80">
      <c r="A261" s="6" t="s">
        <v>1718</v>
      </c>
      <c r="B261" t="s">
        <v>491</v>
      </c>
      <c r="C261" s="6" t="s">
        <v>1552</v>
      </c>
      <c r="D261" s="6"/>
      <c r="E261" t="s">
        <v>1553</v>
      </c>
      <c r="F261" t="s">
        <v>1554</v>
      </c>
      <c r="G261" s="6">
        <v>28</v>
      </c>
      <c r="H261" s="6"/>
      <c r="I261" t="s">
        <v>491</v>
      </c>
      <c r="J261" s="3">
        <v>46280</v>
      </c>
      <c r="K261" t="s">
        <v>138</v>
      </c>
      <c r="L261" t="s">
        <v>139</v>
      </c>
      <c r="N261" t="s">
        <v>323</v>
      </c>
      <c r="O261" t="s">
        <v>324</v>
      </c>
      <c r="P261" t="s">
        <v>324</v>
      </c>
      <c r="Q261" t="s">
        <v>315</v>
      </c>
      <c r="S261" t="s">
        <v>144</v>
      </c>
      <c r="T261" t="s">
        <v>316</v>
      </c>
      <c r="V261" t="s">
        <v>317</v>
      </c>
      <c r="W261" t="s">
        <v>34</v>
      </c>
      <c r="X261" s="6" t="s">
        <v>318</v>
      </c>
      <c r="Y261" s="6"/>
      <c r="Z261" t="s">
        <v>148</v>
      </c>
      <c r="AA261" t="s">
        <v>149</v>
      </c>
      <c r="AC261" t="s">
        <v>150</v>
      </c>
      <c r="AD261" s="6" t="s">
        <v>1019</v>
      </c>
      <c r="AF261" s="3">
        <v>30125</v>
      </c>
      <c r="AG261">
        <v>44</v>
      </c>
      <c r="AH261" t="b">
        <v>0</v>
      </c>
      <c r="AI261" t="b">
        <v>1</v>
      </c>
      <c r="AJ261" s="6" t="s">
        <v>1719</v>
      </c>
      <c r="AK261" s="6" t="s">
        <v>171</v>
      </c>
      <c r="AL261" t="b">
        <v>0</v>
      </c>
      <c r="AM261" s="6"/>
      <c r="AN261" s="6"/>
      <c r="AP261" t="b">
        <v>0</v>
      </c>
      <c r="AQ261" s="6"/>
      <c r="AR261" s="6"/>
      <c r="AT261" t="b">
        <v>0</v>
      </c>
      <c r="AU261" s="6"/>
      <c r="AV261" s="6"/>
      <c r="AX261" t="b">
        <v>0</v>
      </c>
      <c r="AY261" s="6"/>
      <c r="AZ261" s="6"/>
      <c r="BA261" t="b">
        <v>0</v>
      </c>
      <c r="BB261" s="6"/>
      <c r="BC261" t="b">
        <v>0</v>
      </c>
      <c r="BD261" s="6"/>
      <c r="BE261" s="6"/>
      <c r="BF261" t="b">
        <v>1</v>
      </c>
      <c r="BG261" s="6" t="s">
        <v>1720</v>
      </c>
      <c r="BH261" t="b">
        <v>1</v>
      </c>
      <c r="BI261" s="6" t="s">
        <v>1721</v>
      </c>
      <c r="BJ261" t="b">
        <v>0</v>
      </c>
      <c r="BK261" t="s">
        <v>1563</v>
      </c>
      <c r="BL261" t="b">
        <v>0</v>
      </c>
      <c r="BM261" t="b">
        <v>0</v>
      </c>
      <c r="BN261" t="b">
        <v>0</v>
      </c>
      <c r="BO261" t="b">
        <v>0</v>
      </c>
      <c r="BQ261" t="b">
        <v>0</v>
      </c>
      <c r="BR261" s="6"/>
      <c r="BT261" t="b">
        <v>0</v>
      </c>
      <c r="BU261" t="s">
        <v>1564</v>
      </c>
      <c r="BV261" t="s">
        <v>504</v>
      </c>
      <c r="BW261" t="s">
        <v>154</v>
      </c>
      <c r="BX261" t="s">
        <v>1722</v>
      </c>
      <c r="BY261" s="6" t="s">
        <v>327</v>
      </c>
      <c r="BZ261">
        <v>1</v>
      </c>
      <c r="CA261" t="s">
        <v>157</v>
      </c>
      <c r="CB261" s="7">
        <v>46315.0537962963</v>
      </c>
    </row>
    <row r="262" spans="1:80">
      <c r="A262" s="6" t="s">
        <v>1723</v>
      </c>
      <c r="B262" t="s">
        <v>491</v>
      </c>
      <c r="C262" s="6" t="s">
        <v>1552</v>
      </c>
      <c r="D262" s="6"/>
      <c r="E262" t="s">
        <v>1553</v>
      </c>
      <c r="F262" t="s">
        <v>1554</v>
      </c>
      <c r="G262" s="6">
        <v>29</v>
      </c>
      <c r="H262" s="6"/>
      <c r="I262" t="s">
        <v>491</v>
      </c>
      <c r="J262" s="3">
        <v>46280</v>
      </c>
      <c r="K262" t="s">
        <v>138</v>
      </c>
      <c r="L262" t="s">
        <v>139</v>
      </c>
      <c r="N262" t="s">
        <v>1603</v>
      </c>
      <c r="O262" t="s">
        <v>163</v>
      </c>
      <c r="P262" t="s">
        <v>163</v>
      </c>
      <c r="Q262" t="s">
        <v>1724</v>
      </c>
      <c r="S262" t="s">
        <v>144</v>
      </c>
      <c r="T262" t="s">
        <v>215</v>
      </c>
      <c r="V262" t="s">
        <v>216</v>
      </c>
      <c r="W262" t="s">
        <v>37</v>
      </c>
      <c r="X262" s="6" t="s">
        <v>217</v>
      </c>
      <c r="Y262" s="6"/>
      <c r="Z262" t="s">
        <v>148</v>
      </c>
      <c r="AA262" t="s">
        <v>149</v>
      </c>
      <c r="AC262" t="s">
        <v>150</v>
      </c>
      <c r="AD262" s="6" t="s">
        <v>1725</v>
      </c>
      <c r="AF262" s="3">
        <v>36757</v>
      </c>
      <c r="AG262">
        <v>26</v>
      </c>
      <c r="AH262" t="b">
        <v>0</v>
      </c>
      <c r="AI262" t="b">
        <v>1</v>
      </c>
      <c r="AJ262" s="6" t="s">
        <v>1726</v>
      </c>
      <c r="AK262" s="6" t="s">
        <v>171</v>
      </c>
      <c r="AL262" t="b">
        <v>0</v>
      </c>
      <c r="AM262" s="6"/>
      <c r="AN262" s="6"/>
      <c r="AP262" t="b">
        <v>0</v>
      </c>
      <c r="AQ262" s="6"/>
      <c r="AR262" s="6"/>
      <c r="AT262" t="b">
        <v>0</v>
      </c>
      <c r="AU262" s="6"/>
      <c r="AV262" s="6"/>
      <c r="AX262" t="b">
        <v>0</v>
      </c>
      <c r="AY262" s="6"/>
      <c r="AZ262" s="6"/>
      <c r="BA262" t="b">
        <v>0</v>
      </c>
      <c r="BB262" s="6"/>
      <c r="BC262" t="b">
        <v>0</v>
      </c>
      <c r="BD262" s="6"/>
      <c r="BE262" s="6"/>
      <c r="BF262" t="b">
        <v>1</v>
      </c>
      <c r="BG262" s="6" t="s">
        <v>1727</v>
      </c>
      <c r="BH262" t="b">
        <v>1</v>
      </c>
      <c r="BI262" s="6" t="s">
        <v>1728</v>
      </c>
      <c r="BJ262" t="b">
        <v>0</v>
      </c>
      <c r="BK262" t="s">
        <v>1563</v>
      </c>
      <c r="BL262" t="b">
        <v>0</v>
      </c>
      <c r="BM262" t="b">
        <v>0</v>
      </c>
      <c r="BN262" t="b">
        <v>0</v>
      </c>
      <c r="BO262" t="b">
        <v>0</v>
      </c>
      <c r="BQ262" t="b">
        <v>0</v>
      </c>
      <c r="BR262" s="6"/>
      <c r="BT262" t="b">
        <v>0</v>
      </c>
      <c r="BU262" t="s">
        <v>1564</v>
      </c>
      <c r="BV262" t="s">
        <v>504</v>
      </c>
      <c r="BW262" t="s">
        <v>171</v>
      </c>
      <c r="BY262" s="6" t="s">
        <v>1729</v>
      </c>
      <c r="BZ262">
        <v>1</v>
      </c>
      <c r="CB262" s="7">
        <v>46315.0537962963</v>
      </c>
    </row>
    <row r="263" spans="1:80">
      <c r="A263" s="6" t="s">
        <v>1730</v>
      </c>
      <c r="B263" t="s">
        <v>491</v>
      </c>
      <c r="C263" s="6" t="s">
        <v>1552</v>
      </c>
      <c r="D263" s="6"/>
      <c r="E263" t="s">
        <v>1553</v>
      </c>
      <c r="F263" t="s">
        <v>1554</v>
      </c>
      <c r="G263" s="6">
        <v>30</v>
      </c>
      <c r="H263" s="6"/>
      <c r="I263" t="s">
        <v>491</v>
      </c>
      <c r="J263" s="3">
        <v>46280</v>
      </c>
      <c r="K263" t="s">
        <v>138</v>
      </c>
      <c r="L263" t="s">
        <v>139</v>
      </c>
      <c r="N263" t="s">
        <v>1603</v>
      </c>
      <c r="O263" t="s">
        <v>163</v>
      </c>
      <c r="P263" t="s">
        <v>163</v>
      </c>
      <c r="Q263" t="s">
        <v>1731</v>
      </c>
      <c r="S263" t="s">
        <v>144</v>
      </c>
      <c r="T263" t="s">
        <v>1732</v>
      </c>
      <c r="V263" t="s">
        <v>410</v>
      </c>
      <c r="W263" t="s">
        <v>39</v>
      </c>
      <c r="X263" s="6" t="s">
        <v>1733</v>
      </c>
      <c r="Y263" s="6"/>
      <c r="Z263" t="s">
        <v>148</v>
      </c>
      <c r="AA263" t="s">
        <v>205</v>
      </c>
      <c r="AC263" t="s">
        <v>150</v>
      </c>
      <c r="AD263" s="6" t="s">
        <v>1734</v>
      </c>
      <c r="AF263" s="3">
        <v>33455</v>
      </c>
      <c r="AG263">
        <v>35</v>
      </c>
      <c r="AH263" t="b">
        <v>0</v>
      </c>
      <c r="AI263" t="b">
        <v>1</v>
      </c>
      <c r="AJ263" s="6" t="s">
        <v>1735</v>
      </c>
      <c r="AK263" s="6" t="s">
        <v>171</v>
      </c>
      <c r="AL263" t="b">
        <v>0</v>
      </c>
      <c r="AM263" s="6"/>
      <c r="AN263" s="6"/>
      <c r="AP263" t="b">
        <v>0</v>
      </c>
      <c r="AQ263" s="6"/>
      <c r="AR263" s="6"/>
      <c r="AT263" t="b">
        <v>0</v>
      </c>
      <c r="AU263" s="6"/>
      <c r="AV263" s="6"/>
      <c r="AX263" t="b">
        <v>0</v>
      </c>
      <c r="AY263" s="6"/>
      <c r="AZ263" s="6"/>
      <c r="BA263" t="b">
        <v>0</v>
      </c>
      <c r="BB263" s="6"/>
      <c r="BC263" t="b">
        <v>0</v>
      </c>
      <c r="BD263" s="6"/>
      <c r="BE263" s="6"/>
      <c r="BF263" t="b">
        <v>1</v>
      </c>
      <c r="BG263" s="6" t="s">
        <v>1736</v>
      </c>
      <c r="BH263" t="b">
        <v>1</v>
      </c>
      <c r="BI263" s="6" t="s">
        <v>1737</v>
      </c>
      <c r="BJ263" t="b">
        <v>0</v>
      </c>
      <c r="BK263" t="s">
        <v>1563</v>
      </c>
      <c r="BL263" t="b">
        <v>0</v>
      </c>
      <c r="BM263" t="b">
        <v>0</v>
      </c>
      <c r="BN263" t="b">
        <v>0</v>
      </c>
      <c r="BO263" t="b">
        <v>0</v>
      </c>
      <c r="BQ263" t="b">
        <v>0</v>
      </c>
      <c r="BR263" s="6"/>
      <c r="BT263" t="b">
        <v>0</v>
      </c>
      <c r="BU263" t="s">
        <v>1564</v>
      </c>
      <c r="BV263" t="s">
        <v>504</v>
      </c>
      <c r="BW263" t="s">
        <v>154</v>
      </c>
      <c r="BX263" t="s">
        <v>1646</v>
      </c>
      <c r="BY263" s="6" t="s">
        <v>1738</v>
      </c>
      <c r="BZ263">
        <v>1</v>
      </c>
      <c r="CA263" t="s">
        <v>157</v>
      </c>
      <c r="CB263" s="7">
        <v>46315.0537962963</v>
      </c>
    </row>
    <row r="264" spans="1:80">
      <c r="A264" s="6" t="s">
        <v>1739</v>
      </c>
      <c r="B264" t="s">
        <v>491</v>
      </c>
      <c r="C264" s="6" t="s">
        <v>1552</v>
      </c>
      <c r="D264" s="6"/>
      <c r="E264" t="s">
        <v>1553</v>
      </c>
      <c r="F264" t="s">
        <v>1554</v>
      </c>
      <c r="G264" s="6">
        <v>31</v>
      </c>
      <c r="H264" s="6"/>
      <c r="I264" t="s">
        <v>491</v>
      </c>
      <c r="J264" s="3">
        <v>46280</v>
      </c>
      <c r="K264" t="s">
        <v>138</v>
      </c>
      <c r="L264" t="s">
        <v>139</v>
      </c>
      <c r="N264" t="s">
        <v>1740</v>
      </c>
      <c r="Q264" t="s">
        <v>1741</v>
      </c>
      <c r="S264" t="s">
        <v>144</v>
      </c>
      <c r="T264" t="s">
        <v>460</v>
      </c>
      <c r="V264" t="s">
        <v>461</v>
      </c>
      <c r="W264" t="s">
        <v>37</v>
      </c>
      <c r="X264" s="6" t="s">
        <v>462</v>
      </c>
      <c r="Y264" s="6"/>
      <c r="Z264" t="s">
        <v>148</v>
      </c>
      <c r="AA264" t="s">
        <v>149</v>
      </c>
      <c r="AC264" t="s">
        <v>150</v>
      </c>
      <c r="AD264" s="6" t="s">
        <v>1742</v>
      </c>
      <c r="AF264" s="3">
        <v>24894</v>
      </c>
      <c r="AG264">
        <v>58</v>
      </c>
      <c r="AH264" t="b">
        <v>0</v>
      </c>
      <c r="AI264" t="b">
        <v>1</v>
      </c>
      <c r="AJ264" s="6" t="s">
        <v>1743</v>
      </c>
      <c r="AK264" s="6" t="s">
        <v>171</v>
      </c>
      <c r="AL264" t="b">
        <v>0</v>
      </c>
      <c r="AM264" s="6"/>
      <c r="AN264" s="6"/>
      <c r="AP264" t="b">
        <v>0</v>
      </c>
      <c r="AQ264" s="6"/>
      <c r="AR264" s="6"/>
      <c r="AT264" t="b">
        <v>0</v>
      </c>
      <c r="AU264" s="6"/>
      <c r="AV264" s="6"/>
      <c r="AX264" t="b">
        <v>0</v>
      </c>
      <c r="AY264" s="6"/>
      <c r="AZ264" s="6"/>
      <c r="BA264" t="b">
        <v>0</v>
      </c>
      <c r="BB264" s="6"/>
      <c r="BC264" t="b">
        <v>0</v>
      </c>
      <c r="BD264" s="6"/>
      <c r="BE264" s="6"/>
      <c r="BF264" t="b">
        <v>1</v>
      </c>
      <c r="BG264" s="6" t="s">
        <v>1744</v>
      </c>
      <c r="BH264" t="b">
        <v>1</v>
      </c>
      <c r="BI264" s="6" t="s">
        <v>1745</v>
      </c>
      <c r="BJ264" t="b">
        <v>0</v>
      </c>
      <c r="BK264" t="s">
        <v>1563</v>
      </c>
      <c r="BL264" t="b">
        <v>0</v>
      </c>
      <c r="BM264" t="b">
        <v>0</v>
      </c>
      <c r="BN264" t="b">
        <v>0</v>
      </c>
      <c r="BO264" t="b">
        <v>0</v>
      </c>
      <c r="BQ264" t="b">
        <v>0</v>
      </c>
      <c r="BR264" s="6"/>
      <c r="BT264" t="b">
        <v>0</v>
      </c>
      <c r="BU264" t="s">
        <v>1564</v>
      </c>
      <c r="BV264" t="s">
        <v>504</v>
      </c>
      <c r="BW264" t="s">
        <v>171</v>
      </c>
      <c r="BX264" t="s">
        <v>51</v>
      </c>
      <c r="BY264" s="6" t="s">
        <v>1746</v>
      </c>
      <c r="BZ264">
        <v>1</v>
      </c>
      <c r="CB264" s="7">
        <v>46315.0537962963</v>
      </c>
    </row>
    <row r="265" spans="1:80">
      <c r="A265" s="6" t="s">
        <v>1747</v>
      </c>
      <c r="B265" t="s">
        <v>491</v>
      </c>
      <c r="C265" s="6" t="s">
        <v>1552</v>
      </c>
      <c r="D265" s="6"/>
      <c r="E265" t="s">
        <v>1553</v>
      </c>
      <c r="F265" t="s">
        <v>1554</v>
      </c>
      <c r="G265" s="6">
        <v>32</v>
      </c>
      <c r="H265" s="6"/>
      <c r="I265" t="s">
        <v>491</v>
      </c>
      <c r="J265" s="3">
        <v>46280</v>
      </c>
      <c r="K265" t="s">
        <v>138</v>
      </c>
      <c r="L265" t="s">
        <v>139</v>
      </c>
      <c r="N265" t="s">
        <v>855</v>
      </c>
      <c r="Q265" t="s">
        <v>1748</v>
      </c>
      <c r="S265" t="s">
        <v>144</v>
      </c>
      <c r="T265" t="s">
        <v>498</v>
      </c>
      <c r="V265" t="s">
        <v>499</v>
      </c>
      <c r="W265" t="s">
        <v>35</v>
      </c>
      <c r="X265" s="6" t="s">
        <v>500</v>
      </c>
      <c r="Y265" s="6"/>
      <c r="Z265" t="s">
        <v>148</v>
      </c>
      <c r="AA265" t="s">
        <v>149</v>
      </c>
      <c r="AC265" t="s">
        <v>150</v>
      </c>
      <c r="AD265" s="6" t="s">
        <v>1749</v>
      </c>
      <c r="AF265" s="3">
        <v>37682</v>
      </c>
      <c r="AG265">
        <v>23</v>
      </c>
      <c r="AH265" t="b">
        <v>0</v>
      </c>
      <c r="AI265" t="b">
        <v>1</v>
      </c>
      <c r="AJ265" s="6" t="s">
        <v>1750</v>
      </c>
      <c r="AK265" s="6" t="s">
        <v>171</v>
      </c>
      <c r="AL265" t="b">
        <v>0</v>
      </c>
      <c r="AM265" s="6"/>
      <c r="AN265" s="6"/>
      <c r="AP265" t="b">
        <v>0</v>
      </c>
      <c r="AQ265" s="6"/>
      <c r="AR265" s="6"/>
      <c r="AT265" t="b">
        <v>0</v>
      </c>
      <c r="AU265" s="6"/>
      <c r="AV265" s="6"/>
      <c r="AX265" t="b">
        <v>0</v>
      </c>
      <c r="AY265" s="6"/>
      <c r="AZ265" s="6"/>
      <c r="BA265" t="b">
        <v>0</v>
      </c>
      <c r="BB265" s="6"/>
      <c r="BC265" t="b">
        <v>0</v>
      </c>
      <c r="BD265" s="6"/>
      <c r="BE265" s="6"/>
      <c r="BF265" t="b">
        <v>1</v>
      </c>
      <c r="BG265" s="6" t="s">
        <v>1751</v>
      </c>
      <c r="BH265" t="b">
        <v>1</v>
      </c>
      <c r="BI265" s="6" t="s">
        <v>1752</v>
      </c>
      <c r="BJ265" t="b">
        <v>0</v>
      </c>
      <c r="BK265" t="s">
        <v>1563</v>
      </c>
      <c r="BL265" t="b">
        <v>0</v>
      </c>
      <c r="BM265" t="b">
        <v>0</v>
      </c>
      <c r="BN265" t="b">
        <v>0</v>
      </c>
      <c r="BO265" t="b">
        <v>0</v>
      </c>
      <c r="BQ265" t="b">
        <v>0</v>
      </c>
      <c r="BR265" s="6"/>
      <c r="BT265" t="b">
        <v>0</v>
      </c>
      <c r="BU265" t="s">
        <v>1564</v>
      </c>
      <c r="BV265" t="s">
        <v>504</v>
      </c>
      <c r="BW265" t="s">
        <v>154</v>
      </c>
      <c r="BX265" t="s">
        <v>47</v>
      </c>
      <c r="BY265" s="6" t="s">
        <v>1753</v>
      </c>
      <c r="BZ265">
        <v>1</v>
      </c>
      <c r="CA265" t="s">
        <v>157</v>
      </c>
      <c r="CB265" s="7">
        <v>46315.0537962963</v>
      </c>
    </row>
    <row r="266" spans="1:80">
      <c r="A266" s="6" t="s">
        <v>1754</v>
      </c>
      <c r="B266" t="s">
        <v>491</v>
      </c>
      <c r="C266" s="6" t="s">
        <v>1552</v>
      </c>
      <c r="D266" s="6"/>
      <c r="E266" t="s">
        <v>1553</v>
      </c>
      <c r="F266" t="s">
        <v>1554</v>
      </c>
      <c r="G266" s="6">
        <v>33</v>
      </c>
      <c r="H266" s="6"/>
      <c r="I266" t="s">
        <v>491</v>
      </c>
      <c r="J266" s="3">
        <v>46280</v>
      </c>
      <c r="K266" t="s">
        <v>138</v>
      </c>
      <c r="L266" t="s">
        <v>139</v>
      </c>
      <c r="N266" t="s">
        <v>535</v>
      </c>
      <c r="O266" t="s">
        <v>1180</v>
      </c>
      <c r="P266" t="s">
        <v>1180</v>
      </c>
      <c r="Q266" t="s">
        <v>536</v>
      </c>
      <c r="S266" t="s">
        <v>144</v>
      </c>
      <c r="T266" t="s">
        <v>537</v>
      </c>
      <c r="V266" t="s">
        <v>538</v>
      </c>
      <c r="W266" t="s">
        <v>40</v>
      </c>
      <c r="X266" s="6" t="s">
        <v>539</v>
      </c>
      <c r="Y266" s="6"/>
      <c r="Z266" t="s">
        <v>148</v>
      </c>
      <c r="AA266" t="s">
        <v>205</v>
      </c>
      <c r="AC266" t="s">
        <v>150</v>
      </c>
      <c r="AD266" s="6" t="s">
        <v>1181</v>
      </c>
      <c r="AF266" s="3">
        <v>34510</v>
      </c>
      <c r="AG266">
        <v>32</v>
      </c>
      <c r="AH266" t="b">
        <v>0</v>
      </c>
      <c r="AI266" t="b">
        <v>1</v>
      </c>
      <c r="AJ266" s="6" t="s">
        <v>540</v>
      </c>
      <c r="AK266" s="6" t="s">
        <v>171</v>
      </c>
      <c r="AL266" t="b">
        <v>0</v>
      </c>
      <c r="AM266" s="6"/>
      <c r="AN266" s="6"/>
      <c r="AP266" t="b">
        <v>0</v>
      </c>
      <c r="AQ266" s="6"/>
      <c r="AR266" s="6"/>
      <c r="AT266" t="b">
        <v>0</v>
      </c>
      <c r="AU266" s="6"/>
      <c r="AV266" s="6"/>
      <c r="AX266" t="b">
        <v>0</v>
      </c>
      <c r="AY266" s="6"/>
      <c r="AZ266" s="6"/>
      <c r="BA266" t="b">
        <v>0</v>
      </c>
      <c r="BB266" s="6"/>
      <c r="BC266" t="b">
        <v>0</v>
      </c>
      <c r="BD266" s="6"/>
      <c r="BE266" s="6"/>
      <c r="BF266" t="b">
        <v>1</v>
      </c>
      <c r="BG266" s="6" t="s">
        <v>1755</v>
      </c>
      <c r="BH266" t="b">
        <v>1</v>
      </c>
      <c r="BI266" s="6" t="s">
        <v>541</v>
      </c>
      <c r="BJ266" t="b">
        <v>0</v>
      </c>
      <c r="BK266" t="s">
        <v>1563</v>
      </c>
      <c r="BL266" t="b">
        <v>0</v>
      </c>
      <c r="BM266" t="b">
        <v>0</v>
      </c>
      <c r="BN266" t="b">
        <v>0</v>
      </c>
      <c r="BO266" t="b">
        <v>0</v>
      </c>
      <c r="BQ266" t="b">
        <v>0</v>
      </c>
      <c r="BR266" s="6"/>
      <c r="BT266" t="b">
        <v>0</v>
      </c>
      <c r="BU266" t="s">
        <v>1564</v>
      </c>
      <c r="BV266" t="s">
        <v>504</v>
      </c>
      <c r="BW266" t="s">
        <v>154</v>
      </c>
      <c r="BX266" t="s">
        <v>1756</v>
      </c>
      <c r="BY266" s="6" t="s">
        <v>542</v>
      </c>
      <c r="BZ266">
        <v>1</v>
      </c>
      <c r="CA266" t="s">
        <v>157</v>
      </c>
      <c r="CB266" s="7">
        <v>46315.0537962963</v>
      </c>
    </row>
    <row r="267" spans="1:80">
      <c r="A267" s="6" t="s">
        <v>1757</v>
      </c>
      <c r="B267" t="s">
        <v>491</v>
      </c>
      <c r="C267" s="6" t="s">
        <v>1552</v>
      </c>
      <c r="D267" s="6"/>
      <c r="E267" t="s">
        <v>1553</v>
      </c>
      <c r="F267" t="s">
        <v>1554</v>
      </c>
      <c r="G267" s="6">
        <v>34</v>
      </c>
      <c r="H267" s="6"/>
      <c r="I267" t="s">
        <v>491</v>
      </c>
      <c r="J267" s="3">
        <v>46280</v>
      </c>
      <c r="K267" t="s">
        <v>138</v>
      </c>
      <c r="L267" t="s">
        <v>139</v>
      </c>
      <c r="N267" t="s">
        <v>331</v>
      </c>
      <c r="Q267" t="s">
        <v>1758</v>
      </c>
      <c r="S267" t="s">
        <v>144</v>
      </c>
      <c r="T267" t="s">
        <v>1759</v>
      </c>
      <c r="V267" t="s">
        <v>1760</v>
      </c>
      <c r="W267" t="s">
        <v>40</v>
      </c>
      <c r="X267" s="6" t="s">
        <v>1761</v>
      </c>
      <c r="Y267" s="6"/>
      <c r="Z267" t="s">
        <v>148</v>
      </c>
      <c r="AA267" t="s">
        <v>205</v>
      </c>
      <c r="AC267" t="s">
        <v>150</v>
      </c>
      <c r="AD267" s="6" t="s">
        <v>1762</v>
      </c>
      <c r="AF267" s="3">
        <v>23598</v>
      </c>
      <c r="AG267">
        <v>62</v>
      </c>
      <c r="AH267" t="b">
        <v>0</v>
      </c>
      <c r="AI267" t="b">
        <v>1</v>
      </c>
      <c r="AJ267" s="6" t="s">
        <v>1763</v>
      </c>
      <c r="AK267" s="6" t="s">
        <v>171</v>
      </c>
      <c r="AL267" t="b">
        <v>0</v>
      </c>
      <c r="AM267" s="6"/>
      <c r="AN267" s="6"/>
      <c r="AP267" t="b">
        <v>0</v>
      </c>
      <c r="AQ267" s="6"/>
      <c r="AR267" s="6"/>
      <c r="AT267" t="b">
        <v>0</v>
      </c>
      <c r="AU267" s="6"/>
      <c r="AV267" s="6"/>
      <c r="AX267" t="b">
        <v>0</v>
      </c>
      <c r="AY267" s="6"/>
      <c r="AZ267" s="6"/>
      <c r="BA267" t="b">
        <v>0</v>
      </c>
      <c r="BB267" s="6"/>
      <c r="BC267" t="b">
        <v>0</v>
      </c>
      <c r="BD267" s="6"/>
      <c r="BE267" s="6"/>
      <c r="BF267" t="b">
        <v>1</v>
      </c>
      <c r="BG267" s="6" t="s">
        <v>1764</v>
      </c>
      <c r="BH267" t="b">
        <v>1</v>
      </c>
      <c r="BI267" s="6" t="s">
        <v>1765</v>
      </c>
      <c r="BJ267" t="b">
        <v>0</v>
      </c>
      <c r="BK267" t="s">
        <v>1563</v>
      </c>
      <c r="BL267" t="b">
        <v>0</v>
      </c>
      <c r="BM267" t="b">
        <v>0</v>
      </c>
      <c r="BN267" t="b">
        <v>0</v>
      </c>
      <c r="BO267" t="b">
        <v>0</v>
      </c>
      <c r="BQ267" t="b">
        <v>0</v>
      </c>
      <c r="BR267" s="6"/>
      <c r="BT267" t="b">
        <v>0</v>
      </c>
      <c r="BU267" t="s">
        <v>1564</v>
      </c>
      <c r="BV267" t="s">
        <v>504</v>
      </c>
      <c r="BW267" t="s">
        <v>154</v>
      </c>
      <c r="BX267" t="s">
        <v>43</v>
      </c>
      <c r="BY267" s="6" t="s">
        <v>1766</v>
      </c>
      <c r="BZ267">
        <v>1</v>
      </c>
      <c r="CA267" t="s">
        <v>157</v>
      </c>
      <c r="CB267" s="7">
        <v>46315.0537962963</v>
      </c>
    </row>
    <row r="268" spans="1:80">
      <c r="A268" s="6" t="s">
        <v>1767</v>
      </c>
      <c r="B268" t="s">
        <v>491</v>
      </c>
      <c r="C268" s="6" t="s">
        <v>1552</v>
      </c>
      <c r="D268" s="6"/>
      <c r="E268" t="s">
        <v>1553</v>
      </c>
      <c r="F268" t="s">
        <v>1554</v>
      </c>
      <c r="G268" s="6">
        <v>35</v>
      </c>
      <c r="H268" s="6"/>
      <c r="I268" t="s">
        <v>491</v>
      </c>
      <c r="J268" s="3">
        <v>46280</v>
      </c>
      <c r="K268" t="s">
        <v>138</v>
      </c>
      <c r="L268" t="s">
        <v>139</v>
      </c>
      <c r="N268" t="s">
        <v>507</v>
      </c>
      <c r="O268" t="s">
        <v>1180</v>
      </c>
      <c r="P268" t="s">
        <v>1180</v>
      </c>
      <c r="Q268" t="s">
        <v>508</v>
      </c>
      <c r="S268" t="s">
        <v>144</v>
      </c>
      <c r="T268" t="s">
        <v>509</v>
      </c>
      <c r="V268" t="s">
        <v>510</v>
      </c>
      <c r="W268" t="s">
        <v>37</v>
      </c>
      <c r="X268" s="6" t="s">
        <v>511</v>
      </c>
      <c r="Y268" s="6"/>
      <c r="Z268" t="s">
        <v>148</v>
      </c>
      <c r="AA268" t="s">
        <v>149</v>
      </c>
      <c r="AC268" t="s">
        <v>150</v>
      </c>
      <c r="AD268" s="6" t="s">
        <v>1210</v>
      </c>
      <c r="AF268" s="3">
        <v>37605</v>
      </c>
      <c r="AG268">
        <v>23</v>
      </c>
      <c r="AH268" t="b">
        <v>0</v>
      </c>
      <c r="AI268" t="b">
        <v>1</v>
      </c>
      <c r="AJ268" s="6" t="s">
        <v>512</v>
      </c>
      <c r="AK268" s="6" t="s">
        <v>171</v>
      </c>
      <c r="AL268" t="b">
        <v>0</v>
      </c>
      <c r="AM268" s="6"/>
      <c r="AN268" s="6"/>
      <c r="AP268" t="b">
        <v>0</v>
      </c>
      <c r="AQ268" s="6"/>
      <c r="AR268" s="6"/>
      <c r="AT268" t="b">
        <v>0</v>
      </c>
      <c r="AU268" s="6"/>
      <c r="AV268" s="6"/>
      <c r="AX268" t="b">
        <v>0</v>
      </c>
      <c r="AY268" s="6"/>
      <c r="AZ268" s="6"/>
      <c r="BA268" t="b">
        <v>0</v>
      </c>
      <c r="BB268" s="6"/>
      <c r="BC268" t="b">
        <v>0</v>
      </c>
      <c r="BD268" s="6"/>
      <c r="BE268" s="6"/>
      <c r="BF268" t="b">
        <v>1</v>
      </c>
      <c r="BG268" s="6" t="s">
        <v>1768</v>
      </c>
      <c r="BH268" t="b">
        <v>1</v>
      </c>
      <c r="BI268" s="6" t="s">
        <v>513</v>
      </c>
      <c r="BJ268" t="b">
        <v>0</v>
      </c>
      <c r="BK268" t="s">
        <v>1563</v>
      </c>
      <c r="BL268" t="b">
        <v>0</v>
      </c>
      <c r="BM268" t="b">
        <v>0</v>
      </c>
      <c r="BN268" t="b">
        <v>0</v>
      </c>
      <c r="BO268" t="b">
        <v>0</v>
      </c>
      <c r="BQ268" t="b">
        <v>0</v>
      </c>
      <c r="BR268" s="6"/>
      <c r="BT268" t="b">
        <v>0</v>
      </c>
      <c r="BU268" t="s">
        <v>1564</v>
      </c>
      <c r="BV268" t="s">
        <v>504</v>
      </c>
      <c r="BW268" t="s">
        <v>154</v>
      </c>
      <c r="BX268" t="s">
        <v>340</v>
      </c>
      <c r="BY268" s="6" t="s">
        <v>514</v>
      </c>
      <c r="BZ268">
        <v>1</v>
      </c>
      <c r="CA268" t="s">
        <v>157</v>
      </c>
      <c r="CB268" s="7">
        <v>46315.0537962963</v>
      </c>
    </row>
    <row r="269" spans="1:80">
      <c r="A269" s="6" t="s">
        <v>1769</v>
      </c>
      <c r="B269" t="s">
        <v>491</v>
      </c>
      <c r="C269" s="6" t="s">
        <v>1552</v>
      </c>
      <c r="D269" s="6"/>
      <c r="E269" t="s">
        <v>1553</v>
      </c>
      <c r="F269" t="s">
        <v>1554</v>
      </c>
      <c r="G269" s="6">
        <v>36</v>
      </c>
      <c r="H269" s="6"/>
      <c r="I269" t="s">
        <v>491</v>
      </c>
      <c r="J269" s="3">
        <v>46280</v>
      </c>
      <c r="K269" t="s">
        <v>138</v>
      </c>
      <c r="L269" t="s">
        <v>139</v>
      </c>
      <c r="N269" t="s">
        <v>1770</v>
      </c>
      <c r="Q269" t="s">
        <v>1771</v>
      </c>
      <c r="S269" t="s">
        <v>144</v>
      </c>
      <c r="T269" t="s">
        <v>1772</v>
      </c>
      <c r="V269" t="s">
        <v>1773</v>
      </c>
      <c r="W269" t="s">
        <v>38</v>
      </c>
      <c r="X269" s="6" t="s">
        <v>1774</v>
      </c>
      <c r="Y269" s="6"/>
      <c r="Z269" t="s">
        <v>148</v>
      </c>
      <c r="AA269" t="s">
        <v>205</v>
      </c>
      <c r="AC269" t="s">
        <v>150</v>
      </c>
      <c r="AD269" s="6" t="s">
        <v>1775</v>
      </c>
      <c r="AF269" s="3">
        <v>17619</v>
      </c>
      <c r="AG269">
        <v>78</v>
      </c>
      <c r="AH269" t="b">
        <v>0</v>
      </c>
      <c r="AI269" t="b">
        <v>1</v>
      </c>
      <c r="AJ269" s="6" t="s">
        <v>1776</v>
      </c>
      <c r="AK269" s="6" t="s">
        <v>171</v>
      </c>
      <c r="AL269" t="b">
        <v>0</v>
      </c>
      <c r="AM269" s="6"/>
      <c r="AN269" s="6"/>
      <c r="AP269" t="b">
        <v>0</v>
      </c>
      <c r="AQ269" s="6"/>
      <c r="AR269" s="6"/>
      <c r="AT269" t="b">
        <v>0</v>
      </c>
      <c r="AU269" s="6"/>
      <c r="AV269" s="6"/>
      <c r="AX269" t="b">
        <v>0</v>
      </c>
      <c r="AY269" s="6"/>
      <c r="AZ269" s="6"/>
      <c r="BA269" t="b">
        <v>0</v>
      </c>
      <c r="BB269" s="6"/>
      <c r="BC269" t="b">
        <v>0</v>
      </c>
      <c r="BD269" s="6"/>
      <c r="BE269" s="6"/>
      <c r="BF269" t="b">
        <v>1</v>
      </c>
      <c r="BG269" s="6" t="s">
        <v>1777</v>
      </c>
      <c r="BH269" t="b">
        <v>1</v>
      </c>
      <c r="BI269" s="6" t="s">
        <v>1778</v>
      </c>
      <c r="BJ269" t="b">
        <v>0</v>
      </c>
      <c r="BK269" t="s">
        <v>1563</v>
      </c>
      <c r="BL269" t="b">
        <v>0</v>
      </c>
      <c r="BM269" t="b">
        <v>0</v>
      </c>
      <c r="BN269" t="b">
        <v>0</v>
      </c>
      <c r="BO269" t="b">
        <v>0</v>
      </c>
      <c r="BQ269" t="b">
        <v>0</v>
      </c>
      <c r="BR269" s="6"/>
      <c r="BT269" t="b">
        <v>0</v>
      </c>
      <c r="BU269" t="s">
        <v>1564</v>
      </c>
      <c r="BV269" t="s">
        <v>504</v>
      </c>
      <c r="BW269" t="s">
        <v>154</v>
      </c>
      <c r="BX269" t="s">
        <v>1646</v>
      </c>
      <c r="BY269" s="6" t="s">
        <v>1779</v>
      </c>
      <c r="BZ269">
        <v>1</v>
      </c>
      <c r="CA269" t="s">
        <v>157</v>
      </c>
      <c r="CB269" s="7">
        <v>46315.0537962963</v>
      </c>
    </row>
    <row r="270" spans="1:80">
      <c r="A270" s="6" t="s">
        <v>1780</v>
      </c>
      <c r="B270" t="s">
        <v>491</v>
      </c>
      <c r="C270" s="6" t="s">
        <v>1552</v>
      </c>
      <c r="D270" s="6"/>
      <c r="E270" t="s">
        <v>1553</v>
      </c>
      <c r="F270" t="s">
        <v>1554</v>
      </c>
      <c r="G270" s="6">
        <v>37</v>
      </c>
      <c r="H270" s="6"/>
      <c r="I270" t="s">
        <v>491</v>
      </c>
      <c r="J270" s="3">
        <v>46280</v>
      </c>
      <c r="K270" t="s">
        <v>138</v>
      </c>
      <c r="L270" t="s">
        <v>139</v>
      </c>
      <c r="N270" t="s">
        <v>433</v>
      </c>
      <c r="O270" t="s">
        <v>259</v>
      </c>
      <c r="P270" t="s">
        <v>259</v>
      </c>
      <c r="Q270" t="s">
        <v>1781</v>
      </c>
      <c r="S270" t="s">
        <v>144</v>
      </c>
      <c r="T270" t="s">
        <v>409</v>
      </c>
      <c r="V270" t="s">
        <v>410</v>
      </c>
      <c r="W270" t="s">
        <v>39</v>
      </c>
      <c r="X270" s="6" t="s">
        <v>411</v>
      </c>
      <c r="Y270" s="6"/>
      <c r="Z270" t="s">
        <v>148</v>
      </c>
      <c r="AA270" t="s">
        <v>149</v>
      </c>
      <c r="AC270" t="s">
        <v>150</v>
      </c>
      <c r="AD270" s="6" t="s">
        <v>1099</v>
      </c>
      <c r="AF270" s="3">
        <v>20494</v>
      </c>
      <c r="AG270">
        <v>70</v>
      </c>
      <c r="AH270" t="b">
        <v>0</v>
      </c>
      <c r="AI270" t="b">
        <v>1</v>
      </c>
      <c r="AJ270" s="6" t="s">
        <v>1782</v>
      </c>
      <c r="AK270" s="6" t="s">
        <v>171</v>
      </c>
      <c r="AL270" t="b">
        <v>0</v>
      </c>
      <c r="AM270" s="6"/>
      <c r="AN270" s="6"/>
      <c r="AP270" t="b">
        <v>0</v>
      </c>
      <c r="AQ270" s="6"/>
      <c r="AR270" s="6"/>
      <c r="AT270" t="b">
        <v>0</v>
      </c>
      <c r="AU270" s="6"/>
      <c r="AV270" s="6"/>
      <c r="AX270" t="b">
        <v>0</v>
      </c>
      <c r="AY270" s="6"/>
      <c r="AZ270" s="6"/>
      <c r="BA270" t="b">
        <v>0</v>
      </c>
      <c r="BB270" s="6"/>
      <c r="BC270" t="b">
        <v>0</v>
      </c>
      <c r="BD270" s="6"/>
      <c r="BE270" s="6"/>
      <c r="BF270" t="b">
        <v>1</v>
      </c>
      <c r="BG270" s="6" t="s">
        <v>1783</v>
      </c>
      <c r="BH270" t="b">
        <v>1</v>
      </c>
      <c r="BI270" s="6" t="s">
        <v>1784</v>
      </c>
      <c r="BJ270" t="b">
        <v>0</v>
      </c>
      <c r="BK270" t="s">
        <v>1563</v>
      </c>
      <c r="BL270" t="b">
        <v>0</v>
      </c>
      <c r="BM270" t="b">
        <v>0</v>
      </c>
      <c r="BN270" t="b">
        <v>0</v>
      </c>
      <c r="BO270" t="b">
        <v>0</v>
      </c>
      <c r="BQ270" t="b">
        <v>0</v>
      </c>
      <c r="BR270" s="6"/>
      <c r="BT270" t="b">
        <v>0</v>
      </c>
      <c r="BU270" t="s">
        <v>1564</v>
      </c>
      <c r="BV270" t="s">
        <v>504</v>
      </c>
      <c r="BW270" t="s">
        <v>171</v>
      </c>
      <c r="BX270" t="s">
        <v>51</v>
      </c>
      <c r="BY270" s="6" t="s">
        <v>1785</v>
      </c>
      <c r="BZ270">
        <v>1</v>
      </c>
      <c r="CB270" s="7">
        <v>46315.0537962963</v>
      </c>
    </row>
    <row r="271" spans="1:80">
      <c r="A271" s="6" t="s">
        <v>1786</v>
      </c>
      <c r="B271" t="s">
        <v>491</v>
      </c>
      <c r="C271" s="6" t="s">
        <v>1552</v>
      </c>
      <c r="D271" s="6"/>
      <c r="E271" t="s">
        <v>1553</v>
      </c>
      <c r="F271" t="s">
        <v>1554</v>
      </c>
      <c r="G271" s="6">
        <v>38</v>
      </c>
      <c r="H271" s="6"/>
      <c r="I271" t="s">
        <v>491</v>
      </c>
      <c r="J271" s="3">
        <v>46280</v>
      </c>
      <c r="K271" t="s">
        <v>138</v>
      </c>
      <c r="L271" t="s">
        <v>139</v>
      </c>
      <c r="N271" t="s">
        <v>1787</v>
      </c>
      <c r="O271" t="s">
        <v>1180</v>
      </c>
      <c r="P271" t="s">
        <v>1180</v>
      </c>
      <c r="Q271" t="s">
        <v>1788</v>
      </c>
      <c r="S271" t="s">
        <v>144</v>
      </c>
      <c r="T271" t="s">
        <v>1789</v>
      </c>
      <c r="V271" t="s">
        <v>410</v>
      </c>
      <c r="W271" t="s">
        <v>39</v>
      </c>
      <c r="X271" s="6" t="s">
        <v>1790</v>
      </c>
      <c r="Y271" s="6"/>
      <c r="Z271" t="s">
        <v>148</v>
      </c>
      <c r="AA271" t="s">
        <v>205</v>
      </c>
      <c r="AC271" t="s">
        <v>150</v>
      </c>
      <c r="AD271" s="6" t="s">
        <v>1791</v>
      </c>
      <c r="AF271" s="3">
        <v>36114</v>
      </c>
      <c r="AG271">
        <v>27</v>
      </c>
      <c r="AH271" t="b">
        <v>0</v>
      </c>
      <c r="AI271" t="b">
        <v>1</v>
      </c>
      <c r="AJ271" s="6" t="s">
        <v>1792</v>
      </c>
      <c r="AK271" s="6" t="s">
        <v>171</v>
      </c>
      <c r="AL271" t="b">
        <v>0</v>
      </c>
      <c r="AM271" s="6"/>
      <c r="AN271" s="6"/>
      <c r="AP271" t="b">
        <v>0</v>
      </c>
      <c r="AQ271" s="6"/>
      <c r="AR271" s="6"/>
      <c r="AT271" t="b">
        <v>0</v>
      </c>
      <c r="AU271" s="6"/>
      <c r="AV271" s="6"/>
      <c r="AX271" t="b">
        <v>0</v>
      </c>
      <c r="AY271" s="6"/>
      <c r="AZ271" s="6"/>
      <c r="BA271" t="b">
        <v>0</v>
      </c>
      <c r="BB271" s="6"/>
      <c r="BC271" t="b">
        <v>0</v>
      </c>
      <c r="BD271" s="6"/>
      <c r="BE271" s="6"/>
      <c r="BF271" t="b">
        <v>1</v>
      </c>
      <c r="BG271" s="6" t="s">
        <v>1793</v>
      </c>
      <c r="BH271" t="b">
        <v>1</v>
      </c>
      <c r="BI271" s="6" t="s">
        <v>1794</v>
      </c>
      <c r="BJ271" t="b">
        <v>0</v>
      </c>
      <c r="BK271" t="s">
        <v>1563</v>
      </c>
      <c r="BL271" t="b">
        <v>0</v>
      </c>
      <c r="BM271" t="b">
        <v>0</v>
      </c>
      <c r="BN271" t="b">
        <v>0</v>
      </c>
      <c r="BO271" t="b">
        <v>0</v>
      </c>
      <c r="BQ271" t="b">
        <v>0</v>
      </c>
      <c r="BR271" s="6"/>
      <c r="BT271" t="b">
        <v>0</v>
      </c>
      <c r="BU271" t="s">
        <v>1564</v>
      </c>
      <c r="BV271" t="s">
        <v>504</v>
      </c>
      <c r="BW271" t="s">
        <v>154</v>
      </c>
      <c r="BX271" t="s">
        <v>1646</v>
      </c>
      <c r="BY271" s="6" t="s">
        <v>1795</v>
      </c>
      <c r="BZ271">
        <v>1</v>
      </c>
      <c r="CA271" t="s">
        <v>157</v>
      </c>
      <c r="CB271" s="7">
        <v>46315.0537962963</v>
      </c>
    </row>
    <row r="272" spans="1:80">
      <c r="A272" s="6" t="s">
        <v>1796</v>
      </c>
      <c r="B272" t="s">
        <v>491</v>
      </c>
      <c r="C272" s="6" t="s">
        <v>1552</v>
      </c>
      <c r="D272" s="6"/>
      <c r="E272" t="s">
        <v>1553</v>
      </c>
      <c r="F272" t="s">
        <v>1554</v>
      </c>
      <c r="G272" s="6">
        <v>39</v>
      </c>
      <c r="H272" s="6"/>
      <c r="I272" t="s">
        <v>491</v>
      </c>
      <c r="J272" s="3">
        <v>46280</v>
      </c>
      <c r="K272" t="s">
        <v>138</v>
      </c>
      <c r="L272" t="s">
        <v>139</v>
      </c>
      <c r="N272" t="s">
        <v>832</v>
      </c>
      <c r="O272" t="s">
        <v>224</v>
      </c>
      <c r="P272" t="s">
        <v>224</v>
      </c>
      <c r="Q272" t="s">
        <v>601</v>
      </c>
      <c r="S272" t="s">
        <v>144</v>
      </c>
      <c r="T272" t="s">
        <v>1278</v>
      </c>
      <c r="V272" t="s">
        <v>1279</v>
      </c>
      <c r="W272" t="s">
        <v>34</v>
      </c>
      <c r="X272" s="6" t="s">
        <v>1280</v>
      </c>
      <c r="Y272" s="6"/>
      <c r="Z272" t="s">
        <v>148</v>
      </c>
      <c r="AA272" t="s">
        <v>149</v>
      </c>
      <c r="AC272" t="s">
        <v>150</v>
      </c>
      <c r="AD272" s="6" t="s">
        <v>1281</v>
      </c>
      <c r="AF272" s="3">
        <v>28645</v>
      </c>
      <c r="AG272">
        <v>48</v>
      </c>
      <c r="AH272" t="b">
        <v>0</v>
      </c>
      <c r="AI272" t="b">
        <v>1</v>
      </c>
      <c r="AJ272" s="6" t="s">
        <v>1283</v>
      </c>
      <c r="AK272" s="6" t="s">
        <v>171</v>
      </c>
      <c r="AL272" t="b">
        <v>0</v>
      </c>
      <c r="AM272" s="6"/>
      <c r="AN272" s="6"/>
      <c r="AP272" t="b">
        <v>0</v>
      </c>
      <c r="AQ272" s="6"/>
      <c r="AR272" s="6"/>
      <c r="AT272" t="b">
        <v>0</v>
      </c>
      <c r="AU272" s="6"/>
      <c r="AV272" s="6"/>
      <c r="AX272" t="b">
        <v>0</v>
      </c>
      <c r="AY272" s="6"/>
      <c r="AZ272" s="6"/>
      <c r="BA272" t="b">
        <v>0</v>
      </c>
      <c r="BB272" s="6"/>
      <c r="BC272" t="b">
        <v>0</v>
      </c>
      <c r="BD272" s="6"/>
      <c r="BE272" s="6"/>
      <c r="BF272" t="b">
        <v>1</v>
      </c>
      <c r="BG272" s="6" t="s">
        <v>1797</v>
      </c>
      <c r="BH272" t="b">
        <v>1</v>
      </c>
      <c r="BI272" s="6" t="s">
        <v>1798</v>
      </c>
      <c r="BJ272" t="b">
        <v>0</v>
      </c>
      <c r="BK272" t="s">
        <v>1563</v>
      </c>
      <c r="BL272" t="b">
        <v>0</v>
      </c>
      <c r="BM272" t="b">
        <v>0</v>
      </c>
      <c r="BN272" t="b">
        <v>0</v>
      </c>
      <c r="BO272" t="b">
        <v>0</v>
      </c>
      <c r="BQ272" t="b">
        <v>0</v>
      </c>
      <c r="BR272" s="6"/>
      <c r="BT272" t="b">
        <v>0</v>
      </c>
      <c r="BU272" t="s">
        <v>1564</v>
      </c>
      <c r="BV272" t="s">
        <v>504</v>
      </c>
      <c r="BW272" t="s">
        <v>171</v>
      </c>
      <c r="BY272" s="6" t="s">
        <v>1284</v>
      </c>
      <c r="BZ272">
        <v>1</v>
      </c>
      <c r="CB272" s="7">
        <v>46315.0537962963</v>
      </c>
    </row>
    <row r="273" spans="1:80">
      <c r="A273" s="6" t="s">
        <v>1799</v>
      </c>
      <c r="B273" t="s">
        <v>491</v>
      </c>
      <c r="C273" s="6" t="s">
        <v>1552</v>
      </c>
      <c r="D273" s="6"/>
      <c r="E273" t="s">
        <v>1553</v>
      </c>
      <c r="F273" t="s">
        <v>1554</v>
      </c>
      <c r="G273" s="6">
        <v>40</v>
      </c>
      <c r="H273" s="6"/>
      <c r="I273" t="s">
        <v>491</v>
      </c>
      <c r="J273" s="3">
        <v>46280</v>
      </c>
      <c r="K273" t="s">
        <v>138</v>
      </c>
      <c r="L273" t="s">
        <v>139</v>
      </c>
      <c r="N273" t="s">
        <v>433</v>
      </c>
      <c r="O273" t="s">
        <v>434</v>
      </c>
      <c r="P273" t="s">
        <v>434</v>
      </c>
      <c r="Q273" t="s">
        <v>435</v>
      </c>
      <c r="S273" t="s">
        <v>144</v>
      </c>
      <c r="T273" t="s">
        <v>436</v>
      </c>
      <c r="V273" t="s">
        <v>437</v>
      </c>
      <c r="W273" t="s">
        <v>40</v>
      </c>
      <c r="X273" s="6" t="s">
        <v>438</v>
      </c>
      <c r="Y273" s="6"/>
      <c r="Z273" t="s">
        <v>148</v>
      </c>
      <c r="AA273" t="s">
        <v>149</v>
      </c>
      <c r="AC273" t="s">
        <v>150</v>
      </c>
      <c r="AD273" s="6" t="s">
        <v>796</v>
      </c>
      <c r="AF273" s="3">
        <v>27425</v>
      </c>
      <c r="AG273">
        <v>51</v>
      </c>
      <c r="AH273" t="b">
        <v>0</v>
      </c>
      <c r="AI273" t="b">
        <v>1</v>
      </c>
      <c r="AJ273" s="6" t="s">
        <v>439</v>
      </c>
      <c r="AK273" s="6" t="s">
        <v>171</v>
      </c>
      <c r="AL273" t="b">
        <v>0</v>
      </c>
      <c r="AM273" s="6"/>
      <c r="AN273" s="6"/>
      <c r="AP273" t="b">
        <v>0</v>
      </c>
      <c r="AQ273" s="6"/>
      <c r="AR273" s="6"/>
      <c r="AT273" t="b">
        <v>0</v>
      </c>
      <c r="AU273" s="6"/>
      <c r="AV273" s="6"/>
      <c r="AX273" t="b">
        <v>0</v>
      </c>
      <c r="AY273" s="6"/>
      <c r="AZ273" s="6"/>
      <c r="BA273" t="b">
        <v>0</v>
      </c>
      <c r="BB273" s="6"/>
      <c r="BC273" t="b">
        <v>0</v>
      </c>
      <c r="BD273" s="6"/>
      <c r="BE273" s="6"/>
      <c r="BF273" t="b">
        <v>1</v>
      </c>
      <c r="BG273" s="6" t="s">
        <v>1800</v>
      </c>
      <c r="BH273" t="b">
        <v>1</v>
      </c>
      <c r="BI273" s="6" t="s">
        <v>533</v>
      </c>
      <c r="BJ273" t="b">
        <v>0</v>
      </c>
      <c r="BK273" t="s">
        <v>1563</v>
      </c>
      <c r="BL273" t="b">
        <v>0</v>
      </c>
      <c r="BM273" t="b">
        <v>0</v>
      </c>
      <c r="BN273" t="b">
        <v>0</v>
      </c>
      <c r="BO273" t="b">
        <v>0</v>
      </c>
      <c r="BQ273" t="b">
        <v>0</v>
      </c>
      <c r="BR273" s="6"/>
      <c r="BT273" t="b">
        <v>0</v>
      </c>
      <c r="BU273" t="s">
        <v>1564</v>
      </c>
      <c r="BV273" t="s">
        <v>504</v>
      </c>
      <c r="BW273" t="s">
        <v>154</v>
      </c>
      <c r="BX273" t="s">
        <v>1722</v>
      </c>
      <c r="BY273" s="6" t="s">
        <v>440</v>
      </c>
      <c r="BZ273">
        <v>1</v>
      </c>
      <c r="CA273" t="s">
        <v>157</v>
      </c>
      <c r="CB273" s="7">
        <v>46315.0537962963</v>
      </c>
    </row>
    <row r="274" spans="1:80">
      <c r="A274" s="6" t="s">
        <v>1801</v>
      </c>
      <c r="B274" t="s">
        <v>491</v>
      </c>
      <c r="C274" s="6" t="s">
        <v>1552</v>
      </c>
      <c r="D274" s="6"/>
      <c r="E274" t="s">
        <v>1553</v>
      </c>
      <c r="F274" t="s">
        <v>1554</v>
      </c>
      <c r="G274" s="6">
        <v>41</v>
      </c>
      <c r="H274" s="6"/>
      <c r="I274" t="s">
        <v>491</v>
      </c>
      <c r="J274" s="3">
        <v>46280</v>
      </c>
      <c r="K274" t="s">
        <v>138</v>
      </c>
      <c r="L274" t="s">
        <v>139</v>
      </c>
      <c r="N274" t="s">
        <v>624</v>
      </c>
      <c r="O274" t="s">
        <v>259</v>
      </c>
      <c r="P274" t="s">
        <v>259</v>
      </c>
      <c r="Q274" t="s">
        <v>611</v>
      </c>
      <c r="S274" t="s">
        <v>144</v>
      </c>
      <c r="T274" t="s">
        <v>612</v>
      </c>
      <c r="U274" t="s">
        <v>613</v>
      </c>
      <c r="V274" t="s">
        <v>614</v>
      </c>
      <c r="W274" t="s">
        <v>39</v>
      </c>
      <c r="X274" s="6" t="s">
        <v>615</v>
      </c>
      <c r="Y274" s="6"/>
      <c r="Z274" t="s">
        <v>148</v>
      </c>
      <c r="AA274" t="s">
        <v>205</v>
      </c>
      <c r="AC274" t="s">
        <v>150</v>
      </c>
      <c r="AD274" s="6" t="s">
        <v>1802</v>
      </c>
      <c r="AF274" s="3">
        <v>38434</v>
      </c>
      <c r="AG274">
        <v>21</v>
      </c>
      <c r="AH274" t="b">
        <v>0</v>
      </c>
      <c r="AI274" t="b">
        <v>1</v>
      </c>
      <c r="AJ274" s="6" t="s">
        <v>1803</v>
      </c>
      <c r="AK274" s="6" t="s">
        <v>171</v>
      </c>
      <c r="AL274" t="b">
        <v>0</v>
      </c>
      <c r="AM274" s="6"/>
      <c r="AN274" s="6"/>
      <c r="AP274" t="b">
        <v>0</v>
      </c>
      <c r="AQ274" s="6"/>
      <c r="AR274" s="6"/>
      <c r="AT274" t="b">
        <v>0</v>
      </c>
      <c r="AU274" s="6"/>
      <c r="AV274" s="6"/>
      <c r="AX274" t="b">
        <v>0</v>
      </c>
      <c r="AY274" s="6"/>
      <c r="AZ274" s="6"/>
      <c r="BA274" t="b">
        <v>0</v>
      </c>
      <c r="BB274" s="6"/>
      <c r="BC274" t="b">
        <v>0</v>
      </c>
      <c r="BD274" s="6"/>
      <c r="BE274" s="6"/>
      <c r="BF274" t="b">
        <v>1</v>
      </c>
      <c r="BG274" s="6" t="s">
        <v>1804</v>
      </c>
      <c r="BH274" t="b">
        <v>1</v>
      </c>
      <c r="BI274" s="6" t="s">
        <v>1805</v>
      </c>
      <c r="BJ274" t="b">
        <v>0</v>
      </c>
      <c r="BK274" t="s">
        <v>1563</v>
      </c>
      <c r="BL274" t="b">
        <v>0</v>
      </c>
      <c r="BM274" t="b">
        <v>0</v>
      </c>
      <c r="BN274" t="b">
        <v>0</v>
      </c>
      <c r="BO274" t="b">
        <v>0</v>
      </c>
      <c r="BQ274" t="b">
        <v>0</v>
      </c>
      <c r="BR274" s="6"/>
      <c r="BT274" t="b">
        <v>0</v>
      </c>
      <c r="BU274" t="s">
        <v>1564</v>
      </c>
      <c r="BV274" t="s">
        <v>504</v>
      </c>
      <c r="BW274" t="s">
        <v>154</v>
      </c>
      <c r="BX274" t="s">
        <v>1806</v>
      </c>
      <c r="BY274" s="6" t="s">
        <v>625</v>
      </c>
      <c r="BZ274">
        <v>1</v>
      </c>
      <c r="CA274" t="s">
        <v>157</v>
      </c>
      <c r="CB274" s="7">
        <v>46315.0537962963</v>
      </c>
    </row>
    <row r="275" spans="1:80">
      <c r="A275" s="6" t="s">
        <v>1807</v>
      </c>
      <c r="B275" t="s">
        <v>491</v>
      </c>
      <c r="C275" s="6" t="s">
        <v>1552</v>
      </c>
      <c r="D275" s="6"/>
      <c r="E275" t="s">
        <v>1553</v>
      </c>
      <c r="F275" t="s">
        <v>1554</v>
      </c>
      <c r="G275" s="6">
        <v>42</v>
      </c>
      <c r="H275" s="6"/>
      <c r="I275" t="s">
        <v>491</v>
      </c>
      <c r="J275" s="3">
        <v>46280</v>
      </c>
      <c r="K275" t="s">
        <v>138</v>
      </c>
      <c r="L275" t="s">
        <v>139</v>
      </c>
      <c r="N275" t="s">
        <v>639</v>
      </c>
      <c r="O275" t="s">
        <v>1200</v>
      </c>
      <c r="P275" t="s">
        <v>1200</v>
      </c>
      <c r="Q275" t="s">
        <v>268</v>
      </c>
      <c r="S275" t="s">
        <v>144</v>
      </c>
      <c r="T275" t="s">
        <v>269</v>
      </c>
      <c r="V275" t="s">
        <v>636</v>
      </c>
      <c r="W275" t="s">
        <v>33</v>
      </c>
      <c r="X275" s="6" t="s">
        <v>271</v>
      </c>
      <c r="Y275" s="6"/>
      <c r="Z275" t="s">
        <v>148</v>
      </c>
      <c r="AA275" t="s">
        <v>149</v>
      </c>
      <c r="AC275" t="s">
        <v>150</v>
      </c>
      <c r="AD275" s="6"/>
      <c r="AF275" s="3">
        <v>42762</v>
      </c>
      <c r="AG275">
        <v>9</v>
      </c>
      <c r="AH275" t="b">
        <v>1</v>
      </c>
      <c r="AI275" t="b">
        <v>1</v>
      </c>
      <c r="AJ275" s="6" t="s">
        <v>1808</v>
      </c>
      <c r="AK275" s="6" t="s">
        <v>171</v>
      </c>
      <c r="AL275" t="b">
        <v>0</v>
      </c>
      <c r="AM275" s="6"/>
      <c r="AN275" s="6"/>
      <c r="AP275" t="b">
        <v>0</v>
      </c>
      <c r="AQ275" s="6"/>
      <c r="AR275" s="6"/>
      <c r="AT275" t="b">
        <v>0</v>
      </c>
      <c r="AU275" s="6"/>
      <c r="AV275" s="6"/>
      <c r="AX275" t="b">
        <v>0</v>
      </c>
      <c r="AY275" s="6"/>
      <c r="AZ275" s="6"/>
      <c r="BA275" t="b">
        <v>0</v>
      </c>
      <c r="BB275" s="6"/>
      <c r="BC275" t="b">
        <v>0</v>
      </c>
      <c r="BD275" s="6"/>
      <c r="BE275" s="6"/>
      <c r="BF275" t="b">
        <v>1</v>
      </c>
      <c r="BG275" s="6" t="s">
        <v>1809</v>
      </c>
      <c r="BH275" t="b">
        <v>1</v>
      </c>
      <c r="BI275" s="6" t="s">
        <v>1810</v>
      </c>
      <c r="BJ275" t="b">
        <v>0</v>
      </c>
      <c r="BK275" t="s">
        <v>1563</v>
      </c>
      <c r="BL275" t="b">
        <v>0</v>
      </c>
      <c r="BM275" t="b">
        <v>0</v>
      </c>
      <c r="BN275" t="b">
        <v>0</v>
      </c>
      <c r="BO275" t="b">
        <v>0</v>
      </c>
      <c r="BQ275" t="b">
        <v>0</v>
      </c>
      <c r="BR275" s="6"/>
      <c r="BT275" t="b">
        <v>0</v>
      </c>
      <c r="BU275" t="s">
        <v>1564</v>
      </c>
      <c r="BV275" t="s">
        <v>504</v>
      </c>
      <c r="BW275" t="s">
        <v>154</v>
      </c>
      <c r="BX275" t="s">
        <v>261</v>
      </c>
      <c r="BY275" s="6" t="s">
        <v>640</v>
      </c>
      <c r="BZ275">
        <v>1</v>
      </c>
      <c r="CA275" t="s">
        <v>157</v>
      </c>
      <c r="CB275" s="7">
        <v>46315.0537962963</v>
      </c>
    </row>
    <row r="276" spans="1:80">
      <c r="A276" s="6" t="s">
        <v>1811</v>
      </c>
      <c r="B276" t="s">
        <v>491</v>
      </c>
      <c r="C276" s="6" t="s">
        <v>1552</v>
      </c>
      <c r="D276" s="6"/>
      <c r="E276" t="s">
        <v>1553</v>
      </c>
      <c r="F276" t="s">
        <v>1554</v>
      </c>
      <c r="G276" s="6">
        <v>43</v>
      </c>
      <c r="H276" s="6"/>
      <c r="I276" t="s">
        <v>491</v>
      </c>
      <c r="J276" s="3">
        <v>46280</v>
      </c>
      <c r="K276" t="s">
        <v>138</v>
      </c>
      <c r="L276" t="s">
        <v>139</v>
      </c>
      <c r="N276" t="s">
        <v>356</v>
      </c>
      <c r="Q276" t="s">
        <v>357</v>
      </c>
      <c r="S276" t="s">
        <v>144</v>
      </c>
      <c r="T276" t="s">
        <v>358</v>
      </c>
      <c r="V276" t="s">
        <v>359</v>
      </c>
      <c r="W276" t="s">
        <v>33</v>
      </c>
      <c r="X276" s="6" t="s">
        <v>360</v>
      </c>
      <c r="Y276" s="6"/>
      <c r="Z276" t="s">
        <v>148</v>
      </c>
      <c r="AA276" t="s">
        <v>205</v>
      </c>
      <c r="AC276" t="s">
        <v>150</v>
      </c>
      <c r="AD276" s="6" t="s">
        <v>361</v>
      </c>
      <c r="AF276" s="3">
        <v>19920</v>
      </c>
      <c r="AG276">
        <v>72</v>
      </c>
      <c r="AH276" t="b">
        <v>0</v>
      </c>
      <c r="AI276" t="b">
        <v>1</v>
      </c>
      <c r="AJ276" s="6" t="s">
        <v>362</v>
      </c>
      <c r="AK276" s="6" t="s">
        <v>171</v>
      </c>
      <c r="AL276" t="b">
        <v>0</v>
      </c>
      <c r="AM276" s="6"/>
      <c r="AN276" s="6"/>
      <c r="AP276" t="b">
        <v>0</v>
      </c>
      <c r="AQ276" s="6"/>
      <c r="AR276" s="6"/>
      <c r="AT276" t="b">
        <v>0</v>
      </c>
      <c r="AU276" s="6"/>
      <c r="AV276" s="6"/>
      <c r="AX276" t="b">
        <v>0</v>
      </c>
      <c r="AY276" s="6"/>
      <c r="AZ276" s="6"/>
      <c r="BA276" t="b">
        <v>0</v>
      </c>
      <c r="BB276" s="6"/>
      <c r="BC276" t="b">
        <v>0</v>
      </c>
      <c r="BD276" s="6"/>
      <c r="BE276" s="6"/>
      <c r="BF276" t="b">
        <v>1</v>
      </c>
      <c r="BG276" s="6" t="s">
        <v>1812</v>
      </c>
      <c r="BH276" t="b">
        <v>1</v>
      </c>
      <c r="BI276" s="6" t="s">
        <v>1813</v>
      </c>
      <c r="BJ276" t="b">
        <v>0</v>
      </c>
      <c r="BK276" t="s">
        <v>1563</v>
      </c>
      <c r="BL276" t="b">
        <v>0</v>
      </c>
      <c r="BM276" t="b">
        <v>0</v>
      </c>
      <c r="BN276" t="b">
        <v>0</v>
      </c>
      <c r="BO276" t="b">
        <v>0</v>
      </c>
      <c r="BQ276" t="b">
        <v>0</v>
      </c>
      <c r="BR276" s="6"/>
      <c r="BT276" t="b">
        <v>0</v>
      </c>
      <c r="BU276" t="s">
        <v>1564</v>
      </c>
      <c r="BV276" t="s">
        <v>504</v>
      </c>
      <c r="BW276" t="s">
        <v>154</v>
      </c>
      <c r="BX276" t="s">
        <v>1646</v>
      </c>
      <c r="BY276" s="6" t="s">
        <v>367</v>
      </c>
      <c r="BZ276">
        <v>1</v>
      </c>
      <c r="CA276" t="s">
        <v>157</v>
      </c>
      <c r="CB276" s="7">
        <v>46315.0537962963</v>
      </c>
    </row>
    <row r="277" spans="1:80">
      <c r="A277" s="6" t="s">
        <v>1814</v>
      </c>
      <c r="B277" t="s">
        <v>491</v>
      </c>
      <c r="C277" s="6" t="s">
        <v>1552</v>
      </c>
      <c r="D277" s="6"/>
      <c r="E277" t="s">
        <v>1553</v>
      </c>
      <c r="F277" t="s">
        <v>1554</v>
      </c>
      <c r="G277" s="6">
        <v>44</v>
      </c>
      <c r="H277" s="6"/>
      <c r="I277" t="s">
        <v>491</v>
      </c>
      <c r="J277" s="3">
        <v>46280</v>
      </c>
      <c r="K277" t="s">
        <v>138</v>
      </c>
      <c r="L277" t="s">
        <v>139</v>
      </c>
      <c r="N277" t="s">
        <v>1324</v>
      </c>
      <c r="Q277" t="s">
        <v>547</v>
      </c>
      <c r="S277" t="s">
        <v>144</v>
      </c>
      <c r="T277" t="s">
        <v>1325</v>
      </c>
      <c r="V277" t="s">
        <v>1326</v>
      </c>
      <c r="W277" t="s">
        <v>36</v>
      </c>
      <c r="X277" s="6" t="s">
        <v>1327</v>
      </c>
      <c r="Y277" s="6"/>
      <c r="Z277" t="s">
        <v>148</v>
      </c>
      <c r="AA277" t="s">
        <v>149</v>
      </c>
      <c r="AC277" t="s">
        <v>150</v>
      </c>
      <c r="AD277" s="6" t="s">
        <v>1328</v>
      </c>
      <c r="AF277" s="3">
        <v>31574</v>
      </c>
      <c r="AG277">
        <v>40</v>
      </c>
      <c r="AH277" t="b">
        <v>0</v>
      </c>
      <c r="AI277" t="b">
        <v>1</v>
      </c>
      <c r="AJ277" s="6" t="s">
        <v>1330</v>
      </c>
      <c r="AK277" s="6" t="s">
        <v>171</v>
      </c>
      <c r="AL277" t="b">
        <v>0</v>
      </c>
      <c r="AM277" s="6"/>
      <c r="AN277" s="6"/>
      <c r="AP277" t="b">
        <v>0</v>
      </c>
      <c r="AQ277" s="6"/>
      <c r="AR277" s="6"/>
      <c r="AT277" t="b">
        <v>0</v>
      </c>
      <c r="AU277" s="6"/>
      <c r="AV277" s="6"/>
      <c r="AX277" t="b">
        <v>0</v>
      </c>
      <c r="AY277" s="6"/>
      <c r="AZ277" s="6"/>
      <c r="BA277" t="b">
        <v>0</v>
      </c>
      <c r="BB277" s="6"/>
      <c r="BC277" t="b">
        <v>0</v>
      </c>
      <c r="BD277" s="6"/>
      <c r="BE277" s="6"/>
      <c r="BF277" t="b">
        <v>1</v>
      </c>
      <c r="BG277" s="6" t="s">
        <v>1815</v>
      </c>
      <c r="BH277" t="b">
        <v>1</v>
      </c>
      <c r="BI277" s="6" t="s">
        <v>1816</v>
      </c>
      <c r="BJ277" t="b">
        <v>0</v>
      </c>
      <c r="BK277" t="s">
        <v>1563</v>
      </c>
      <c r="BL277" t="b">
        <v>0</v>
      </c>
      <c r="BM277" t="b">
        <v>0</v>
      </c>
      <c r="BN277" t="b">
        <v>0</v>
      </c>
      <c r="BO277" t="b">
        <v>0</v>
      </c>
      <c r="BQ277" t="b">
        <v>0</v>
      </c>
      <c r="BR277" s="6"/>
      <c r="BT277" t="b">
        <v>0</v>
      </c>
      <c r="BU277" t="s">
        <v>1564</v>
      </c>
      <c r="BV277" t="s">
        <v>504</v>
      </c>
      <c r="BW277" t="s">
        <v>154</v>
      </c>
      <c r="BX277" t="s">
        <v>305</v>
      </c>
      <c r="BY277" s="6" t="s">
        <v>1331</v>
      </c>
      <c r="BZ277">
        <v>1</v>
      </c>
      <c r="CA277" t="s">
        <v>157</v>
      </c>
      <c r="CB277" s="7">
        <v>46315.0537962963</v>
      </c>
    </row>
    <row r="278" spans="1:80">
      <c r="A278" s="6" t="s">
        <v>1817</v>
      </c>
      <c r="B278" t="s">
        <v>491</v>
      </c>
      <c r="C278" s="6" t="s">
        <v>1552</v>
      </c>
      <c r="D278" s="6"/>
      <c r="E278" t="s">
        <v>1553</v>
      </c>
      <c r="F278" t="s">
        <v>1554</v>
      </c>
      <c r="G278" s="6">
        <v>45</v>
      </c>
      <c r="H278" s="6"/>
      <c r="I278" t="s">
        <v>491</v>
      </c>
      <c r="J278" s="3">
        <v>46280</v>
      </c>
      <c r="K278" t="s">
        <v>138</v>
      </c>
      <c r="L278" t="s">
        <v>139</v>
      </c>
      <c r="N278" t="s">
        <v>1818</v>
      </c>
      <c r="Q278" t="s">
        <v>268</v>
      </c>
      <c r="S278" t="s">
        <v>144</v>
      </c>
      <c r="T278" t="s">
        <v>269</v>
      </c>
      <c r="V278" t="s">
        <v>636</v>
      </c>
      <c r="W278" t="s">
        <v>33</v>
      </c>
      <c r="X278" s="6" t="s">
        <v>271</v>
      </c>
      <c r="Y278" s="6"/>
      <c r="Z278" t="s">
        <v>148</v>
      </c>
      <c r="AA278" t="s">
        <v>149</v>
      </c>
      <c r="AC278" t="s">
        <v>150</v>
      </c>
      <c r="AD278" s="6" t="s">
        <v>1819</v>
      </c>
      <c r="AF278" s="3">
        <v>39476</v>
      </c>
      <c r="AG278">
        <v>18</v>
      </c>
      <c r="AH278" t="b">
        <v>0</v>
      </c>
      <c r="AI278" t="b">
        <v>1</v>
      </c>
      <c r="AJ278" s="6" t="s">
        <v>1820</v>
      </c>
      <c r="AK278" s="6" t="s">
        <v>171</v>
      </c>
      <c r="AL278" t="b">
        <v>0</v>
      </c>
      <c r="AM278" s="6"/>
      <c r="AN278" s="6"/>
      <c r="AP278" t="b">
        <v>0</v>
      </c>
      <c r="AQ278" s="6"/>
      <c r="AR278" s="6"/>
      <c r="AT278" t="b">
        <v>0</v>
      </c>
      <c r="AU278" s="6"/>
      <c r="AV278" s="6"/>
      <c r="AX278" t="b">
        <v>0</v>
      </c>
      <c r="AY278" s="6"/>
      <c r="AZ278" s="6"/>
      <c r="BA278" t="b">
        <v>0</v>
      </c>
      <c r="BB278" s="6"/>
      <c r="BC278" t="b">
        <v>0</v>
      </c>
      <c r="BD278" s="6"/>
      <c r="BE278" s="6"/>
      <c r="BF278" t="b">
        <v>1</v>
      </c>
      <c r="BG278" s="6" t="s">
        <v>1821</v>
      </c>
      <c r="BH278" t="b">
        <v>1</v>
      </c>
      <c r="BI278" s="6" t="s">
        <v>1822</v>
      </c>
      <c r="BJ278" t="b">
        <v>0</v>
      </c>
      <c r="BK278" t="s">
        <v>1563</v>
      </c>
      <c r="BL278" t="b">
        <v>0</v>
      </c>
      <c r="BM278" t="b">
        <v>0</v>
      </c>
      <c r="BN278" t="b">
        <v>0</v>
      </c>
      <c r="BO278" t="b">
        <v>0</v>
      </c>
      <c r="BQ278" t="b">
        <v>0</v>
      </c>
      <c r="BR278" s="6"/>
      <c r="BT278" t="b">
        <v>0</v>
      </c>
      <c r="BU278" t="s">
        <v>1564</v>
      </c>
      <c r="BV278" t="s">
        <v>504</v>
      </c>
      <c r="BW278" t="s">
        <v>171</v>
      </c>
      <c r="BY278" s="6" t="s">
        <v>1823</v>
      </c>
      <c r="BZ278">
        <v>1</v>
      </c>
      <c r="CB278" s="7">
        <v>46315.0537962963</v>
      </c>
    </row>
    <row r="279" spans="1:80">
      <c r="A279" s="6" t="s">
        <v>1824</v>
      </c>
      <c r="B279" t="s">
        <v>491</v>
      </c>
      <c r="C279" s="6" t="s">
        <v>1552</v>
      </c>
      <c r="D279" s="6"/>
      <c r="E279" t="s">
        <v>1553</v>
      </c>
      <c r="F279" t="s">
        <v>1554</v>
      </c>
      <c r="G279" s="6">
        <v>46</v>
      </c>
      <c r="H279" s="6"/>
      <c r="I279" t="s">
        <v>491</v>
      </c>
      <c r="J279" s="3">
        <v>46280</v>
      </c>
      <c r="K279" t="s">
        <v>138</v>
      </c>
      <c r="L279" t="s">
        <v>139</v>
      </c>
      <c r="N279" t="s">
        <v>468</v>
      </c>
      <c r="O279" t="s">
        <v>1200</v>
      </c>
      <c r="P279" t="s">
        <v>1200</v>
      </c>
      <c r="Q279" t="s">
        <v>601</v>
      </c>
      <c r="S279" t="s">
        <v>144</v>
      </c>
      <c r="T279" t="s">
        <v>509</v>
      </c>
      <c r="V279" t="s">
        <v>510</v>
      </c>
      <c r="W279" t="s">
        <v>37</v>
      </c>
      <c r="X279" s="6" t="s">
        <v>511</v>
      </c>
      <c r="Y279" s="6"/>
      <c r="Z279" t="s">
        <v>148</v>
      </c>
      <c r="AA279" t="s">
        <v>149</v>
      </c>
      <c r="AC279" t="s">
        <v>150</v>
      </c>
      <c r="AD279" s="6" t="s">
        <v>1825</v>
      </c>
      <c r="AF279" s="3">
        <v>32685</v>
      </c>
      <c r="AG279">
        <v>37</v>
      </c>
      <c r="AH279" t="b">
        <v>0</v>
      </c>
      <c r="AI279" t="b">
        <v>1</v>
      </c>
      <c r="AJ279" s="6" t="s">
        <v>1826</v>
      </c>
      <c r="AK279" s="6" t="s">
        <v>171</v>
      </c>
      <c r="AL279" t="b">
        <v>0</v>
      </c>
      <c r="AM279" s="6"/>
      <c r="AN279" s="6"/>
      <c r="AP279" t="b">
        <v>0</v>
      </c>
      <c r="AQ279" s="6"/>
      <c r="AR279" s="6"/>
      <c r="AT279" t="b">
        <v>0</v>
      </c>
      <c r="AU279" s="6"/>
      <c r="AV279" s="6"/>
      <c r="AX279" t="b">
        <v>0</v>
      </c>
      <c r="AY279" s="6"/>
      <c r="AZ279" s="6"/>
      <c r="BA279" t="b">
        <v>0</v>
      </c>
      <c r="BB279" s="6"/>
      <c r="BC279" t="b">
        <v>0</v>
      </c>
      <c r="BD279" s="6"/>
      <c r="BE279" s="6"/>
      <c r="BF279" t="b">
        <v>1</v>
      </c>
      <c r="BG279" s="6" t="s">
        <v>1827</v>
      </c>
      <c r="BH279" t="b">
        <v>1</v>
      </c>
      <c r="BI279" s="6" t="s">
        <v>1828</v>
      </c>
      <c r="BJ279" t="b">
        <v>0</v>
      </c>
      <c r="BK279" t="s">
        <v>1563</v>
      </c>
      <c r="BL279" t="b">
        <v>0</v>
      </c>
      <c r="BM279" t="b">
        <v>0</v>
      </c>
      <c r="BN279" t="b">
        <v>0</v>
      </c>
      <c r="BO279" t="b">
        <v>0</v>
      </c>
      <c r="BQ279" t="b">
        <v>0</v>
      </c>
      <c r="BR279" s="6"/>
      <c r="BT279" t="b">
        <v>0</v>
      </c>
      <c r="BU279" t="s">
        <v>1564</v>
      </c>
      <c r="BV279" t="s">
        <v>504</v>
      </c>
      <c r="BW279" t="s">
        <v>171</v>
      </c>
      <c r="BY279" s="6" t="s">
        <v>1829</v>
      </c>
      <c r="BZ279">
        <v>1</v>
      </c>
      <c r="CB279" s="7">
        <v>46315.0537962963</v>
      </c>
    </row>
    <row r="280" spans="1:80">
      <c r="A280" s="6" t="s">
        <v>1830</v>
      </c>
      <c r="B280" t="s">
        <v>491</v>
      </c>
      <c r="C280" s="6" t="s">
        <v>1552</v>
      </c>
      <c r="D280" s="6"/>
      <c r="E280" t="s">
        <v>1553</v>
      </c>
      <c r="F280" t="s">
        <v>1554</v>
      </c>
      <c r="G280" s="6">
        <v>47</v>
      </c>
      <c r="H280" s="6"/>
      <c r="I280" t="s">
        <v>491</v>
      </c>
      <c r="J280" s="3">
        <v>46280</v>
      </c>
      <c r="K280" t="s">
        <v>138</v>
      </c>
      <c r="L280" t="s">
        <v>139</v>
      </c>
      <c r="N280" t="s">
        <v>610</v>
      </c>
      <c r="Q280" t="s">
        <v>611</v>
      </c>
      <c r="S280" t="s">
        <v>144</v>
      </c>
      <c r="T280" t="s">
        <v>612</v>
      </c>
      <c r="U280" t="s">
        <v>613</v>
      </c>
      <c r="V280" t="s">
        <v>614</v>
      </c>
      <c r="W280" t="s">
        <v>39</v>
      </c>
      <c r="X280" s="6" t="s">
        <v>615</v>
      </c>
      <c r="Y280" s="6"/>
      <c r="Z280" t="s">
        <v>148</v>
      </c>
      <c r="AA280" t="s">
        <v>205</v>
      </c>
      <c r="AC280" t="s">
        <v>150</v>
      </c>
      <c r="AD280" s="6" t="s">
        <v>770</v>
      </c>
      <c r="AF280" s="3">
        <v>28350</v>
      </c>
      <c r="AG280">
        <v>49</v>
      </c>
      <c r="AH280" t="b">
        <v>0</v>
      </c>
      <c r="AI280" t="b">
        <v>1</v>
      </c>
      <c r="AJ280" s="6" t="s">
        <v>616</v>
      </c>
      <c r="AK280" s="6" t="s">
        <v>171</v>
      </c>
      <c r="AL280" t="b">
        <v>0</v>
      </c>
      <c r="AM280" s="6"/>
      <c r="AN280" s="6"/>
      <c r="AP280" t="b">
        <v>0</v>
      </c>
      <c r="AQ280" s="6"/>
      <c r="AR280" s="6"/>
      <c r="AT280" t="b">
        <v>0</v>
      </c>
      <c r="AU280" s="6"/>
      <c r="AV280" s="6"/>
      <c r="AX280" t="b">
        <v>0</v>
      </c>
      <c r="AY280" s="6"/>
      <c r="AZ280" s="6"/>
      <c r="BA280" t="b">
        <v>0</v>
      </c>
      <c r="BB280" s="6"/>
      <c r="BC280" t="b">
        <v>0</v>
      </c>
      <c r="BD280" s="6"/>
      <c r="BE280" s="6"/>
      <c r="BF280" t="b">
        <v>1</v>
      </c>
      <c r="BG280" s="6" t="s">
        <v>1831</v>
      </c>
      <c r="BH280" t="b">
        <v>1</v>
      </c>
      <c r="BI280" s="6" t="s">
        <v>617</v>
      </c>
      <c r="BJ280" t="b">
        <v>0</v>
      </c>
      <c r="BK280" t="s">
        <v>1563</v>
      </c>
      <c r="BL280" t="b">
        <v>0</v>
      </c>
      <c r="BM280" t="b">
        <v>0</v>
      </c>
      <c r="BN280" t="b">
        <v>0</v>
      </c>
      <c r="BO280" t="b">
        <v>0</v>
      </c>
      <c r="BQ280" t="b">
        <v>0</v>
      </c>
      <c r="BR280" s="6"/>
      <c r="BT280" t="b">
        <v>0</v>
      </c>
      <c r="BU280" t="s">
        <v>1564</v>
      </c>
      <c r="BV280" t="s">
        <v>504</v>
      </c>
      <c r="BW280" t="s">
        <v>154</v>
      </c>
      <c r="BX280" t="s">
        <v>1806</v>
      </c>
      <c r="BY280" s="6" t="s">
        <v>619</v>
      </c>
      <c r="BZ280">
        <v>1</v>
      </c>
      <c r="CA280" t="s">
        <v>157</v>
      </c>
      <c r="CB280" s="7">
        <v>46315.0537962963</v>
      </c>
    </row>
    <row r="281" spans="1:80">
      <c r="A281" s="6" t="s">
        <v>1832</v>
      </c>
      <c r="B281" t="s">
        <v>491</v>
      </c>
      <c r="C281" s="6" t="s">
        <v>1552</v>
      </c>
      <c r="D281" s="6"/>
      <c r="E281" t="s">
        <v>1553</v>
      </c>
      <c r="F281" t="s">
        <v>1554</v>
      </c>
      <c r="G281" s="6">
        <v>48</v>
      </c>
      <c r="H281" s="6"/>
      <c r="I281" t="s">
        <v>491</v>
      </c>
      <c r="J281" s="3">
        <v>46280</v>
      </c>
      <c r="K281" t="s">
        <v>138</v>
      </c>
      <c r="L281" t="s">
        <v>139</v>
      </c>
      <c r="N281" t="s">
        <v>685</v>
      </c>
      <c r="O281" t="s">
        <v>212</v>
      </c>
      <c r="P281" t="s">
        <v>212</v>
      </c>
      <c r="Q281" t="s">
        <v>686</v>
      </c>
      <c r="S281" t="s">
        <v>144</v>
      </c>
      <c r="T281" t="s">
        <v>687</v>
      </c>
      <c r="V281" t="s">
        <v>688</v>
      </c>
      <c r="W281" t="s">
        <v>38</v>
      </c>
      <c r="X281" s="6" t="s">
        <v>689</v>
      </c>
      <c r="Y281" s="6"/>
      <c r="Z281" t="s">
        <v>148</v>
      </c>
      <c r="AA281" t="s">
        <v>205</v>
      </c>
      <c r="AC281" t="s">
        <v>150</v>
      </c>
      <c r="AD281" s="6" t="s">
        <v>1287</v>
      </c>
      <c r="AF281" s="3">
        <v>21687</v>
      </c>
      <c r="AG281">
        <v>67</v>
      </c>
      <c r="AH281" t="b">
        <v>0</v>
      </c>
      <c r="AI281" t="b">
        <v>1</v>
      </c>
      <c r="AJ281" s="6" t="s">
        <v>690</v>
      </c>
      <c r="AK281" s="6" t="s">
        <v>171</v>
      </c>
      <c r="AL281" t="b">
        <v>0</v>
      </c>
      <c r="AM281" s="6"/>
      <c r="AN281" s="6"/>
      <c r="AP281" t="b">
        <v>0</v>
      </c>
      <c r="AQ281" s="6"/>
      <c r="AR281" s="6"/>
      <c r="AT281" t="b">
        <v>0</v>
      </c>
      <c r="AU281" s="6"/>
      <c r="AV281" s="6"/>
      <c r="AX281" t="b">
        <v>0</v>
      </c>
      <c r="AY281" s="6"/>
      <c r="AZ281" s="6"/>
      <c r="BA281" t="b">
        <v>0</v>
      </c>
      <c r="BB281" s="6"/>
      <c r="BC281" t="b">
        <v>0</v>
      </c>
      <c r="BD281" s="6"/>
      <c r="BE281" s="6"/>
      <c r="BF281" t="b">
        <v>1</v>
      </c>
      <c r="BG281" s="6" t="s">
        <v>1833</v>
      </c>
      <c r="BH281" t="b">
        <v>1</v>
      </c>
      <c r="BI281" s="6" t="s">
        <v>691</v>
      </c>
      <c r="BJ281" t="b">
        <v>0</v>
      </c>
      <c r="BK281" t="s">
        <v>1563</v>
      </c>
      <c r="BL281" t="b">
        <v>0</v>
      </c>
      <c r="BM281" t="b">
        <v>0</v>
      </c>
      <c r="BN281" t="b">
        <v>0</v>
      </c>
      <c r="BO281" t="b">
        <v>0</v>
      </c>
      <c r="BQ281" t="b">
        <v>0</v>
      </c>
      <c r="BR281" s="6"/>
      <c r="BT281" t="b">
        <v>0</v>
      </c>
      <c r="BU281" t="s">
        <v>1564</v>
      </c>
      <c r="BV281" t="s">
        <v>504</v>
      </c>
      <c r="BW281" t="s">
        <v>154</v>
      </c>
      <c r="BX281" t="s">
        <v>1646</v>
      </c>
      <c r="BY281" s="6" t="s">
        <v>692</v>
      </c>
      <c r="BZ281">
        <v>1</v>
      </c>
      <c r="CA281" t="s">
        <v>157</v>
      </c>
      <c r="CB281" s="7">
        <v>46315.0537962963</v>
      </c>
    </row>
    <row r="282" spans="1:80">
      <c r="A282" s="6" t="s">
        <v>1834</v>
      </c>
      <c r="B282" t="s">
        <v>491</v>
      </c>
      <c r="C282" s="6" t="s">
        <v>1552</v>
      </c>
      <c r="D282" s="6"/>
      <c r="E282" t="s">
        <v>1553</v>
      </c>
      <c r="F282" t="s">
        <v>1554</v>
      </c>
      <c r="G282" s="6">
        <v>49</v>
      </c>
      <c r="H282" s="6"/>
      <c r="I282" t="s">
        <v>491</v>
      </c>
      <c r="J282" s="3">
        <v>46280</v>
      </c>
      <c r="K282" t="s">
        <v>138</v>
      </c>
      <c r="L282" t="s">
        <v>139</v>
      </c>
      <c r="N282" t="s">
        <v>188</v>
      </c>
      <c r="O282" t="s">
        <v>189</v>
      </c>
      <c r="P282" t="s">
        <v>189</v>
      </c>
      <c r="Q282" t="s">
        <v>190</v>
      </c>
      <c r="S282" t="s">
        <v>144</v>
      </c>
      <c r="T282" t="s">
        <v>191</v>
      </c>
      <c r="V282" t="s">
        <v>192</v>
      </c>
      <c r="W282" t="s">
        <v>38</v>
      </c>
      <c r="X282" s="6" t="s">
        <v>193</v>
      </c>
      <c r="Y282" s="6"/>
      <c r="Z282" t="s">
        <v>148</v>
      </c>
      <c r="AA282" t="s">
        <v>149</v>
      </c>
      <c r="AC282" t="s">
        <v>150</v>
      </c>
      <c r="AD282" s="6" t="s">
        <v>1189</v>
      </c>
      <c r="AF282" s="3">
        <v>27063</v>
      </c>
      <c r="AG282">
        <v>52</v>
      </c>
      <c r="AH282" t="b">
        <v>0</v>
      </c>
      <c r="AI282" t="b">
        <v>1</v>
      </c>
      <c r="AJ282" s="6" t="s">
        <v>715</v>
      </c>
      <c r="AK282" s="6" t="s">
        <v>171</v>
      </c>
      <c r="AL282" t="b">
        <v>0</v>
      </c>
      <c r="AM282" s="6"/>
      <c r="AN282" s="6"/>
      <c r="AP282" t="b">
        <v>0</v>
      </c>
      <c r="AQ282" s="6"/>
      <c r="AR282" s="6"/>
      <c r="AT282" t="b">
        <v>0</v>
      </c>
      <c r="AU282" s="6"/>
      <c r="AV282" s="6"/>
      <c r="AX282" t="b">
        <v>0</v>
      </c>
      <c r="AY282" s="6"/>
      <c r="AZ282" s="6"/>
      <c r="BA282" t="b">
        <v>0</v>
      </c>
      <c r="BB282" s="6"/>
      <c r="BC282" t="b">
        <v>0</v>
      </c>
      <c r="BD282" s="6"/>
      <c r="BE282" s="6"/>
      <c r="BF282" t="b">
        <v>1</v>
      </c>
      <c r="BG282" s="6" t="s">
        <v>1835</v>
      </c>
      <c r="BH282" t="b">
        <v>1</v>
      </c>
      <c r="BI282" s="6" t="s">
        <v>194</v>
      </c>
      <c r="BJ282" t="b">
        <v>0</v>
      </c>
      <c r="BK282" t="s">
        <v>1563</v>
      </c>
      <c r="BL282" t="b">
        <v>0</v>
      </c>
      <c r="BM282" t="b">
        <v>0</v>
      </c>
      <c r="BN282" t="b">
        <v>0</v>
      </c>
      <c r="BO282" t="b">
        <v>0</v>
      </c>
      <c r="BQ282" t="b">
        <v>0</v>
      </c>
      <c r="BR282" s="6"/>
      <c r="BT282" t="b">
        <v>0</v>
      </c>
      <c r="BU282" t="s">
        <v>1564</v>
      </c>
      <c r="BV282" t="s">
        <v>504</v>
      </c>
      <c r="BW282" t="s">
        <v>171</v>
      </c>
      <c r="BX282" t="s">
        <v>51</v>
      </c>
      <c r="BY282" s="6" t="s">
        <v>195</v>
      </c>
      <c r="BZ282">
        <v>1</v>
      </c>
      <c r="CB282" s="7">
        <v>46315.0537962963</v>
      </c>
    </row>
    <row r="283" spans="1:80">
      <c r="A283" s="6" t="s">
        <v>1836</v>
      </c>
      <c r="B283" t="s">
        <v>491</v>
      </c>
      <c r="C283" s="6" t="s">
        <v>1552</v>
      </c>
      <c r="D283" s="6"/>
      <c r="E283" t="s">
        <v>1553</v>
      </c>
      <c r="F283" t="s">
        <v>1554</v>
      </c>
      <c r="G283" s="6">
        <v>50</v>
      </c>
      <c r="H283" s="6"/>
      <c r="I283" t="s">
        <v>491</v>
      </c>
      <c r="J283" s="3">
        <v>46280</v>
      </c>
      <c r="K283" t="s">
        <v>138</v>
      </c>
      <c r="L283" t="s">
        <v>139</v>
      </c>
      <c r="N283" t="s">
        <v>1837</v>
      </c>
      <c r="O283" t="s">
        <v>142</v>
      </c>
      <c r="P283" t="s">
        <v>142</v>
      </c>
      <c r="Q283" t="s">
        <v>1838</v>
      </c>
      <c r="S283" t="s">
        <v>144</v>
      </c>
      <c r="T283" t="s">
        <v>1839</v>
      </c>
      <c r="V283" t="s">
        <v>636</v>
      </c>
      <c r="W283" t="s">
        <v>33</v>
      </c>
      <c r="X283" s="6" t="s">
        <v>1010</v>
      </c>
      <c r="Y283" s="6"/>
      <c r="Z283" t="s">
        <v>148</v>
      </c>
      <c r="AA283" t="s">
        <v>205</v>
      </c>
      <c r="AC283" t="s">
        <v>150</v>
      </c>
      <c r="AD283" s="6" t="s">
        <v>1840</v>
      </c>
      <c r="AF283" s="3">
        <v>28223</v>
      </c>
      <c r="AG283">
        <v>49</v>
      </c>
      <c r="AH283" t="b">
        <v>0</v>
      </c>
      <c r="AI283" t="b">
        <v>1</v>
      </c>
      <c r="AJ283" s="6" t="s">
        <v>1841</v>
      </c>
      <c r="AK283" s="6" t="s">
        <v>171</v>
      </c>
      <c r="AL283" t="b">
        <v>0</v>
      </c>
      <c r="AM283" s="6"/>
      <c r="AN283" s="6"/>
      <c r="AP283" t="b">
        <v>0</v>
      </c>
      <c r="AQ283" s="6"/>
      <c r="AR283" s="6"/>
      <c r="AT283" t="b">
        <v>0</v>
      </c>
      <c r="AU283" s="6"/>
      <c r="AV283" s="6"/>
      <c r="AX283" t="b">
        <v>0</v>
      </c>
      <c r="AY283" s="6"/>
      <c r="AZ283" s="6"/>
      <c r="BA283" t="b">
        <v>0</v>
      </c>
      <c r="BB283" s="6"/>
      <c r="BC283" t="b">
        <v>0</v>
      </c>
      <c r="BD283" s="6"/>
      <c r="BE283" s="6"/>
      <c r="BF283" t="b">
        <v>1</v>
      </c>
      <c r="BG283" s="6" t="s">
        <v>1842</v>
      </c>
      <c r="BH283" t="b">
        <v>1</v>
      </c>
      <c r="BI283" s="6" t="s">
        <v>1843</v>
      </c>
      <c r="BJ283" t="b">
        <v>0</v>
      </c>
      <c r="BK283" t="s">
        <v>1563</v>
      </c>
      <c r="BL283" t="b">
        <v>0</v>
      </c>
      <c r="BM283" t="b">
        <v>0</v>
      </c>
      <c r="BN283" t="b">
        <v>0</v>
      </c>
      <c r="BO283" t="b">
        <v>0</v>
      </c>
      <c r="BQ283" t="b">
        <v>0</v>
      </c>
      <c r="BR283" s="6"/>
      <c r="BT283" t="b">
        <v>0</v>
      </c>
      <c r="BU283" t="s">
        <v>1564</v>
      </c>
      <c r="BV283" t="s">
        <v>504</v>
      </c>
      <c r="BW283" t="s">
        <v>154</v>
      </c>
      <c r="BX283" t="s">
        <v>43</v>
      </c>
      <c r="BY283" s="6" t="s">
        <v>1844</v>
      </c>
      <c r="BZ283">
        <v>1</v>
      </c>
      <c r="CA283" t="s">
        <v>157</v>
      </c>
      <c r="CB283" s="7">
        <v>46315.0537962963</v>
      </c>
    </row>
    <row r="284" spans="1:80">
      <c r="A284" s="6" t="s">
        <v>1845</v>
      </c>
      <c r="B284" t="s">
        <v>491</v>
      </c>
      <c r="C284" s="6" t="s">
        <v>1552</v>
      </c>
      <c r="D284" s="6"/>
      <c r="E284" t="s">
        <v>1553</v>
      </c>
      <c r="F284" t="s">
        <v>1554</v>
      </c>
      <c r="G284" s="6">
        <v>51</v>
      </c>
      <c r="H284" s="6"/>
      <c r="I284" t="s">
        <v>491</v>
      </c>
      <c r="J284" s="3">
        <v>46280</v>
      </c>
      <c r="K284" t="s">
        <v>138</v>
      </c>
      <c r="L284" t="s">
        <v>139</v>
      </c>
      <c r="N284" t="s">
        <v>1846</v>
      </c>
      <c r="O284" t="s">
        <v>224</v>
      </c>
      <c r="P284" t="s">
        <v>224</v>
      </c>
      <c r="Q284" t="s">
        <v>931</v>
      </c>
      <c r="S284" t="s">
        <v>144</v>
      </c>
      <c r="T284" t="s">
        <v>1278</v>
      </c>
      <c r="V284" t="s">
        <v>1279</v>
      </c>
      <c r="W284" t="s">
        <v>34</v>
      </c>
      <c r="X284" s="6" t="s">
        <v>1280</v>
      </c>
      <c r="Y284" s="6"/>
      <c r="Z284" t="s">
        <v>148</v>
      </c>
      <c r="AA284" t="s">
        <v>149</v>
      </c>
      <c r="AC284" t="s">
        <v>150</v>
      </c>
      <c r="AD284" s="6" t="s">
        <v>1847</v>
      </c>
      <c r="AF284" s="3">
        <v>18780</v>
      </c>
      <c r="AG284">
        <v>75</v>
      </c>
      <c r="AH284" t="b">
        <v>0</v>
      </c>
      <c r="AI284" t="b">
        <v>1</v>
      </c>
      <c r="AJ284" s="6" t="s">
        <v>1848</v>
      </c>
      <c r="AK284" s="6" t="s">
        <v>171</v>
      </c>
      <c r="AL284" t="b">
        <v>0</v>
      </c>
      <c r="AM284" s="6"/>
      <c r="AN284" s="6"/>
      <c r="AP284" t="b">
        <v>0</v>
      </c>
      <c r="AQ284" s="6"/>
      <c r="AR284" s="6"/>
      <c r="AT284" t="b">
        <v>0</v>
      </c>
      <c r="AU284" s="6"/>
      <c r="AV284" s="6"/>
      <c r="AX284" t="b">
        <v>0</v>
      </c>
      <c r="AY284" s="6"/>
      <c r="AZ284" s="6"/>
      <c r="BA284" t="b">
        <v>0</v>
      </c>
      <c r="BB284" s="6"/>
      <c r="BC284" t="b">
        <v>0</v>
      </c>
      <c r="BD284" s="6"/>
      <c r="BE284" s="6"/>
      <c r="BF284" t="b">
        <v>1</v>
      </c>
      <c r="BG284" s="6" t="s">
        <v>1849</v>
      </c>
      <c r="BH284" t="b">
        <v>1</v>
      </c>
      <c r="BI284" s="6" t="s">
        <v>1850</v>
      </c>
      <c r="BJ284" t="b">
        <v>0</v>
      </c>
      <c r="BK284" t="s">
        <v>1563</v>
      </c>
      <c r="BL284" t="b">
        <v>0</v>
      </c>
      <c r="BM284" t="b">
        <v>0</v>
      </c>
      <c r="BN284" t="b">
        <v>0</v>
      </c>
      <c r="BO284" t="b">
        <v>0</v>
      </c>
      <c r="BQ284" t="b">
        <v>0</v>
      </c>
      <c r="BR284" s="6"/>
      <c r="BT284" t="b">
        <v>0</v>
      </c>
      <c r="BU284" t="s">
        <v>1564</v>
      </c>
      <c r="BV284" t="s">
        <v>504</v>
      </c>
      <c r="BW284" t="s">
        <v>171</v>
      </c>
      <c r="BY284" s="6" t="s">
        <v>1851</v>
      </c>
      <c r="BZ284">
        <v>1</v>
      </c>
      <c r="CB284" s="7">
        <v>46315.0537962963</v>
      </c>
    </row>
    <row r="285" spans="1:80">
      <c r="A285" s="6" t="s">
        <v>1852</v>
      </c>
      <c r="B285" t="s">
        <v>491</v>
      </c>
      <c r="C285" s="6" t="s">
        <v>1552</v>
      </c>
      <c r="D285" s="6"/>
      <c r="E285" t="s">
        <v>1553</v>
      </c>
      <c r="F285" t="s">
        <v>1554</v>
      </c>
      <c r="G285" s="6">
        <v>52</v>
      </c>
      <c r="H285" s="6"/>
      <c r="I285" t="s">
        <v>491</v>
      </c>
      <c r="J285" s="3">
        <v>46280</v>
      </c>
      <c r="K285" t="s">
        <v>138</v>
      </c>
      <c r="L285" t="s">
        <v>139</v>
      </c>
      <c r="N285" t="s">
        <v>678</v>
      </c>
      <c r="Q285" t="s">
        <v>469</v>
      </c>
      <c r="S285" t="s">
        <v>144</v>
      </c>
      <c r="T285" t="s">
        <v>470</v>
      </c>
      <c r="V285" t="s">
        <v>471</v>
      </c>
      <c r="W285" t="s">
        <v>38</v>
      </c>
      <c r="X285" s="6" t="s">
        <v>472</v>
      </c>
      <c r="Y285" s="6"/>
      <c r="Z285" t="s">
        <v>148</v>
      </c>
      <c r="AA285" t="s">
        <v>149</v>
      </c>
      <c r="AC285" t="s">
        <v>150</v>
      </c>
      <c r="AD285" s="6" t="s">
        <v>1393</v>
      </c>
      <c r="AF285" s="3">
        <v>35924</v>
      </c>
      <c r="AG285">
        <v>28</v>
      </c>
      <c r="AH285" t="b">
        <v>0</v>
      </c>
      <c r="AI285" t="b">
        <v>1</v>
      </c>
      <c r="AJ285" s="6" t="s">
        <v>679</v>
      </c>
      <c r="AK285" s="6" t="s">
        <v>171</v>
      </c>
      <c r="AL285" t="b">
        <v>0</v>
      </c>
      <c r="AM285" s="6"/>
      <c r="AN285" s="6"/>
      <c r="AP285" t="b">
        <v>0</v>
      </c>
      <c r="AQ285" s="6"/>
      <c r="AR285" s="6"/>
      <c r="AT285" t="b">
        <v>0</v>
      </c>
      <c r="AU285" s="6"/>
      <c r="AV285" s="6"/>
      <c r="AX285" t="b">
        <v>0</v>
      </c>
      <c r="AY285" s="6"/>
      <c r="AZ285" s="6"/>
      <c r="BA285" t="b">
        <v>0</v>
      </c>
      <c r="BB285" s="6"/>
      <c r="BC285" t="b">
        <v>0</v>
      </c>
      <c r="BD285" s="6"/>
      <c r="BE285" s="6"/>
      <c r="BF285" t="b">
        <v>1</v>
      </c>
      <c r="BG285" s="6" t="s">
        <v>1853</v>
      </c>
      <c r="BH285" t="b">
        <v>1</v>
      </c>
      <c r="BI285" s="6" t="s">
        <v>680</v>
      </c>
      <c r="BJ285" t="b">
        <v>0</v>
      </c>
      <c r="BK285" t="s">
        <v>1563</v>
      </c>
      <c r="BL285" t="b">
        <v>0</v>
      </c>
      <c r="BM285" t="b">
        <v>0</v>
      </c>
      <c r="BN285" t="b">
        <v>0</v>
      </c>
      <c r="BO285" t="b">
        <v>0</v>
      </c>
      <c r="BQ285" t="b">
        <v>0</v>
      </c>
      <c r="BR285" s="6"/>
      <c r="BT285" t="b">
        <v>0</v>
      </c>
      <c r="BU285" t="s">
        <v>1564</v>
      </c>
      <c r="BV285" t="s">
        <v>504</v>
      </c>
      <c r="BW285" t="s">
        <v>154</v>
      </c>
      <c r="BX285" t="s">
        <v>44</v>
      </c>
      <c r="BY285" s="6" t="s">
        <v>681</v>
      </c>
      <c r="BZ285">
        <v>1</v>
      </c>
      <c r="CA285" t="s">
        <v>157</v>
      </c>
      <c r="CB285" s="7">
        <v>46315.0537962963</v>
      </c>
    </row>
    <row r="286" spans="1:80">
      <c r="A286" s="6" t="s">
        <v>1854</v>
      </c>
      <c r="B286" t="s">
        <v>491</v>
      </c>
      <c r="C286" s="6" t="s">
        <v>1552</v>
      </c>
      <c r="D286" s="6"/>
      <c r="E286" t="s">
        <v>1553</v>
      </c>
      <c r="F286" t="s">
        <v>1554</v>
      </c>
      <c r="G286" s="6">
        <v>53</v>
      </c>
      <c r="H286" s="6"/>
      <c r="I286" t="s">
        <v>491</v>
      </c>
      <c r="J286" s="3">
        <v>46280</v>
      </c>
      <c r="K286" t="s">
        <v>138</v>
      </c>
      <c r="L286" t="s">
        <v>139</v>
      </c>
      <c r="N286" t="s">
        <v>517</v>
      </c>
      <c r="Q286" t="s">
        <v>508</v>
      </c>
      <c r="S286" t="s">
        <v>144</v>
      </c>
      <c r="T286" t="s">
        <v>509</v>
      </c>
      <c r="V286" t="s">
        <v>510</v>
      </c>
      <c r="W286" t="s">
        <v>37</v>
      </c>
      <c r="X286" s="6" t="s">
        <v>511</v>
      </c>
      <c r="Y286" s="6"/>
      <c r="Z286" t="s">
        <v>148</v>
      </c>
      <c r="AA286" t="s">
        <v>149</v>
      </c>
      <c r="AC286" t="s">
        <v>150</v>
      </c>
      <c r="AD286" s="6"/>
      <c r="AF286" s="3">
        <v>40612</v>
      </c>
      <c r="AG286">
        <v>15</v>
      </c>
      <c r="AH286" t="b">
        <v>1</v>
      </c>
      <c r="AI286" t="b">
        <v>1</v>
      </c>
      <c r="AJ286" s="6" t="s">
        <v>1855</v>
      </c>
      <c r="AK286" s="6" t="s">
        <v>171</v>
      </c>
      <c r="AL286" t="b">
        <v>0</v>
      </c>
      <c r="AM286" s="6"/>
      <c r="AN286" s="6"/>
      <c r="AP286" t="b">
        <v>0</v>
      </c>
      <c r="AQ286" s="6"/>
      <c r="AR286" s="6"/>
      <c r="AT286" t="b">
        <v>0</v>
      </c>
      <c r="AU286" s="6"/>
      <c r="AV286" s="6"/>
      <c r="AX286" t="b">
        <v>0</v>
      </c>
      <c r="AY286" s="6"/>
      <c r="AZ286" s="6"/>
      <c r="BA286" t="b">
        <v>0</v>
      </c>
      <c r="BB286" s="6"/>
      <c r="BC286" t="b">
        <v>0</v>
      </c>
      <c r="BD286" s="6"/>
      <c r="BE286" s="6"/>
      <c r="BF286" t="b">
        <v>1</v>
      </c>
      <c r="BG286" s="6" t="s">
        <v>1856</v>
      </c>
      <c r="BH286" t="b">
        <v>1</v>
      </c>
      <c r="BI286" s="6" t="s">
        <v>1857</v>
      </c>
      <c r="BJ286" t="b">
        <v>0</v>
      </c>
      <c r="BK286" t="s">
        <v>1563</v>
      </c>
      <c r="BL286" t="b">
        <v>0</v>
      </c>
      <c r="BM286" t="b">
        <v>0</v>
      </c>
      <c r="BN286" t="b">
        <v>0</v>
      </c>
      <c r="BO286" t="b">
        <v>0</v>
      </c>
      <c r="BQ286" t="b">
        <v>0</v>
      </c>
      <c r="BR286" s="6"/>
      <c r="BT286" t="b">
        <v>0</v>
      </c>
      <c r="BU286" t="s">
        <v>1564</v>
      </c>
      <c r="BV286" t="s">
        <v>504</v>
      </c>
      <c r="BW286" t="s">
        <v>154</v>
      </c>
      <c r="BX286" t="s">
        <v>261</v>
      </c>
      <c r="BY286" s="6" t="s">
        <v>518</v>
      </c>
      <c r="BZ286">
        <v>1</v>
      </c>
      <c r="CA286" t="s">
        <v>157</v>
      </c>
      <c r="CB286" s="7">
        <v>46315.0537962963</v>
      </c>
    </row>
    <row r="287" spans="1:80">
      <c r="A287" s="6" t="s">
        <v>1858</v>
      </c>
      <c r="B287" t="s">
        <v>491</v>
      </c>
      <c r="C287" s="6" t="s">
        <v>1552</v>
      </c>
      <c r="D287" s="6"/>
      <c r="E287" t="s">
        <v>1553</v>
      </c>
      <c r="F287" t="s">
        <v>1554</v>
      </c>
      <c r="G287" s="6">
        <v>54</v>
      </c>
      <c r="H287" s="6"/>
      <c r="I287" t="s">
        <v>491</v>
      </c>
      <c r="J287" s="3">
        <v>46280</v>
      </c>
      <c r="K287" t="s">
        <v>138</v>
      </c>
      <c r="L287" t="s">
        <v>139</v>
      </c>
      <c r="N287" t="s">
        <v>1473</v>
      </c>
      <c r="Q287" t="s">
        <v>1859</v>
      </c>
      <c r="S287" t="s">
        <v>144</v>
      </c>
      <c r="T287" t="s">
        <v>1860</v>
      </c>
      <c r="V287" t="s">
        <v>1861</v>
      </c>
      <c r="W287" t="s">
        <v>38</v>
      </c>
      <c r="X287" s="6" t="s">
        <v>1862</v>
      </c>
      <c r="Y287" s="6"/>
      <c r="Z287" t="s">
        <v>148</v>
      </c>
      <c r="AA287" t="s">
        <v>205</v>
      </c>
      <c r="AC287" t="s">
        <v>150</v>
      </c>
      <c r="AD287" s="6" t="s">
        <v>1863</v>
      </c>
      <c r="AF287" s="3">
        <v>25731</v>
      </c>
      <c r="AG287">
        <v>56</v>
      </c>
      <c r="AH287" t="b">
        <v>0</v>
      </c>
      <c r="AI287" t="b">
        <v>1</v>
      </c>
      <c r="AJ287" s="6" t="s">
        <v>1864</v>
      </c>
      <c r="AK287" s="6" t="s">
        <v>171</v>
      </c>
      <c r="AL287" t="b">
        <v>0</v>
      </c>
      <c r="AM287" s="6"/>
      <c r="AN287" s="6"/>
      <c r="AP287" t="b">
        <v>0</v>
      </c>
      <c r="AQ287" s="6"/>
      <c r="AR287" s="6"/>
      <c r="AT287" t="b">
        <v>0</v>
      </c>
      <c r="AU287" s="6"/>
      <c r="AV287" s="6"/>
      <c r="AX287" t="b">
        <v>0</v>
      </c>
      <c r="AY287" s="6"/>
      <c r="AZ287" s="6"/>
      <c r="BA287" t="b">
        <v>0</v>
      </c>
      <c r="BB287" s="6"/>
      <c r="BC287" t="b">
        <v>0</v>
      </c>
      <c r="BD287" s="6"/>
      <c r="BE287" s="6"/>
      <c r="BF287" t="b">
        <v>1</v>
      </c>
      <c r="BG287" s="6" t="s">
        <v>1865</v>
      </c>
      <c r="BH287" t="b">
        <v>1</v>
      </c>
      <c r="BI287" s="6" t="s">
        <v>1866</v>
      </c>
      <c r="BJ287" t="b">
        <v>0</v>
      </c>
      <c r="BK287" t="s">
        <v>1563</v>
      </c>
      <c r="BL287" t="b">
        <v>0</v>
      </c>
      <c r="BM287" t="b">
        <v>0</v>
      </c>
      <c r="BN287" t="b">
        <v>0</v>
      </c>
      <c r="BO287" t="b">
        <v>0</v>
      </c>
      <c r="BQ287" t="b">
        <v>0</v>
      </c>
      <c r="BR287" s="6"/>
      <c r="BT287" t="b">
        <v>0</v>
      </c>
      <c r="BU287" t="s">
        <v>1564</v>
      </c>
      <c r="BV287" t="s">
        <v>504</v>
      </c>
      <c r="BW287" t="s">
        <v>154</v>
      </c>
      <c r="BX287" t="s">
        <v>1867</v>
      </c>
      <c r="BY287" s="6" t="s">
        <v>1868</v>
      </c>
      <c r="BZ287">
        <v>1</v>
      </c>
      <c r="CA287" t="s">
        <v>157</v>
      </c>
      <c r="CB287" s="7">
        <v>46315.0537962963</v>
      </c>
    </row>
    <row r="288" spans="1:80">
      <c r="A288" s="6" t="s">
        <v>1869</v>
      </c>
      <c r="B288" t="s">
        <v>491</v>
      </c>
      <c r="C288" s="6" t="s">
        <v>1552</v>
      </c>
      <c r="D288" s="6"/>
      <c r="E288" t="s">
        <v>1553</v>
      </c>
      <c r="F288" t="s">
        <v>1554</v>
      </c>
      <c r="G288" s="6">
        <v>55</v>
      </c>
      <c r="H288" s="6"/>
      <c r="I288" t="s">
        <v>491</v>
      </c>
      <c r="J288" s="3">
        <v>46280</v>
      </c>
      <c r="K288" t="s">
        <v>138</v>
      </c>
      <c r="L288" t="s">
        <v>139</v>
      </c>
      <c r="N288" t="s">
        <v>642</v>
      </c>
      <c r="O288" t="s">
        <v>259</v>
      </c>
      <c r="P288" t="s">
        <v>259</v>
      </c>
      <c r="Q288" t="s">
        <v>268</v>
      </c>
      <c r="S288" t="s">
        <v>144</v>
      </c>
      <c r="T288" t="s">
        <v>269</v>
      </c>
      <c r="V288" t="s">
        <v>636</v>
      </c>
      <c r="W288" t="s">
        <v>33</v>
      </c>
      <c r="X288" s="6" t="s">
        <v>271</v>
      </c>
      <c r="Y288" s="6"/>
      <c r="Z288" t="s">
        <v>148</v>
      </c>
      <c r="AA288" t="s">
        <v>149</v>
      </c>
      <c r="AC288" t="s">
        <v>150</v>
      </c>
      <c r="AD288" s="6"/>
      <c r="AF288" s="3">
        <v>45244</v>
      </c>
      <c r="AG288">
        <v>2</v>
      </c>
      <c r="AH288" t="b">
        <v>1</v>
      </c>
      <c r="AI288" t="b">
        <v>1</v>
      </c>
      <c r="AJ288" s="6" t="s">
        <v>1870</v>
      </c>
      <c r="AK288" s="6" t="s">
        <v>171</v>
      </c>
      <c r="AL288" t="b">
        <v>0</v>
      </c>
      <c r="AM288" s="6"/>
      <c r="AN288" s="6"/>
      <c r="AP288" t="b">
        <v>0</v>
      </c>
      <c r="AQ288" s="6"/>
      <c r="AR288" s="6"/>
      <c r="AT288" t="b">
        <v>0</v>
      </c>
      <c r="AU288" s="6"/>
      <c r="AV288" s="6"/>
      <c r="AX288" t="b">
        <v>0</v>
      </c>
      <c r="AY288" s="6"/>
      <c r="AZ288" s="6"/>
      <c r="BA288" t="b">
        <v>0</v>
      </c>
      <c r="BB288" s="6"/>
      <c r="BC288" t="b">
        <v>0</v>
      </c>
      <c r="BD288" s="6"/>
      <c r="BE288" s="6"/>
      <c r="BF288" t="b">
        <v>1</v>
      </c>
      <c r="BG288" s="6" t="s">
        <v>1871</v>
      </c>
      <c r="BH288" t="b">
        <v>1</v>
      </c>
      <c r="BI288" s="6" t="s">
        <v>1872</v>
      </c>
      <c r="BJ288" t="b">
        <v>0</v>
      </c>
      <c r="BK288" t="s">
        <v>1563</v>
      </c>
      <c r="BL288" t="b">
        <v>0</v>
      </c>
      <c r="BM288" t="b">
        <v>0</v>
      </c>
      <c r="BN288" t="b">
        <v>0</v>
      </c>
      <c r="BO288" t="b">
        <v>0</v>
      </c>
      <c r="BQ288" t="b">
        <v>0</v>
      </c>
      <c r="BR288" s="6"/>
      <c r="BT288" t="b">
        <v>0</v>
      </c>
      <c r="BU288" t="s">
        <v>1564</v>
      </c>
      <c r="BV288" t="s">
        <v>504</v>
      </c>
      <c r="BW288" t="s">
        <v>154</v>
      </c>
      <c r="BX288" t="s">
        <v>261</v>
      </c>
      <c r="BY288" s="6" t="s">
        <v>643</v>
      </c>
      <c r="BZ288">
        <v>1</v>
      </c>
      <c r="CA288" t="s">
        <v>157</v>
      </c>
      <c r="CB288" s="7">
        <v>46315.0537962963</v>
      </c>
    </row>
    <row r="289" spans="1:80">
      <c r="A289" s="6" t="s">
        <v>1873</v>
      </c>
      <c r="B289" t="s">
        <v>491</v>
      </c>
      <c r="C289" s="6" t="s">
        <v>1552</v>
      </c>
      <c r="D289" s="6"/>
      <c r="E289" t="s">
        <v>1553</v>
      </c>
      <c r="F289" t="s">
        <v>1554</v>
      </c>
      <c r="G289" s="6">
        <v>56</v>
      </c>
      <c r="H289" s="6"/>
      <c r="I289" t="s">
        <v>491</v>
      </c>
      <c r="J289" s="3">
        <v>46280</v>
      </c>
      <c r="K289" t="s">
        <v>138</v>
      </c>
      <c r="L289" t="s">
        <v>139</v>
      </c>
      <c r="N289" t="s">
        <v>258</v>
      </c>
      <c r="O289" t="s">
        <v>259</v>
      </c>
      <c r="P289" t="s">
        <v>259</v>
      </c>
      <c r="Q289" t="s">
        <v>248</v>
      </c>
      <c r="S289" t="s">
        <v>144</v>
      </c>
      <c r="T289" t="s">
        <v>250</v>
      </c>
      <c r="V289" t="s">
        <v>251</v>
      </c>
      <c r="W289" t="s">
        <v>39</v>
      </c>
      <c r="X289" s="6" t="s">
        <v>252</v>
      </c>
      <c r="Y289" s="6"/>
      <c r="Z289" t="s">
        <v>148</v>
      </c>
      <c r="AA289" t="s">
        <v>149</v>
      </c>
      <c r="AC289" t="s">
        <v>150</v>
      </c>
      <c r="AD289" s="6"/>
      <c r="AF289" s="3">
        <v>43220</v>
      </c>
      <c r="AG289">
        <v>8</v>
      </c>
      <c r="AH289" t="b">
        <v>1</v>
      </c>
      <c r="AI289" t="b">
        <v>1</v>
      </c>
      <c r="AJ289" s="6" t="s">
        <v>1874</v>
      </c>
      <c r="AK289" s="6" t="s">
        <v>171</v>
      </c>
      <c r="AL289" t="b">
        <v>0</v>
      </c>
      <c r="AM289" s="6"/>
      <c r="AN289" s="6"/>
      <c r="AP289" t="b">
        <v>0</v>
      </c>
      <c r="AQ289" s="6"/>
      <c r="AR289" s="6"/>
      <c r="AT289" t="b">
        <v>0</v>
      </c>
      <c r="AU289" s="6"/>
      <c r="AV289" s="6"/>
      <c r="AX289" t="b">
        <v>0</v>
      </c>
      <c r="AY289" s="6"/>
      <c r="AZ289" s="6"/>
      <c r="BA289" t="b">
        <v>0</v>
      </c>
      <c r="BB289" s="6"/>
      <c r="BC289" t="b">
        <v>0</v>
      </c>
      <c r="BD289" s="6"/>
      <c r="BE289" s="6"/>
      <c r="BF289" t="b">
        <v>1</v>
      </c>
      <c r="BG289" s="6" t="s">
        <v>1875</v>
      </c>
      <c r="BH289" t="b">
        <v>1</v>
      </c>
      <c r="BI289" s="6" t="s">
        <v>1876</v>
      </c>
      <c r="BJ289" t="b">
        <v>0</v>
      </c>
      <c r="BK289" t="s">
        <v>1563</v>
      </c>
      <c r="BL289" t="b">
        <v>0</v>
      </c>
      <c r="BM289" t="b">
        <v>0</v>
      </c>
      <c r="BN289" t="b">
        <v>0</v>
      </c>
      <c r="BO289" t="b">
        <v>0</v>
      </c>
      <c r="BQ289" t="b">
        <v>0</v>
      </c>
      <c r="BR289" s="6"/>
      <c r="BT289" t="b">
        <v>0</v>
      </c>
      <c r="BU289" t="s">
        <v>1564</v>
      </c>
      <c r="BV289" t="s">
        <v>504</v>
      </c>
      <c r="BW289" t="s">
        <v>154</v>
      </c>
      <c r="BX289" t="s">
        <v>1877</v>
      </c>
      <c r="BY289" s="6" t="s">
        <v>262</v>
      </c>
      <c r="BZ289">
        <v>1</v>
      </c>
      <c r="CA289" t="s">
        <v>157</v>
      </c>
      <c r="CB289" s="7">
        <v>46315.0537962963</v>
      </c>
    </row>
    <row r="290" spans="1:80">
      <c r="A290" s="6" t="s">
        <v>1878</v>
      </c>
      <c r="B290" t="s">
        <v>491</v>
      </c>
      <c r="C290" s="6" t="s">
        <v>1552</v>
      </c>
      <c r="D290" s="6"/>
      <c r="E290" t="s">
        <v>1553</v>
      </c>
      <c r="F290" t="s">
        <v>1554</v>
      </c>
      <c r="G290" s="6">
        <v>57</v>
      </c>
      <c r="H290" s="6"/>
      <c r="I290" t="s">
        <v>491</v>
      </c>
      <c r="J290" s="3">
        <v>46280</v>
      </c>
      <c r="K290" t="s">
        <v>138</v>
      </c>
      <c r="L290" t="s">
        <v>139</v>
      </c>
      <c r="N290" t="s">
        <v>585</v>
      </c>
      <c r="Q290" t="s">
        <v>248</v>
      </c>
      <c r="S290" t="s">
        <v>144</v>
      </c>
      <c r="T290" t="s">
        <v>250</v>
      </c>
      <c r="V290" t="s">
        <v>251</v>
      </c>
      <c r="W290" t="s">
        <v>39</v>
      </c>
      <c r="X290" s="6" t="s">
        <v>252</v>
      </c>
      <c r="Y290" s="6"/>
      <c r="Z290" t="s">
        <v>148</v>
      </c>
      <c r="AA290" t="s">
        <v>149</v>
      </c>
      <c r="AC290" t="s">
        <v>150</v>
      </c>
      <c r="AD290" s="6" t="s">
        <v>1879</v>
      </c>
      <c r="AF290" s="3">
        <v>29069</v>
      </c>
      <c r="AG290">
        <v>47</v>
      </c>
      <c r="AH290" t="b">
        <v>0</v>
      </c>
      <c r="AI290" t="b">
        <v>1</v>
      </c>
      <c r="AJ290" s="6" t="s">
        <v>1880</v>
      </c>
      <c r="AK290" s="6" t="s">
        <v>171</v>
      </c>
      <c r="AL290" t="b">
        <v>0</v>
      </c>
      <c r="AM290" s="6"/>
      <c r="AN290" s="6"/>
      <c r="AP290" t="b">
        <v>0</v>
      </c>
      <c r="AQ290" s="6"/>
      <c r="AR290" s="6"/>
      <c r="AT290" t="b">
        <v>0</v>
      </c>
      <c r="AU290" s="6"/>
      <c r="AV290" s="6"/>
      <c r="AX290" t="b">
        <v>0</v>
      </c>
      <c r="AY290" s="6"/>
      <c r="AZ290" s="6"/>
      <c r="BA290" t="b">
        <v>0</v>
      </c>
      <c r="BB290" s="6"/>
      <c r="BC290" t="b">
        <v>0</v>
      </c>
      <c r="BD290" s="6"/>
      <c r="BE290" s="6"/>
      <c r="BF290" t="b">
        <v>1</v>
      </c>
      <c r="BG290" s="6" t="s">
        <v>1881</v>
      </c>
      <c r="BH290" t="b">
        <v>1</v>
      </c>
      <c r="BI290" s="6" t="s">
        <v>1882</v>
      </c>
      <c r="BJ290" t="b">
        <v>0</v>
      </c>
      <c r="BK290" t="s">
        <v>1563</v>
      </c>
      <c r="BL290" t="b">
        <v>0</v>
      </c>
      <c r="BM290" t="b">
        <v>0</v>
      </c>
      <c r="BN290" t="b">
        <v>0</v>
      </c>
      <c r="BO290" t="b">
        <v>0</v>
      </c>
      <c r="BQ290" t="b">
        <v>0</v>
      </c>
      <c r="BR290" s="6"/>
      <c r="BT290" t="b">
        <v>0</v>
      </c>
      <c r="BU290" t="s">
        <v>1564</v>
      </c>
      <c r="BV290" t="s">
        <v>504</v>
      </c>
      <c r="BW290" t="s">
        <v>154</v>
      </c>
      <c r="BX290" t="s">
        <v>52</v>
      </c>
      <c r="BY290" s="6" t="s">
        <v>586</v>
      </c>
      <c r="BZ290">
        <v>1</v>
      </c>
      <c r="CA290" t="s">
        <v>157</v>
      </c>
      <c r="CB290" s="7">
        <v>46315.0537962963</v>
      </c>
    </row>
    <row r="291" spans="1:80">
      <c r="A291" s="6" t="s">
        <v>1883</v>
      </c>
      <c r="B291" t="s">
        <v>491</v>
      </c>
      <c r="C291" s="6" t="s">
        <v>1552</v>
      </c>
      <c r="D291" s="6"/>
      <c r="E291" t="s">
        <v>1553</v>
      </c>
      <c r="F291" t="s">
        <v>1554</v>
      </c>
      <c r="G291" s="6">
        <v>58</v>
      </c>
      <c r="H291" s="6"/>
      <c r="I291" t="s">
        <v>491</v>
      </c>
      <c r="J291" s="3">
        <v>46280</v>
      </c>
      <c r="K291" t="s">
        <v>138</v>
      </c>
      <c r="L291" t="s">
        <v>139</v>
      </c>
      <c r="N291" t="s">
        <v>247</v>
      </c>
      <c r="O291" t="s">
        <v>324</v>
      </c>
      <c r="P291" t="s">
        <v>324</v>
      </c>
      <c r="Q291" t="s">
        <v>1884</v>
      </c>
      <c r="S291" t="s">
        <v>144</v>
      </c>
      <c r="T291" t="s">
        <v>602</v>
      </c>
      <c r="V291" t="s">
        <v>603</v>
      </c>
      <c r="W291" t="s">
        <v>40</v>
      </c>
      <c r="X291" s="6" t="s">
        <v>604</v>
      </c>
      <c r="Y291" s="6"/>
      <c r="Z291" t="s">
        <v>148</v>
      </c>
      <c r="AA291" t="s">
        <v>149</v>
      </c>
      <c r="AC291" t="s">
        <v>150</v>
      </c>
      <c r="AD291" s="6" t="s">
        <v>1885</v>
      </c>
      <c r="AF291" s="3">
        <v>21078</v>
      </c>
      <c r="AG291">
        <v>69</v>
      </c>
      <c r="AH291" t="b">
        <v>0</v>
      </c>
      <c r="AI291" t="b">
        <v>1</v>
      </c>
      <c r="AJ291" s="6" t="s">
        <v>1886</v>
      </c>
      <c r="AK291" s="6" t="s">
        <v>171</v>
      </c>
      <c r="AL291" t="b">
        <v>0</v>
      </c>
      <c r="AM291" s="6"/>
      <c r="AN291" s="6"/>
      <c r="AP291" t="b">
        <v>0</v>
      </c>
      <c r="AQ291" s="6"/>
      <c r="AR291" s="6"/>
      <c r="AT291" t="b">
        <v>0</v>
      </c>
      <c r="AU291" s="6"/>
      <c r="AV291" s="6"/>
      <c r="AX291" t="b">
        <v>0</v>
      </c>
      <c r="AY291" s="6"/>
      <c r="AZ291" s="6"/>
      <c r="BA291" t="b">
        <v>0</v>
      </c>
      <c r="BB291" s="6"/>
      <c r="BC291" t="b">
        <v>0</v>
      </c>
      <c r="BD291" s="6"/>
      <c r="BE291" s="6"/>
      <c r="BF291" t="b">
        <v>1</v>
      </c>
      <c r="BG291" s="6" t="s">
        <v>1887</v>
      </c>
      <c r="BH291" t="b">
        <v>1</v>
      </c>
      <c r="BI291" s="6" t="s">
        <v>1888</v>
      </c>
      <c r="BJ291" t="b">
        <v>0</v>
      </c>
      <c r="BK291" t="s">
        <v>1563</v>
      </c>
      <c r="BL291" t="b">
        <v>0</v>
      </c>
      <c r="BM291" t="b">
        <v>0</v>
      </c>
      <c r="BN291" t="b">
        <v>0</v>
      </c>
      <c r="BO291" t="b">
        <v>0</v>
      </c>
      <c r="BQ291" t="b">
        <v>0</v>
      </c>
      <c r="BR291" s="6"/>
      <c r="BT291" t="b">
        <v>0</v>
      </c>
      <c r="BU291" t="s">
        <v>1564</v>
      </c>
      <c r="BV291" t="s">
        <v>504</v>
      </c>
      <c r="BW291" t="s">
        <v>171</v>
      </c>
      <c r="BY291" s="6" t="s">
        <v>1889</v>
      </c>
      <c r="BZ291">
        <v>1</v>
      </c>
      <c r="CB291" s="7">
        <v>46315.0537962963</v>
      </c>
    </row>
    <row r="292" spans="1:80">
      <c r="A292" s="6" t="s">
        <v>1890</v>
      </c>
      <c r="B292" t="s">
        <v>491</v>
      </c>
      <c r="C292" s="6" t="s">
        <v>1552</v>
      </c>
      <c r="D292" s="6"/>
      <c r="E292" t="s">
        <v>1553</v>
      </c>
      <c r="F292" t="s">
        <v>1554</v>
      </c>
      <c r="G292" s="6">
        <v>59</v>
      </c>
      <c r="H292" s="6"/>
      <c r="I292" t="s">
        <v>491</v>
      </c>
      <c r="J292" s="3">
        <v>46280</v>
      </c>
      <c r="K292" t="s">
        <v>138</v>
      </c>
      <c r="L292" t="s">
        <v>139</v>
      </c>
      <c r="N292" t="s">
        <v>1891</v>
      </c>
      <c r="Q292" t="s">
        <v>547</v>
      </c>
      <c r="S292" t="s">
        <v>144</v>
      </c>
      <c r="T292" t="s">
        <v>1334</v>
      </c>
      <c r="V292" t="s">
        <v>1335</v>
      </c>
      <c r="W292" t="s">
        <v>38</v>
      </c>
      <c r="X292" s="6" t="s">
        <v>1336</v>
      </c>
      <c r="Y292" s="6"/>
      <c r="Z292" t="s">
        <v>148</v>
      </c>
      <c r="AA292" t="s">
        <v>149</v>
      </c>
      <c r="AC292" t="s">
        <v>150</v>
      </c>
      <c r="AD292" s="6" t="s">
        <v>1189</v>
      </c>
      <c r="AF292" s="3">
        <v>23037</v>
      </c>
      <c r="AG292">
        <v>63</v>
      </c>
      <c r="AH292" t="b">
        <v>0</v>
      </c>
      <c r="AI292" t="b">
        <v>1</v>
      </c>
      <c r="AJ292" s="6" t="s">
        <v>1892</v>
      </c>
      <c r="AK292" s="6" t="s">
        <v>171</v>
      </c>
      <c r="AL292" t="b">
        <v>0</v>
      </c>
      <c r="AM292" s="6"/>
      <c r="AN292" s="6"/>
      <c r="AP292" t="b">
        <v>0</v>
      </c>
      <c r="AQ292" s="6"/>
      <c r="AR292" s="6"/>
      <c r="AT292" t="b">
        <v>0</v>
      </c>
      <c r="AU292" s="6"/>
      <c r="AV292" s="6"/>
      <c r="AX292" t="b">
        <v>0</v>
      </c>
      <c r="AY292" s="6"/>
      <c r="AZ292" s="6"/>
      <c r="BA292" t="b">
        <v>0</v>
      </c>
      <c r="BB292" s="6"/>
      <c r="BC292" t="b">
        <v>0</v>
      </c>
      <c r="BD292" s="6"/>
      <c r="BE292" s="6"/>
      <c r="BF292" t="b">
        <v>1</v>
      </c>
      <c r="BG292" s="6" t="s">
        <v>1893</v>
      </c>
      <c r="BH292" t="b">
        <v>1</v>
      </c>
      <c r="BI292" s="6" t="s">
        <v>1894</v>
      </c>
      <c r="BJ292" t="b">
        <v>0</v>
      </c>
      <c r="BK292" t="s">
        <v>1563</v>
      </c>
      <c r="BL292" t="b">
        <v>0</v>
      </c>
      <c r="BM292" t="b">
        <v>0</v>
      </c>
      <c r="BN292" t="b">
        <v>0</v>
      </c>
      <c r="BO292" t="b">
        <v>0</v>
      </c>
      <c r="BQ292" t="b">
        <v>0</v>
      </c>
      <c r="BR292" s="6"/>
      <c r="BT292" t="b">
        <v>0</v>
      </c>
      <c r="BU292" t="s">
        <v>1564</v>
      </c>
      <c r="BV292" t="s">
        <v>504</v>
      </c>
      <c r="BW292" t="s">
        <v>154</v>
      </c>
      <c r="BX292" t="s">
        <v>44</v>
      </c>
      <c r="BY292" s="6" t="s">
        <v>1895</v>
      </c>
      <c r="BZ292">
        <v>1</v>
      </c>
      <c r="CA292" t="s">
        <v>157</v>
      </c>
      <c r="CB292" s="7">
        <v>46315.0537962963</v>
      </c>
    </row>
    <row r="293" spans="1:80">
      <c r="A293" s="6" t="s">
        <v>1896</v>
      </c>
      <c r="B293" t="s">
        <v>491</v>
      </c>
      <c r="C293" s="6" t="s">
        <v>1552</v>
      </c>
      <c r="D293" s="6"/>
      <c r="E293" t="s">
        <v>1553</v>
      </c>
      <c r="F293" t="s">
        <v>1554</v>
      </c>
      <c r="G293" s="6">
        <v>60</v>
      </c>
      <c r="H293" s="6"/>
      <c r="I293" t="s">
        <v>491</v>
      </c>
      <c r="J293" s="3">
        <v>46280</v>
      </c>
      <c r="K293" t="s">
        <v>138</v>
      </c>
      <c r="L293" t="s">
        <v>139</v>
      </c>
      <c r="N293" t="s">
        <v>1897</v>
      </c>
      <c r="Q293" t="s">
        <v>236</v>
      </c>
      <c r="S293" t="s">
        <v>144</v>
      </c>
      <c r="T293" t="s">
        <v>237</v>
      </c>
      <c r="V293" t="s">
        <v>238</v>
      </c>
      <c r="W293" t="s">
        <v>37</v>
      </c>
      <c r="X293" s="6" t="s">
        <v>239</v>
      </c>
      <c r="Y293" s="6"/>
      <c r="Z293" t="s">
        <v>148</v>
      </c>
      <c r="AA293" t="s">
        <v>149</v>
      </c>
      <c r="AC293" t="s">
        <v>150</v>
      </c>
      <c r="AD293" s="6"/>
      <c r="AF293" s="3">
        <v>41723</v>
      </c>
      <c r="AG293">
        <v>12</v>
      </c>
      <c r="AH293" t="b">
        <v>1</v>
      </c>
      <c r="AI293" t="b">
        <v>1</v>
      </c>
      <c r="AJ293" s="6" t="s">
        <v>1898</v>
      </c>
      <c r="AK293" s="6" t="s">
        <v>171</v>
      </c>
      <c r="AL293" t="b">
        <v>0</v>
      </c>
      <c r="AM293" s="6"/>
      <c r="AN293" s="6"/>
      <c r="AP293" t="b">
        <v>0</v>
      </c>
      <c r="AQ293" s="6"/>
      <c r="AR293" s="6"/>
      <c r="AT293" t="b">
        <v>0</v>
      </c>
      <c r="AU293" s="6"/>
      <c r="AV293" s="6"/>
      <c r="AX293" t="b">
        <v>0</v>
      </c>
      <c r="AY293" s="6"/>
      <c r="AZ293" s="6"/>
      <c r="BA293" t="b">
        <v>0</v>
      </c>
      <c r="BB293" s="6"/>
      <c r="BC293" t="b">
        <v>0</v>
      </c>
      <c r="BD293" s="6"/>
      <c r="BE293" s="6"/>
      <c r="BF293" t="b">
        <v>1</v>
      </c>
      <c r="BG293" s="6" t="s">
        <v>1899</v>
      </c>
      <c r="BH293" t="b">
        <v>1</v>
      </c>
      <c r="BI293" s="6" t="s">
        <v>1900</v>
      </c>
      <c r="BJ293" t="b">
        <v>0</v>
      </c>
      <c r="BK293" t="s">
        <v>1563</v>
      </c>
      <c r="BL293" t="b">
        <v>0</v>
      </c>
      <c r="BM293" t="b">
        <v>0</v>
      </c>
      <c r="BN293" t="b">
        <v>0</v>
      </c>
      <c r="BO293" t="b">
        <v>0</v>
      </c>
      <c r="BQ293" t="b">
        <v>0</v>
      </c>
      <c r="BR293" s="6"/>
      <c r="BT293" t="b">
        <v>0</v>
      </c>
      <c r="BU293" t="s">
        <v>1564</v>
      </c>
      <c r="BV293" t="s">
        <v>504</v>
      </c>
      <c r="BW293" t="s">
        <v>154</v>
      </c>
      <c r="BX293" t="s">
        <v>261</v>
      </c>
      <c r="BY293" s="6" t="s">
        <v>1901</v>
      </c>
      <c r="BZ293">
        <v>1</v>
      </c>
      <c r="CA293" t="s">
        <v>157</v>
      </c>
      <c r="CB293" s="7">
        <v>46315.0537962963</v>
      </c>
    </row>
    <row r="294" spans="1:80">
      <c r="A294" s="6" t="s">
        <v>1902</v>
      </c>
      <c r="B294" t="s">
        <v>491</v>
      </c>
      <c r="C294" s="6" t="s">
        <v>1552</v>
      </c>
      <c r="D294" s="6"/>
      <c r="E294" t="s">
        <v>1553</v>
      </c>
      <c r="F294" t="s">
        <v>1554</v>
      </c>
      <c r="G294" s="6">
        <v>61</v>
      </c>
      <c r="H294" s="6"/>
      <c r="I294" t="s">
        <v>491</v>
      </c>
      <c r="J294" s="3">
        <v>46280</v>
      </c>
      <c r="K294" t="s">
        <v>138</v>
      </c>
      <c r="L294" t="s">
        <v>139</v>
      </c>
      <c r="N294" t="s">
        <v>1209</v>
      </c>
      <c r="Q294" t="s">
        <v>988</v>
      </c>
      <c r="S294" t="s">
        <v>144</v>
      </c>
      <c r="T294" t="s">
        <v>1160</v>
      </c>
      <c r="V294" t="s">
        <v>1161</v>
      </c>
      <c r="W294" t="s">
        <v>33</v>
      </c>
      <c r="X294" s="6" t="s">
        <v>1162</v>
      </c>
      <c r="Y294" s="6"/>
      <c r="Z294" t="s">
        <v>148</v>
      </c>
      <c r="AA294" t="s">
        <v>205</v>
      </c>
      <c r="AC294" t="s">
        <v>150</v>
      </c>
      <c r="AD294" s="6" t="s">
        <v>1903</v>
      </c>
      <c r="AF294" s="3">
        <v>21754</v>
      </c>
      <c r="AG294">
        <v>67</v>
      </c>
      <c r="AH294" t="b">
        <v>0</v>
      </c>
      <c r="AI294" t="b">
        <v>1</v>
      </c>
      <c r="AJ294" s="6" t="s">
        <v>1904</v>
      </c>
      <c r="AK294" s="6" t="s">
        <v>171</v>
      </c>
      <c r="AL294" t="b">
        <v>0</v>
      </c>
      <c r="AM294" s="6"/>
      <c r="AN294" s="6"/>
      <c r="AP294" t="b">
        <v>0</v>
      </c>
      <c r="AQ294" s="6"/>
      <c r="AR294" s="6"/>
      <c r="AT294" t="b">
        <v>0</v>
      </c>
      <c r="AU294" s="6"/>
      <c r="AV294" s="6"/>
      <c r="AX294" t="b">
        <v>0</v>
      </c>
      <c r="AY294" s="6"/>
      <c r="AZ294" s="6"/>
      <c r="BA294" t="b">
        <v>0</v>
      </c>
      <c r="BB294" s="6"/>
      <c r="BC294" t="b">
        <v>0</v>
      </c>
      <c r="BD294" s="6"/>
      <c r="BE294" s="6"/>
      <c r="BF294" t="b">
        <v>1</v>
      </c>
      <c r="BG294" s="6" t="s">
        <v>1905</v>
      </c>
      <c r="BH294" t="b">
        <v>1</v>
      </c>
      <c r="BI294" s="6" t="s">
        <v>1906</v>
      </c>
      <c r="BJ294" t="b">
        <v>0</v>
      </c>
      <c r="BK294" t="s">
        <v>1563</v>
      </c>
      <c r="BL294" t="b">
        <v>0</v>
      </c>
      <c r="BM294" t="b">
        <v>0</v>
      </c>
      <c r="BN294" t="b">
        <v>0</v>
      </c>
      <c r="BO294" t="b">
        <v>0</v>
      </c>
      <c r="BQ294" t="b">
        <v>0</v>
      </c>
      <c r="BR294" s="6"/>
      <c r="BT294" t="b">
        <v>0</v>
      </c>
      <c r="BU294" t="s">
        <v>1564</v>
      </c>
      <c r="BV294" t="s">
        <v>504</v>
      </c>
      <c r="BW294" t="s">
        <v>154</v>
      </c>
      <c r="BX294" t="s">
        <v>43</v>
      </c>
      <c r="BY294" s="6" t="s">
        <v>1907</v>
      </c>
      <c r="BZ294">
        <v>1</v>
      </c>
      <c r="CA294" t="s">
        <v>157</v>
      </c>
      <c r="CB294" s="7">
        <v>46315.0537962963</v>
      </c>
    </row>
    <row r="295" spans="1:80">
      <c r="A295" s="6" t="s">
        <v>1908</v>
      </c>
      <c r="B295" t="s">
        <v>491</v>
      </c>
      <c r="C295" s="6" t="s">
        <v>1552</v>
      </c>
      <c r="D295" s="6"/>
      <c r="E295" t="s">
        <v>1553</v>
      </c>
      <c r="F295" t="s">
        <v>1554</v>
      </c>
      <c r="G295" s="6">
        <v>62</v>
      </c>
      <c r="H295" s="6"/>
      <c r="I295" t="s">
        <v>491</v>
      </c>
      <c r="J295" s="3">
        <v>46280</v>
      </c>
      <c r="K295" t="s">
        <v>138</v>
      </c>
      <c r="L295" t="s">
        <v>139</v>
      </c>
      <c r="N295" t="s">
        <v>592</v>
      </c>
      <c r="Q295" t="s">
        <v>593</v>
      </c>
      <c r="S295" t="s">
        <v>144</v>
      </c>
      <c r="T295" t="s">
        <v>594</v>
      </c>
      <c r="V295" t="s">
        <v>595</v>
      </c>
      <c r="W295" t="s">
        <v>37</v>
      </c>
      <c r="X295" s="6" t="s">
        <v>596</v>
      </c>
      <c r="Y295" s="6"/>
      <c r="Z295" t="s">
        <v>148</v>
      </c>
      <c r="AA295" t="s">
        <v>205</v>
      </c>
      <c r="AC295" t="s">
        <v>150</v>
      </c>
      <c r="AD295" s="6" t="s">
        <v>1045</v>
      </c>
      <c r="AF295" s="3">
        <v>37086</v>
      </c>
      <c r="AG295">
        <v>25</v>
      </c>
      <c r="AH295" t="b">
        <v>0</v>
      </c>
      <c r="AI295" t="b">
        <v>1</v>
      </c>
      <c r="AJ295" s="6" t="s">
        <v>597</v>
      </c>
      <c r="AK295" s="6" t="s">
        <v>171</v>
      </c>
      <c r="AL295" t="b">
        <v>0</v>
      </c>
      <c r="AM295" s="6"/>
      <c r="AN295" s="6"/>
      <c r="AP295" t="b">
        <v>0</v>
      </c>
      <c r="AQ295" s="6"/>
      <c r="AR295" s="6"/>
      <c r="AT295" t="b">
        <v>0</v>
      </c>
      <c r="AU295" s="6"/>
      <c r="AV295" s="6"/>
      <c r="AX295" t="b">
        <v>0</v>
      </c>
      <c r="AY295" s="6"/>
      <c r="AZ295" s="6"/>
      <c r="BA295" t="b">
        <v>0</v>
      </c>
      <c r="BB295" s="6"/>
      <c r="BC295" t="b">
        <v>0</v>
      </c>
      <c r="BD295" s="6"/>
      <c r="BE295" s="6"/>
      <c r="BF295" t="b">
        <v>1</v>
      </c>
      <c r="BG295" s="6" t="s">
        <v>1909</v>
      </c>
      <c r="BH295" t="b">
        <v>1</v>
      </c>
      <c r="BI295" s="6" t="s">
        <v>598</v>
      </c>
      <c r="BJ295" t="b">
        <v>0</v>
      </c>
      <c r="BK295" t="s">
        <v>1563</v>
      </c>
      <c r="BL295" t="b">
        <v>0</v>
      </c>
      <c r="BM295" t="b">
        <v>0</v>
      </c>
      <c r="BN295" t="b">
        <v>0</v>
      </c>
      <c r="BO295" t="b">
        <v>0</v>
      </c>
      <c r="BQ295" t="b">
        <v>0</v>
      </c>
      <c r="BR295" s="6"/>
      <c r="BT295" t="b">
        <v>0</v>
      </c>
      <c r="BU295" t="s">
        <v>1564</v>
      </c>
      <c r="BV295" t="s">
        <v>504</v>
      </c>
      <c r="BW295" t="s">
        <v>154</v>
      </c>
      <c r="BX295" t="s">
        <v>792</v>
      </c>
      <c r="BY295" s="6" t="s">
        <v>599</v>
      </c>
      <c r="BZ295">
        <v>1</v>
      </c>
      <c r="CA295" t="s">
        <v>157</v>
      </c>
      <c r="CB295" s="7">
        <v>46315.0537962963</v>
      </c>
    </row>
    <row r="296" spans="1:80">
      <c r="A296" s="6" t="s">
        <v>1910</v>
      </c>
      <c r="B296" t="s">
        <v>491</v>
      </c>
      <c r="C296" s="6" t="s">
        <v>1552</v>
      </c>
      <c r="D296" s="6"/>
      <c r="E296" t="s">
        <v>1553</v>
      </c>
      <c r="F296" t="s">
        <v>1554</v>
      </c>
      <c r="G296" s="6">
        <v>63</v>
      </c>
      <c r="H296" s="6"/>
      <c r="I296" t="s">
        <v>491</v>
      </c>
      <c r="J296" s="3">
        <v>46280</v>
      </c>
      <c r="K296" t="s">
        <v>138</v>
      </c>
      <c r="L296" t="s">
        <v>139</v>
      </c>
      <c r="N296" t="s">
        <v>422</v>
      </c>
      <c r="O296" t="s">
        <v>163</v>
      </c>
      <c r="P296" t="s">
        <v>163</v>
      </c>
      <c r="Q296" t="s">
        <v>423</v>
      </c>
      <c r="S296" t="s">
        <v>144</v>
      </c>
      <c r="T296" t="s">
        <v>645</v>
      </c>
      <c r="V296" t="s">
        <v>646</v>
      </c>
      <c r="W296" t="s">
        <v>40</v>
      </c>
      <c r="X296" s="6" t="s">
        <v>647</v>
      </c>
      <c r="Y296" s="6"/>
      <c r="Z296" t="s">
        <v>148</v>
      </c>
      <c r="AA296" t="s">
        <v>149</v>
      </c>
      <c r="AC296" t="s">
        <v>150</v>
      </c>
      <c r="AD296" s="6" t="s">
        <v>1185</v>
      </c>
      <c r="AF296" s="3">
        <v>24586</v>
      </c>
      <c r="AG296">
        <v>59</v>
      </c>
      <c r="AH296" t="b">
        <v>0</v>
      </c>
      <c r="AI296" t="b">
        <v>1</v>
      </c>
      <c r="AJ296" s="6" t="s">
        <v>427</v>
      </c>
      <c r="AK296" s="6" t="s">
        <v>171</v>
      </c>
      <c r="AL296" t="b">
        <v>0</v>
      </c>
      <c r="AM296" s="6"/>
      <c r="AN296" s="6"/>
      <c r="AP296" t="b">
        <v>0</v>
      </c>
      <c r="AQ296" s="6"/>
      <c r="AR296" s="6"/>
      <c r="AT296" t="b">
        <v>0</v>
      </c>
      <c r="AU296" s="6"/>
      <c r="AV296" s="6"/>
      <c r="AX296" t="b">
        <v>0</v>
      </c>
      <c r="AY296" s="6"/>
      <c r="AZ296" s="6"/>
      <c r="BA296" t="b">
        <v>0</v>
      </c>
      <c r="BB296" s="6"/>
      <c r="BC296" t="b">
        <v>0</v>
      </c>
      <c r="BD296" s="6"/>
      <c r="BE296" s="6"/>
      <c r="BF296" t="b">
        <v>1</v>
      </c>
      <c r="BG296" s="6" t="s">
        <v>1911</v>
      </c>
      <c r="BH296" t="b">
        <v>1</v>
      </c>
      <c r="BI296" s="6" t="s">
        <v>648</v>
      </c>
      <c r="BJ296" t="b">
        <v>0</v>
      </c>
      <c r="BK296" t="s">
        <v>1563</v>
      </c>
      <c r="BL296" t="b">
        <v>0</v>
      </c>
      <c r="BM296" t="b">
        <v>0</v>
      </c>
      <c r="BN296" t="b">
        <v>0</v>
      </c>
      <c r="BO296" t="b">
        <v>0</v>
      </c>
      <c r="BQ296" t="b">
        <v>0</v>
      </c>
      <c r="BR296" s="6"/>
      <c r="BT296" t="b">
        <v>0</v>
      </c>
      <c r="BU296" t="s">
        <v>1564</v>
      </c>
      <c r="BV296" t="s">
        <v>504</v>
      </c>
      <c r="BW296" t="s">
        <v>171</v>
      </c>
      <c r="BX296" t="s">
        <v>51</v>
      </c>
      <c r="BY296" s="6" t="s">
        <v>429</v>
      </c>
      <c r="BZ296">
        <v>1</v>
      </c>
      <c r="CB296" s="7">
        <v>46315.0537962963</v>
      </c>
    </row>
    <row r="297" spans="1:80">
      <c r="A297" s="6" t="s">
        <v>1912</v>
      </c>
      <c r="B297" t="s">
        <v>491</v>
      </c>
      <c r="C297" s="6" t="s">
        <v>1552</v>
      </c>
      <c r="D297" s="6"/>
      <c r="E297" t="s">
        <v>1553</v>
      </c>
      <c r="F297" t="s">
        <v>1554</v>
      </c>
      <c r="G297" s="6">
        <v>64</v>
      </c>
      <c r="H297" s="6"/>
      <c r="I297" t="s">
        <v>491</v>
      </c>
      <c r="J297" s="3">
        <v>46280</v>
      </c>
      <c r="K297" t="s">
        <v>138</v>
      </c>
      <c r="L297" t="s">
        <v>139</v>
      </c>
      <c r="N297" t="s">
        <v>141</v>
      </c>
      <c r="O297" t="s">
        <v>142</v>
      </c>
      <c r="P297" t="s">
        <v>142</v>
      </c>
      <c r="Q297" t="s">
        <v>143</v>
      </c>
      <c r="S297" t="s">
        <v>144</v>
      </c>
      <c r="T297" t="s">
        <v>145</v>
      </c>
      <c r="V297" t="s">
        <v>146</v>
      </c>
      <c r="W297" t="s">
        <v>33</v>
      </c>
      <c r="X297" s="6" t="s">
        <v>147</v>
      </c>
      <c r="Y297" s="6"/>
      <c r="Z297" t="s">
        <v>148</v>
      </c>
      <c r="AA297" t="s">
        <v>149</v>
      </c>
      <c r="AC297" t="s">
        <v>150</v>
      </c>
      <c r="AD297" s="6" t="s">
        <v>1224</v>
      </c>
      <c r="AF297" s="3">
        <v>26808</v>
      </c>
      <c r="AG297">
        <v>53</v>
      </c>
      <c r="AH297" t="b">
        <v>0</v>
      </c>
      <c r="AI297" t="b">
        <v>1</v>
      </c>
      <c r="AJ297" s="6" t="s">
        <v>590</v>
      </c>
      <c r="AK297" s="6" t="s">
        <v>171</v>
      </c>
      <c r="AL297" t="b">
        <v>0</v>
      </c>
      <c r="AM297" s="6"/>
      <c r="AN297" s="6"/>
      <c r="AP297" t="b">
        <v>0</v>
      </c>
      <c r="AQ297" s="6"/>
      <c r="AR297" s="6"/>
      <c r="AT297" t="b">
        <v>0</v>
      </c>
      <c r="AU297" s="6"/>
      <c r="AV297" s="6"/>
      <c r="AX297" t="b">
        <v>0</v>
      </c>
      <c r="AY297" s="6"/>
      <c r="AZ297" s="6"/>
      <c r="BA297" t="b">
        <v>0</v>
      </c>
      <c r="BB297" s="6"/>
      <c r="BC297" t="b">
        <v>0</v>
      </c>
      <c r="BD297" s="6"/>
      <c r="BE297" s="6"/>
      <c r="BF297" t="b">
        <v>1</v>
      </c>
      <c r="BG297" s="6" t="s">
        <v>1913</v>
      </c>
      <c r="BH297" t="b">
        <v>1</v>
      </c>
      <c r="BI297" s="6" t="s">
        <v>151</v>
      </c>
      <c r="BJ297" t="b">
        <v>0</v>
      </c>
      <c r="BK297" t="s">
        <v>1563</v>
      </c>
      <c r="BL297" t="b">
        <v>0</v>
      </c>
      <c r="BM297" t="b">
        <v>0</v>
      </c>
      <c r="BN297" t="b">
        <v>0</v>
      </c>
      <c r="BO297" t="b">
        <v>0</v>
      </c>
      <c r="BQ297" t="b">
        <v>0</v>
      </c>
      <c r="BR297" s="6"/>
      <c r="BT297" t="b">
        <v>0</v>
      </c>
      <c r="BU297" t="s">
        <v>1564</v>
      </c>
      <c r="BV297" t="s">
        <v>504</v>
      </c>
      <c r="BW297" t="s">
        <v>154</v>
      </c>
      <c r="BX297" t="s">
        <v>1914</v>
      </c>
      <c r="BY297" s="6" t="s">
        <v>156</v>
      </c>
      <c r="BZ297">
        <v>1</v>
      </c>
      <c r="CA297" t="s">
        <v>157</v>
      </c>
      <c r="CB297" s="7">
        <v>46315.0537962963</v>
      </c>
    </row>
    <row r="298" spans="1:80">
      <c r="A298" s="6" t="s">
        <v>1915</v>
      </c>
      <c r="B298" t="s">
        <v>491</v>
      </c>
      <c r="C298" s="6" t="s">
        <v>1552</v>
      </c>
      <c r="D298" s="6"/>
      <c r="E298" t="s">
        <v>1553</v>
      </c>
      <c r="F298" t="s">
        <v>1554</v>
      </c>
      <c r="G298" s="6">
        <v>65</v>
      </c>
      <c r="H298" s="6"/>
      <c r="I298" t="s">
        <v>491</v>
      </c>
      <c r="J298" s="3">
        <v>46280</v>
      </c>
      <c r="K298" t="s">
        <v>138</v>
      </c>
      <c r="L298" t="s">
        <v>139</v>
      </c>
      <c r="N298" t="s">
        <v>1286</v>
      </c>
      <c r="O298" t="s">
        <v>142</v>
      </c>
      <c r="P298" t="s">
        <v>142</v>
      </c>
      <c r="Q298" t="s">
        <v>1916</v>
      </c>
      <c r="S298" t="s">
        <v>144</v>
      </c>
      <c r="T298" t="s">
        <v>1917</v>
      </c>
      <c r="V298" t="s">
        <v>1918</v>
      </c>
      <c r="W298" t="s">
        <v>40</v>
      </c>
      <c r="X298" s="6" t="s">
        <v>1919</v>
      </c>
      <c r="Y298" s="6"/>
      <c r="Z298" t="s">
        <v>148</v>
      </c>
      <c r="AA298" t="s">
        <v>205</v>
      </c>
      <c r="AC298" t="s">
        <v>150</v>
      </c>
      <c r="AD298" s="6" t="s">
        <v>1920</v>
      </c>
      <c r="AF298" s="3">
        <v>23729</v>
      </c>
      <c r="AG298">
        <v>61</v>
      </c>
      <c r="AH298" t="b">
        <v>0</v>
      </c>
      <c r="AI298" t="b">
        <v>1</v>
      </c>
      <c r="AJ298" s="6" t="s">
        <v>1921</v>
      </c>
      <c r="AK298" s="6" t="s">
        <v>171</v>
      </c>
      <c r="AL298" t="b">
        <v>0</v>
      </c>
      <c r="AM298" s="6"/>
      <c r="AN298" s="6"/>
      <c r="AP298" t="b">
        <v>0</v>
      </c>
      <c r="AQ298" s="6"/>
      <c r="AR298" s="6"/>
      <c r="AT298" t="b">
        <v>0</v>
      </c>
      <c r="AU298" s="6"/>
      <c r="AV298" s="6"/>
      <c r="AX298" t="b">
        <v>0</v>
      </c>
      <c r="AY298" s="6"/>
      <c r="AZ298" s="6"/>
      <c r="BA298" t="b">
        <v>0</v>
      </c>
      <c r="BB298" s="6"/>
      <c r="BC298" t="b">
        <v>0</v>
      </c>
      <c r="BD298" s="6"/>
      <c r="BE298" s="6"/>
      <c r="BF298" t="b">
        <v>1</v>
      </c>
      <c r="BG298" s="6" t="s">
        <v>1922</v>
      </c>
      <c r="BH298" t="b">
        <v>1</v>
      </c>
      <c r="BI298" s="6" t="s">
        <v>1923</v>
      </c>
      <c r="BJ298" t="b">
        <v>0</v>
      </c>
      <c r="BK298" t="s">
        <v>1563</v>
      </c>
      <c r="BL298" t="b">
        <v>0</v>
      </c>
      <c r="BM298" t="b">
        <v>0</v>
      </c>
      <c r="BN298" t="b">
        <v>0</v>
      </c>
      <c r="BO298" t="b">
        <v>0</v>
      </c>
      <c r="BQ298" t="b">
        <v>0</v>
      </c>
      <c r="BR298" s="6"/>
      <c r="BT298" t="b">
        <v>0</v>
      </c>
      <c r="BU298" t="s">
        <v>1564</v>
      </c>
      <c r="BV298" t="s">
        <v>504</v>
      </c>
      <c r="BW298" t="s">
        <v>154</v>
      </c>
      <c r="BX298" t="s">
        <v>43</v>
      </c>
      <c r="BY298" s="6" t="s">
        <v>1924</v>
      </c>
      <c r="BZ298">
        <v>1</v>
      </c>
      <c r="CA298" t="s">
        <v>157</v>
      </c>
      <c r="CB298" s="7">
        <v>46315.0537962963</v>
      </c>
    </row>
    <row r="299" spans="1:80">
      <c r="A299" s="6" t="s">
        <v>1925</v>
      </c>
      <c r="B299" t="s">
        <v>491</v>
      </c>
      <c r="C299" s="6" t="s">
        <v>1552</v>
      </c>
      <c r="D299" s="6"/>
      <c r="E299" t="s">
        <v>1553</v>
      </c>
      <c r="F299" t="s">
        <v>1554</v>
      </c>
      <c r="G299" s="6">
        <v>66</v>
      </c>
      <c r="H299" s="6"/>
      <c r="I299" t="s">
        <v>491</v>
      </c>
      <c r="J299" s="3">
        <v>46280</v>
      </c>
      <c r="K299" t="s">
        <v>138</v>
      </c>
      <c r="L299" t="s">
        <v>139</v>
      </c>
      <c r="N299" t="s">
        <v>308</v>
      </c>
      <c r="O299" t="s">
        <v>299</v>
      </c>
      <c r="P299" t="s">
        <v>299</v>
      </c>
      <c r="Q299" t="s">
        <v>547</v>
      </c>
      <c r="S299" t="s">
        <v>144</v>
      </c>
      <c r="T299" t="s">
        <v>548</v>
      </c>
      <c r="V299" t="s">
        <v>549</v>
      </c>
      <c r="W299" t="s">
        <v>33</v>
      </c>
      <c r="X299" s="6" t="s">
        <v>550</v>
      </c>
      <c r="Y299" s="6"/>
      <c r="Z299" t="s">
        <v>148</v>
      </c>
      <c r="AA299" t="s">
        <v>149</v>
      </c>
      <c r="AC299" t="s">
        <v>150</v>
      </c>
      <c r="AD299" s="6" t="s">
        <v>1142</v>
      </c>
      <c r="AF299" s="3">
        <v>39653</v>
      </c>
      <c r="AG299">
        <v>18</v>
      </c>
      <c r="AH299" t="b">
        <v>0</v>
      </c>
      <c r="AI299" t="b">
        <v>1</v>
      </c>
      <c r="AJ299" s="6" t="s">
        <v>1926</v>
      </c>
      <c r="AK299" s="6" t="s">
        <v>171</v>
      </c>
      <c r="AL299" t="b">
        <v>0</v>
      </c>
      <c r="AM299" s="6"/>
      <c r="AN299" s="6"/>
      <c r="AP299" t="b">
        <v>0</v>
      </c>
      <c r="AQ299" s="6"/>
      <c r="AR299" s="6"/>
      <c r="AT299" t="b">
        <v>0</v>
      </c>
      <c r="AU299" s="6"/>
      <c r="AV299" s="6"/>
      <c r="AX299" t="b">
        <v>0</v>
      </c>
      <c r="AY299" s="6"/>
      <c r="AZ299" s="6"/>
      <c r="BA299" t="b">
        <v>0</v>
      </c>
      <c r="BB299" s="6"/>
      <c r="BC299" t="b">
        <v>0</v>
      </c>
      <c r="BD299" s="6"/>
      <c r="BE299" s="6"/>
      <c r="BF299" t="b">
        <v>1</v>
      </c>
      <c r="BG299" s="6" t="s">
        <v>1927</v>
      </c>
      <c r="BH299" t="b">
        <v>1</v>
      </c>
      <c r="BI299" s="6" t="s">
        <v>1928</v>
      </c>
      <c r="BJ299" t="b">
        <v>0</v>
      </c>
      <c r="BK299" t="s">
        <v>1563</v>
      </c>
      <c r="BL299" t="b">
        <v>0</v>
      </c>
      <c r="BM299" t="b">
        <v>0</v>
      </c>
      <c r="BN299" t="b">
        <v>0</v>
      </c>
      <c r="BO299" t="b">
        <v>0</v>
      </c>
      <c r="BQ299" t="b">
        <v>0</v>
      </c>
      <c r="BR299" s="6"/>
      <c r="BT299" t="b">
        <v>0</v>
      </c>
      <c r="BU299" t="s">
        <v>1564</v>
      </c>
      <c r="BV299" t="s">
        <v>504</v>
      </c>
      <c r="BW299" t="s">
        <v>154</v>
      </c>
      <c r="BX299" t="s">
        <v>340</v>
      </c>
      <c r="BY299" s="6" t="s">
        <v>1929</v>
      </c>
      <c r="BZ299">
        <v>1</v>
      </c>
      <c r="CA299" t="s">
        <v>157</v>
      </c>
      <c r="CB299" s="7">
        <v>46315.0537962963</v>
      </c>
    </row>
    <row r="300" spans="1:80">
      <c r="A300" s="6" t="s">
        <v>1930</v>
      </c>
      <c r="B300" t="s">
        <v>491</v>
      </c>
      <c r="C300" s="6" t="s">
        <v>1931</v>
      </c>
      <c r="D300" s="6"/>
      <c r="E300" t="s">
        <v>1932</v>
      </c>
      <c r="G300" s="6">
        <v>3</v>
      </c>
      <c r="H300" s="6"/>
      <c r="I300" t="s">
        <v>491</v>
      </c>
      <c r="J300" s="3"/>
      <c r="K300" t="s">
        <v>421</v>
      </c>
      <c r="L300" t="s">
        <v>139</v>
      </c>
      <c r="N300" t="s">
        <v>356</v>
      </c>
      <c r="Q300" t="s">
        <v>357</v>
      </c>
      <c r="S300" t="s">
        <v>249</v>
      </c>
      <c r="T300" t="s">
        <v>358</v>
      </c>
      <c r="V300" t="s">
        <v>359</v>
      </c>
      <c r="W300" t="s">
        <v>33</v>
      </c>
      <c r="X300" s="6" t="s">
        <v>360</v>
      </c>
      <c r="Y300" s="6"/>
      <c r="Z300" t="s">
        <v>148</v>
      </c>
      <c r="AA300" t="s">
        <v>205</v>
      </c>
      <c r="AC300" t="s">
        <v>150</v>
      </c>
      <c r="AD300" s="6"/>
      <c r="AF300" s="3"/>
      <c r="AH300" t="b">
        <v>0</v>
      </c>
      <c r="AI300" t="b">
        <v>1</v>
      </c>
      <c r="AJ300" s="6" t="s">
        <v>362</v>
      </c>
      <c r="AK300" s="6" t="s">
        <v>171</v>
      </c>
      <c r="AL300" t="b">
        <v>0</v>
      </c>
      <c r="AM300" s="6"/>
      <c r="AN300" s="6"/>
      <c r="AP300" t="b">
        <v>0</v>
      </c>
      <c r="AQ300" s="6"/>
      <c r="AR300" s="6"/>
      <c r="AT300" t="b">
        <v>0</v>
      </c>
      <c r="AU300" s="6"/>
      <c r="AV300" s="6"/>
      <c r="AX300" t="b">
        <v>0</v>
      </c>
      <c r="AY300" s="6"/>
      <c r="AZ300" s="6"/>
      <c r="BA300" t="b">
        <v>0</v>
      </c>
      <c r="BB300" s="6"/>
      <c r="BC300" t="b">
        <v>0</v>
      </c>
      <c r="BD300" s="6"/>
      <c r="BE300" s="6"/>
      <c r="BF300" t="b">
        <v>0</v>
      </c>
      <c r="BG300" s="6"/>
      <c r="BH300" t="b">
        <v>0</v>
      </c>
      <c r="BI300" s="6"/>
      <c r="BJ300" t="b">
        <v>0</v>
      </c>
      <c r="BL300" t="b">
        <v>0</v>
      </c>
      <c r="BM300" t="b">
        <v>0</v>
      </c>
      <c r="BN300" t="b">
        <v>0</v>
      </c>
      <c r="BO300" t="b">
        <v>1</v>
      </c>
      <c r="BQ300" t="b">
        <v>0</v>
      </c>
      <c r="BR300" s="6"/>
      <c r="BT300" t="b">
        <v>0</v>
      </c>
      <c r="BU300" t="s">
        <v>1933</v>
      </c>
      <c r="BV300" t="s">
        <v>504</v>
      </c>
      <c r="BW300" t="s">
        <v>154</v>
      </c>
      <c r="BX300" t="s">
        <v>43</v>
      </c>
      <c r="BY300" s="6" t="s">
        <v>367</v>
      </c>
      <c r="BZ300">
        <v>1</v>
      </c>
      <c r="CA300" t="s">
        <v>157</v>
      </c>
      <c r="CB300" s="7">
        <v>46315.0537962963</v>
      </c>
    </row>
    <row r="301" spans="1:80">
      <c r="A301" s="6" t="s">
        <v>1934</v>
      </c>
      <c r="B301" t="s">
        <v>491</v>
      </c>
      <c r="C301" s="6" t="s">
        <v>1931</v>
      </c>
      <c r="D301" s="6"/>
      <c r="E301" t="s">
        <v>1932</v>
      </c>
      <c r="G301" s="6">
        <v>4</v>
      </c>
      <c r="H301" s="6"/>
      <c r="I301" t="s">
        <v>491</v>
      </c>
      <c r="J301" s="3"/>
      <c r="K301" t="s">
        <v>421</v>
      </c>
      <c r="L301" t="s">
        <v>139</v>
      </c>
      <c r="N301" t="s">
        <v>507</v>
      </c>
      <c r="Q301" t="s">
        <v>703</v>
      </c>
      <c r="S301" t="s">
        <v>249</v>
      </c>
      <c r="T301" t="s">
        <v>704</v>
      </c>
      <c r="V301" t="s">
        <v>705</v>
      </c>
      <c r="W301" t="s">
        <v>36</v>
      </c>
      <c r="X301" s="6" t="s">
        <v>706</v>
      </c>
      <c r="Y301" s="6"/>
      <c r="Z301" t="s">
        <v>148</v>
      </c>
      <c r="AA301" t="s">
        <v>149</v>
      </c>
      <c r="AC301" t="s">
        <v>150</v>
      </c>
      <c r="AD301" s="6"/>
      <c r="AF301" s="3"/>
      <c r="AH301" t="b">
        <v>0</v>
      </c>
      <c r="AI301" t="b">
        <v>1</v>
      </c>
      <c r="AJ301" s="6" t="s">
        <v>707</v>
      </c>
      <c r="AK301" s="6" t="s">
        <v>1935</v>
      </c>
      <c r="AL301" t="b">
        <v>0</v>
      </c>
      <c r="AM301" s="6"/>
      <c r="AN301" s="6"/>
      <c r="AP301" t="b">
        <v>0</v>
      </c>
      <c r="AQ301" s="6"/>
      <c r="AR301" s="6"/>
      <c r="AT301" t="b">
        <v>0</v>
      </c>
      <c r="AU301" s="6"/>
      <c r="AV301" s="6"/>
      <c r="AX301" t="b">
        <v>0</v>
      </c>
      <c r="AY301" s="6"/>
      <c r="AZ301" s="6"/>
      <c r="BA301" t="b">
        <v>0</v>
      </c>
      <c r="BB301" s="6"/>
      <c r="BC301" t="b">
        <v>0</v>
      </c>
      <c r="BD301" s="6"/>
      <c r="BE301" s="6"/>
      <c r="BF301" t="b">
        <v>0</v>
      </c>
      <c r="BG301" s="6"/>
      <c r="BH301" t="b">
        <v>0</v>
      </c>
      <c r="BI301" s="6"/>
      <c r="BJ301" t="b">
        <v>0</v>
      </c>
      <c r="BL301" t="b">
        <v>0</v>
      </c>
      <c r="BM301" t="b">
        <v>0</v>
      </c>
      <c r="BN301" t="b">
        <v>0</v>
      </c>
      <c r="BO301" t="b">
        <v>1</v>
      </c>
      <c r="BQ301" t="b">
        <v>0</v>
      </c>
      <c r="BR301" s="6"/>
      <c r="BT301" t="b">
        <v>0</v>
      </c>
      <c r="BU301" t="s">
        <v>1933</v>
      </c>
      <c r="BV301" t="s">
        <v>504</v>
      </c>
      <c r="BW301" t="s">
        <v>154</v>
      </c>
      <c r="BX301" t="s">
        <v>1936</v>
      </c>
      <c r="BY301" s="6" t="s">
        <v>709</v>
      </c>
      <c r="BZ301">
        <v>1</v>
      </c>
      <c r="CA301" t="s">
        <v>157</v>
      </c>
      <c r="CB301" s="7">
        <v>46315.0537962963</v>
      </c>
    </row>
    <row r="302" spans="1:80">
      <c r="A302" s="6" t="s">
        <v>1937</v>
      </c>
      <c r="B302" t="s">
        <v>491</v>
      </c>
      <c r="C302" s="6" t="s">
        <v>1931</v>
      </c>
      <c r="D302" s="6"/>
      <c r="E302" t="s">
        <v>1932</v>
      </c>
      <c r="G302" s="6">
        <v>5</v>
      </c>
      <c r="H302" s="6"/>
      <c r="I302" t="s">
        <v>491</v>
      </c>
      <c r="J302" s="3"/>
      <c r="K302" t="s">
        <v>421</v>
      </c>
      <c r="L302" t="s">
        <v>139</v>
      </c>
      <c r="N302" t="s">
        <v>266</v>
      </c>
      <c r="O302" t="s">
        <v>267</v>
      </c>
      <c r="P302" t="s">
        <v>267</v>
      </c>
      <c r="Q302" t="s">
        <v>268</v>
      </c>
      <c r="S302" t="s">
        <v>249</v>
      </c>
      <c r="T302" t="s">
        <v>269</v>
      </c>
      <c r="V302" t="s">
        <v>636</v>
      </c>
      <c r="W302" t="s">
        <v>33</v>
      </c>
      <c r="X302" s="6" t="s">
        <v>271</v>
      </c>
      <c r="Y302" s="6"/>
      <c r="Z302" t="s">
        <v>148</v>
      </c>
      <c r="AA302" t="s">
        <v>149</v>
      </c>
      <c r="AC302" t="s">
        <v>150</v>
      </c>
      <c r="AD302" s="6"/>
      <c r="AF302" s="3"/>
      <c r="AH302" t="b">
        <v>0</v>
      </c>
      <c r="AI302" t="b">
        <v>1</v>
      </c>
      <c r="AJ302" s="6" t="s">
        <v>637</v>
      </c>
      <c r="AK302" s="6" t="s">
        <v>171</v>
      </c>
      <c r="AL302" t="b">
        <v>0</v>
      </c>
      <c r="AM302" s="6"/>
      <c r="AN302" s="6"/>
      <c r="AP302" t="b">
        <v>0</v>
      </c>
      <c r="AQ302" s="6"/>
      <c r="AR302" s="6"/>
      <c r="AT302" t="b">
        <v>0</v>
      </c>
      <c r="AU302" s="6"/>
      <c r="AV302" s="6"/>
      <c r="AX302" t="b">
        <v>0</v>
      </c>
      <c r="AY302" s="6"/>
      <c r="AZ302" s="6"/>
      <c r="BA302" t="b">
        <v>0</v>
      </c>
      <c r="BB302" s="6"/>
      <c r="BC302" t="b">
        <v>0</v>
      </c>
      <c r="BD302" s="6"/>
      <c r="BE302" s="6"/>
      <c r="BF302" t="b">
        <v>0</v>
      </c>
      <c r="BG302" s="6"/>
      <c r="BH302" t="b">
        <v>0</v>
      </c>
      <c r="BI302" s="6"/>
      <c r="BJ302" t="b">
        <v>0</v>
      </c>
      <c r="BL302" t="b">
        <v>0</v>
      </c>
      <c r="BM302" t="b">
        <v>0</v>
      </c>
      <c r="BN302" t="b">
        <v>0</v>
      </c>
      <c r="BO302" t="b">
        <v>1</v>
      </c>
      <c r="BQ302" t="b">
        <v>0</v>
      </c>
      <c r="BR302" s="6"/>
      <c r="BT302" t="b">
        <v>0</v>
      </c>
      <c r="BU302" t="s">
        <v>1933</v>
      </c>
      <c r="BV302" t="s">
        <v>504</v>
      </c>
      <c r="BW302" t="s">
        <v>154</v>
      </c>
      <c r="BX302" t="s">
        <v>44</v>
      </c>
      <c r="BY302" s="6" t="s">
        <v>277</v>
      </c>
      <c r="BZ302">
        <v>1</v>
      </c>
      <c r="CA302" t="s">
        <v>157</v>
      </c>
      <c r="CB302" s="7">
        <v>46315.0537962963</v>
      </c>
    </row>
    <row r="303" spans="1:80">
      <c r="A303" s="6" t="s">
        <v>1938</v>
      </c>
      <c r="B303" t="s">
        <v>491</v>
      </c>
      <c r="C303" s="6" t="s">
        <v>1931</v>
      </c>
      <c r="D303" s="6"/>
      <c r="E303" t="s">
        <v>1932</v>
      </c>
      <c r="G303" s="6">
        <v>6</v>
      </c>
      <c r="H303" s="6"/>
      <c r="I303" t="s">
        <v>491</v>
      </c>
      <c r="J303" s="3"/>
      <c r="K303" t="s">
        <v>421</v>
      </c>
      <c r="L303" t="s">
        <v>139</v>
      </c>
      <c r="N303" t="s">
        <v>162</v>
      </c>
      <c r="O303" t="s">
        <v>163</v>
      </c>
      <c r="P303" t="s">
        <v>163</v>
      </c>
      <c r="Q303" t="s">
        <v>164</v>
      </c>
      <c r="S303" t="s">
        <v>249</v>
      </c>
      <c r="T303" t="s">
        <v>165</v>
      </c>
      <c r="V303" t="s">
        <v>166</v>
      </c>
      <c r="W303" t="s">
        <v>38</v>
      </c>
      <c r="X303" s="6" t="s">
        <v>167</v>
      </c>
      <c r="Y303" s="6"/>
      <c r="Z303" t="s">
        <v>148</v>
      </c>
      <c r="AA303" t="s">
        <v>149</v>
      </c>
      <c r="AC303" t="s">
        <v>150</v>
      </c>
      <c r="AD303" s="6"/>
      <c r="AF303" s="3"/>
      <c r="AH303" t="b">
        <v>0</v>
      </c>
      <c r="AI303" t="b">
        <v>1</v>
      </c>
      <c r="AJ303" s="6" t="s">
        <v>1206</v>
      </c>
      <c r="AK303" s="6" t="s">
        <v>171</v>
      </c>
      <c r="AL303" t="b">
        <v>0</v>
      </c>
      <c r="AM303" s="6"/>
      <c r="AN303" s="6"/>
      <c r="AP303" t="b">
        <v>0</v>
      </c>
      <c r="AQ303" s="6"/>
      <c r="AR303" s="6"/>
      <c r="AT303" t="b">
        <v>0</v>
      </c>
      <c r="AU303" s="6"/>
      <c r="AV303" s="6"/>
      <c r="AX303" t="b">
        <v>0</v>
      </c>
      <c r="AY303" s="6"/>
      <c r="AZ303" s="6"/>
      <c r="BA303" t="b">
        <v>0</v>
      </c>
      <c r="BB303" s="6"/>
      <c r="BC303" t="b">
        <v>0</v>
      </c>
      <c r="BD303" s="6"/>
      <c r="BE303" s="6"/>
      <c r="BF303" t="b">
        <v>0</v>
      </c>
      <c r="BG303" s="6"/>
      <c r="BH303" t="b">
        <v>0</v>
      </c>
      <c r="BI303" s="6"/>
      <c r="BJ303" t="b">
        <v>0</v>
      </c>
      <c r="BL303" t="b">
        <v>0</v>
      </c>
      <c r="BM303" t="b">
        <v>0</v>
      </c>
      <c r="BN303" t="b">
        <v>0</v>
      </c>
      <c r="BO303" t="b">
        <v>1</v>
      </c>
      <c r="BQ303" t="b">
        <v>0</v>
      </c>
      <c r="BR303" s="6"/>
      <c r="BT303" t="b">
        <v>0</v>
      </c>
      <c r="BU303" t="s">
        <v>1933</v>
      </c>
      <c r="BV303" t="s">
        <v>504</v>
      </c>
      <c r="BW303" t="s">
        <v>171</v>
      </c>
      <c r="BY303" s="6" t="s">
        <v>173</v>
      </c>
      <c r="BZ303">
        <v>1</v>
      </c>
      <c r="CB303" s="7">
        <v>46315.0537962963</v>
      </c>
    </row>
    <row r="304" spans="1:80">
      <c r="A304" s="6" t="s">
        <v>1939</v>
      </c>
      <c r="B304" t="s">
        <v>491</v>
      </c>
      <c r="C304" s="6" t="s">
        <v>1931</v>
      </c>
      <c r="D304" s="6"/>
      <c r="E304" t="s">
        <v>1932</v>
      </c>
      <c r="G304" s="6">
        <v>7</v>
      </c>
      <c r="H304" s="6"/>
      <c r="I304" t="s">
        <v>491</v>
      </c>
      <c r="J304" s="3"/>
      <c r="K304" t="s">
        <v>421</v>
      </c>
      <c r="L304" t="s">
        <v>139</v>
      </c>
      <c r="N304" t="s">
        <v>546</v>
      </c>
      <c r="O304" t="s">
        <v>1173</v>
      </c>
      <c r="P304" t="s">
        <v>1173</v>
      </c>
      <c r="Q304" t="s">
        <v>547</v>
      </c>
      <c r="S304" t="s">
        <v>249</v>
      </c>
      <c r="T304" t="s">
        <v>548</v>
      </c>
      <c r="V304" t="s">
        <v>549</v>
      </c>
      <c r="W304" t="s">
        <v>33</v>
      </c>
      <c r="X304" s="6" t="s">
        <v>550</v>
      </c>
      <c r="Y304" s="6"/>
      <c r="Z304" t="s">
        <v>148</v>
      </c>
      <c r="AA304" t="s">
        <v>149</v>
      </c>
      <c r="AC304" t="s">
        <v>150</v>
      </c>
      <c r="AD304" s="6"/>
      <c r="AF304" s="3"/>
      <c r="AH304" t="b">
        <v>0</v>
      </c>
      <c r="AI304" t="b">
        <v>1</v>
      </c>
      <c r="AJ304" s="6" t="s">
        <v>551</v>
      </c>
      <c r="AK304" s="6" t="s">
        <v>171</v>
      </c>
      <c r="AL304" t="b">
        <v>0</v>
      </c>
      <c r="AM304" s="6"/>
      <c r="AN304" s="6"/>
      <c r="AP304" t="b">
        <v>0</v>
      </c>
      <c r="AQ304" s="6"/>
      <c r="AR304" s="6"/>
      <c r="AT304" t="b">
        <v>0</v>
      </c>
      <c r="AU304" s="6"/>
      <c r="AV304" s="6"/>
      <c r="AX304" t="b">
        <v>1</v>
      </c>
      <c r="AY304" s="6" t="s">
        <v>1940</v>
      </c>
      <c r="AZ304" s="6" t="s">
        <v>171</v>
      </c>
      <c r="BA304" t="b">
        <v>1</v>
      </c>
      <c r="BB304" s="6" t="s">
        <v>171</v>
      </c>
      <c r="BC304" t="b">
        <v>0</v>
      </c>
      <c r="BD304" s="6"/>
      <c r="BE304" s="6"/>
      <c r="BF304" t="b">
        <v>0</v>
      </c>
      <c r="BG304" s="6"/>
      <c r="BH304" t="b">
        <v>0</v>
      </c>
      <c r="BI304" s="6"/>
      <c r="BJ304" t="b">
        <v>0</v>
      </c>
      <c r="BL304" t="b">
        <v>0</v>
      </c>
      <c r="BM304" t="b">
        <v>0</v>
      </c>
      <c r="BN304" t="b">
        <v>0</v>
      </c>
      <c r="BO304" t="b">
        <v>1</v>
      </c>
      <c r="BQ304" t="b">
        <v>0</v>
      </c>
      <c r="BR304" s="6"/>
      <c r="BT304" t="b">
        <v>0</v>
      </c>
      <c r="BU304" t="s">
        <v>1933</v>
      </c>
      <c r="BV304" t="s">
        <v>504</v>
      </c>
      <c r="BW304" t="s">
        <v>154</v>
      </c>
      <c r="BX304" t="s">
        <v>44</v>
      </c>
      <c r="BY304" s="6" t="s">
        <v>553</v>
      </c>
      <c r="BZ304">
        <v>1</v>
      </c>
      <c r="CA304" t="s">
        <v>157</v>
      </c>
      <c r="CB304" s="7">
        <v>46315.0537962963</v>
      </c>
    </row>
    <row r="305" spans="1:80">
      <c r="A305" s="6" t="s">
        <v>1941</v>
      </c>
      <c r="B305" t="s">
        <v>491</v>
      </c>
      <c r="C305" s="6" t="s">
        <v>1931</v>
      </c>
      <c r="D305" s="6"/>
      <c r="E305" t="s">
        <v>1932</v>
      </c>
      <c r="G305" s="6">
        <v>8</v>
      </c>
      <c r="H305" s="6"/>
      <c r="I305" t="s">
        <v>491</v>
      </c>
      <c r="J305" s="3"/>
      <c r="K305" t="s">
        <v>421</v>
      </c>
      <c r="L305" t="s">
        <v>139</v>
      </c>
      <c r="N305" t="s">
        <v>433</v>
      </c>
      <c r="O305" t="s">
        <v>434</v>
      </c>
      <c r="P305" t="s">
        <v>434</v>
      </c>
      <c r="Q305" t="s">
        <v>435</v>
      </c>
      <c r="S305" t="s">
        <v>249</v>
      </c>
      <c r="T305" t="s">
        <v>436</v>
      </c>
      <c r="V305" t="s">
        <v>437</v>
      </c>
      <c r="W305" t="s">
        <v>40</v>
      </c>
      <c r="X305" s="6" t="s">
        <v>438</v>
      </c>
      <c r="Y305" s="6"/>
      <c r="Z305" t="s">
        <v>148</v>
      </c>
      <c r="AA305" t="s">
        <v>149</v>
      </c>
      <c r="AC305" t="s">
        <v>150</v>
      </c>
      <c r="AD305" s="6"/>
      <c r="AF305" s="3"/>
      <c r="AH305" t="b">
        <v>0</v>
      </c>
      <c r="AI305" t="b">
        <v>1</v>
      </c>
      <c r="AJ305" s="6" t="s">
        <v>439</v>
      </c>
      <c r="AK305" s="6" t="s">
        <v>171</v>
      </c>
      <c r="AL305" t="b">
        <v>0</v>
      </c>
      <c r="AM305" s="6"/>
      <c r="AN305" s="6"/>
      <c r="AP305" t="b">
        <v>0</v>
      </c>
      <c r="AQ305" s="6"/>
      <c r="AR305" s="6"/>
      <c r="AT305" t="b">
        <v>0</v>
      </c>
      <c r="AU305" s="6"/>
      <c r="AV305" s="6"/>
      <c r="AX305" t="b">
        <v>0</v>
      </c>
      <c r="AY305" s="6"/>
      <c r="AZ305" s="6"/>
      <c r="BA305" t="b">
        <v>0</v>
      </c>
      <c r="BB305" s="6"/>
      <c r="BC305" t="b">
        <v>0</v>
      </c>
      <c r="BD305" s="6"/>
      <c r="BE305" s="6"/>
      <c r="BF305" t="b">
        <v>0</v>
      </c>
      <c r="BG305" s="6"/>
      <c r="BH305" t="b">
        <v>0</v>
      </c>
      <c r="BI305" s="6"/>
      <c r="BJ305" t="b">
        <v>0</v>
      </c>
      <c r="BL305" t="b">
        <v>0</v>
      </c>
      <c r="BM305" t="b">
        <v>0</v>
      </c>
      <c r="BN305" t="b">
        <v>0</v>
      </c>
      <c r="BO305" t="b">
        <v>1</v>
      </c>
      <c r="BQ305" t="b">
        <v>0</v>
      </c>
      <c r="BR305" s="6"/>
      <c r="BT305" t="b">
        <v>0</v>
      </c>
      <c r="BU305" t="s">
        <v>1933</v>
      </c>
      <c r="BV305" t="s">
        <v>504</v>
      </c>
      <c r="BW305" t="s">
        <v>154</v>
      </c>
      <c r="BX305" t="s">
        <v>44</v>
      </c>
      <c r="BY305" s="6" t="s">
        <v>440</v>
      </c>
      <c r="BZ305">
        <v>1</v>
      </c>
      <c r="CA305" t="s">
        <v>157</v>
      </c>
      <c r="CB305" s="7">
        <v>46315.0537962963</v>
      </c>
    </row>
    <row r="306" spans="1:80">
      <c r="A306" s="6" t="s">
        <v>1942</v>
      </c>
      <c r="B306" t="s">
        <v>491</v>
      </c>
      <c r="C306" s="6" t="s">
        <v>1931</v>
      </c>
      <c r="D306" s="6"/>
      <c r="E306" t="s">
        <v>1932</v>
      </c>
      <c r="G306" s="6">
        <v>9</v>
      </c>
      <c r="H306" s="6"/>
      <c r="I306" t="s">
        <v>491</v>
      </c>
      <c r="J306" s="3"/>
      <c r="K306" t="s">
        <v>421</v>
      </c>
      <c r="L306" t="s">
        <v>139</v>
      </c>
      <c r="N306" t="s">
        <v>188</v>
      </c>
      <c r="O306" t="s">
        <v>189</v>
      </c>
      <c r="P306" t="s">
        <v>189</v>
      </c>
      <c r="Q306" t="s">
        <v>190</v>
      </c>
      <c r="S306" t="s">
        <v>249</v>
      </c>
      <c r="T306" t="s">
        <v>191</v>
      </c>
      <c r="V306" t="s">
        <v>192</v>
      </c>
      <c r="W306" t="s">
        <v>38</v>
      </c>
      <c r="X306" s="6" t="s">
        <v>193</v>
      </c>
      <c r="Y306" s="6"/>
      <c r="Z306" t="s">
        <v>148</v>
      </c>
      <c r="AA306" t="s">
        <v>149</v>
      </c>
      <c r="AC306" t="s">
        <v>150</v>
      </c>
      <c r="AD306" s="6"/>
      <c r="AF306" s="3"/>
      <c r="AH306" t="b">
        <v>0</v>
      </c>
      <c r="AI306" t="b">
        <v>1</v>
      </c>
      <c r="AJ306" s="6" t="s">
        <v>715</v>
      </c>
      <c r="AK306" s="6" t="s">
        <v>171</v>
      </c>
      <c r="AL306" t="b">
        <v>0</v>
      </c>
      <c r="AM306" s="6"/>
      <c r="AN306" s="6"/>
      <c r="AP306" t="b">
        <v>0</v>
      </c>
      <c r="AQ306" s="6"/>
      <c r="AR306" s="6"/>
      <c r="AT306" t="b">
        <v>0</v>
      </c>
      <c r="AU306" s="6"/>
      <c r="AV306" s="6"/>
      <c r="AX306" t="b">
        <v>0</v>
      </c>
      <c r="AY306" s="6"/>
      <c r="AZ306" s="6"/>
      <c r="BA306" t="b">
        <v>0</v>
      </c>
      <c r="BB306" s="6"/>
      <c r="BC306" t="b">
        <v>0</v>
      </c>
      <c r="BD306" s="6"/>
      <c r="BE306" s="6"/>
      <c r="BF306" t="b">
        <v>0</v>
      </c>
      <c r="BG306" s="6"/>
      <c r="BH306" t="b">
        <v>0</v>
      </c>
      <c r="BI306" s="6"/>
      <c r="BJ306" t="b">
        <v>0</v>
      </c>
      <c r="BL306" t="b">
        <v>0</v>
      </c>
      <c r="BM306" t="b">
        <v>0</v>
      </c>
      <c r="BN306" t="b">
        <v>0</v>
      </c>
      <c r="BO306" t="b">
        <v>1</v>
      </c>
      <c r="BQ306" t="b">
        <v>0</v>
      </c>
      <c r="BR306" s="6"/>
      <c r="BT306" t="b">
        <v>0</v>
      </c>
      <c r="BU306" t="s">
        <v>1933</v>
      </c>
      <c r="BV306" t="s">
        <v>504</v>
      </c>
      <c r="BW306" t="s">
        <v>171</v>
      </c>
      <c r="BY306" s="6" t="s">
        <v>195</v>
      </c>
      <c r="BZ306">
        <v>1</v>
      </c>
      <c r="CB306" s="7">
        <v>46315.0537962963</v>
      </c>
    </row>
    <row r="307" spans="1:80">
      <c r="A307" s="6" t="s">
        <v>1943</v>
      </c>
      <c r="B307" t="s">
        <v>491</v>
      </c>
      <c r="C307" s="6" t="s">
        <v>1931</v>
      </c>
      <c r="D307" s="6"/>
      <c r="E307" t="s">
        <v>1932</v>
      </c>
      <c r="G307" s="6">
        <v>10</v>
      </c>
      <c r="H307" s="6"/>
      <c r="I307" t="s">
        <v>491</v>
      </c>
      <c r="J307" s="3"/>
      <c r="K307" t="s">
        <v>421</v>
      </c>
      <c r="L307" t="s">
        <v>139</v>
      </c>
      <c r="N307" t="s">
        <v>507</v>
      </c>
      <c r="O307" t="s">
        <v>1180</v>
      </c>
      <c r="P307" t="s">
        <v>1180</v>
      </c>
      <c r="Q307" t="s">
        <v>508</v>
      </c>
      <c r="S307" t="s">
        <v>249</v>
      </c>
      <c r="T307" t="s">
        <v>509</v>
      </c>
      <c r="V307" t="s">
        <v>510</v>
      </c>
      <c r="W307" t="s">
        <v>37</v>
      </c>
      <c r="X307" s="6" t="s">
        <v>511</v>
      </c>
      <c r="Y307" s="6"/>
      <c r="Z307" t="s">
        <v>148</v>
      </c>
      <c r="AA307" t="s">
        <v>149</v>
      </c>
      <c r="AC307" t="s">
        <v>150</v>
      </c>
      <c r="AD307" s="6"/>
      <c r="AF307" s="3"/>
      <c r="AH307" t="b">
        <v>0</v>
      </c>
      <c r="AI307" t="b">
        <v>1</v>
      </c>
      <c r="AJ307" s="6" t="s">
        <v>512</v>
      </c>
      <c r="AK307" s="6" t="s">
        <v>171</v>
      </c>
      <c r="AL307" t="b">
        <v>0</v>
      </c>
      <c r="AM307" s="6"/>
      <c r="AN307" s="6"/>
      <c r="AP307" t="b">
        <v>0</v>
      </c>
      <c r="AQ307" s="6"/>
      <c r="AR307" s="6"/>
      <c r="AT307" t="b">
        <v>0</v>
      </c>
      <c r="AU307" s="6"/>
      <c r="AV307" s="6"/>
      <c r="AX307" t="b">
        <v>0</v>
      </c>
      <c r="AY307" s="6"/>
      <c r="AZ307" s="6"/>
      <c r="BA307" t="b">
        <v>0</v>
      </c>
      <c r="BB307" s="6"/>
      <c r="BC307" t="b">
        <v>0</v>
      </c>
      <c r="BD307" s="6"/>
      <c r="BE307" s="6"/>
      <c r="BF307" t="b">
        <v>0</v>
      </c>
      <c r="BG307" s="6"/>
      <c r="BH307" t="b">
        <v>0</v>
      </c>
      <c r="BI307" s="6"/>
      <c r="BJ307" t="b">
        <v>0</v>
      </c>
      <c r="BL307" t="b">
        <v>0</v>
      </c>
      <c r="BM307" t="b">
        <v>0</v>
      </c>
      <c r="BN307" t="b">
        <v>0</v>
      </c>
      <c r="BO307" t="b">
        <v>1</v>
      </c>
      <c r="BQ307" t="b">
        <v>0</v>
      </c>
      <c r="BR307" s="6"/>
      <c r="BT307" t="b">
        <v>0</v>
      </c>
      <c r="BU307" t="s">
        <v>1933</v>
      </c>
      <c r="BV307" t="s">
        <v>504</v>
      </c>
      <c r="BW307" t="s">
        <v>154</v>
      </c>
      <c r="BX307" t="s">
        <v>1944</v>
      </c>
      <c r="BY307" s="6" t="s">
        <v>514</v>
      </c>
      <c r="BZ307">
        <v>1</v>
      </c>
      <c r="CA307" t="s">
        <v>157</v>
      </c>
      <c r="CB307" s="7">
        <v>46315.0537962963</v>
      </c>
    </row>
    <row r="308" spans="1:80">
      <c r="A308" s="6" t="s">
        <v>1945</v>
      </c>
      <c r="B308" t="s">
        <v>491</v>
      </c>
      <c r="C308" s="6" t="s">
        <v>1931</v>
      </c>
      <c r="D308" s="6"/>
      <c r="E308" t="s">
        <v>1932</v>
      </c>
      <c r="G308" s="6">
        <v>11</v>
      </c>
      <c r="H308" s="6"/>
      <c r="I308" t="s">
        <v>491</v>
      </c>
      <c r="J308" s="3"/>
      <c r="K308" t="s">
        <v>421</v>
      </c>
      <c r="L308" t="s">
        <v>139</v>
      </c>
      <c r="N308" t="s">
        <v>444</v>
      </c>
      <c r="Q308" t="s">
        <v>523</v>
      </c>
      <c r="S308" t="s">
        <v>249</v>
      </c>
      <c r="T308" t="s">
        <v>524</v>
      </c>
      <c r="V308" t="s">
        <v>525</v>
      </c>
      <c r="W308" t="s">
        <v>34</v>
      </c>
      <c r="X308" s="6" t="s">
        <v>526</v>
      </c>
      <c r="Y308" s="6"/>
      <c r="Z308" t="s">
        <v>148</v>
      </c>
      <c r="AA308" t="s">
        <v>149</v>
      </c>
      <c r="AC308" t="s">
        <v>150</v>
      </c>
      <c r="AD308" s="6"/>
      <c r="AF308" s="3"/>
      <c r="AH308" t="b">
        <v>0</v>
      </c>
      <c r="AI308" t="b">
        <v>1</v>
      </c>
      <c r="AJ308" s="6" t="s">
        <v>527</v>
      </c>
      <c r="AK308" s="6" t="s">
        <v>171</v>
      </c>
      <c r="AL308" t="b">
        <v>0</v>
      </c>
      <c r="AM308" s="6"/>
      <c r="AN308" s="6"/>
      <c r="AP308" t="b">
        <v>0</v>
      </c>
      <c r="AQ308" s="6"/>
      <c r="AR308" s="6"/>
      <c r="AT308" t="b">
        <v>0</v>
      </c>
      <c r="AU308" s="6"/>
      <c r="AV308" s="6"/>
      <c r="AX308" t="b">
        <v>0</v>
      </c>
      <c r="AY308" s="6"/>
      <c r="AZ308" s="6"/>
      <c r="BA308" t="b">
        <v>0</v>
      </c>
      <c r="BB308" s="6"/>
      <c r="BC308" t="b">
        <v>0</v>
      </c>
      <c r="BD308" s="6"/>
      <c r="BE308" s="6"/>
      <c r="BF308" t="b">
        <v>0</v>
      </c>
      <c r="BG308" s="6"/>
      <c r="BH308" t="b">
        <v>0</v>
      </c>
      <c r="BI308" s="6"/>
      <c r="BJ308" t="b">
        <v>0</v>
      </c>
      <c r="BL308" t="b">
        <v>0</v>
      </c>
      <c r="BM308" t="b">
        <v>0</v>
      </c>
      <c r="BN308" t="b">
        <v>0</v>
      </c>
      <c r="BO308" t="b">
        <v>1</v>
      </c>
      <c r="BQ308" t="b">
        <v>0</v>
      </c>
      <c r="BR308" s="6"/>
      <c r="BT308" t="b">
        <v>0</v>
      </c>
      <c r="BU308" t="s">
        <v>1933</v>
      </c>
      <c r="BV308" t="s">
        <v>504</v>
      </c>
      <c r="BW308" t="s">
        <v>171</v>
      </c>
      <c r="BY308" s="6" t="s">
        <v>529</v>
      </c>
      <c r="BZ308">
        <v>1</v>
      </c>
      <c r="CB308" s="7">
        <v>46315.0537962963</v>
      </c>
    </row>
    <row r="309" spans="1:80">
      <c r="A309" s="6" t="s">
        <v>1946</v>
      </c>
      <c r="B309" t="s">
        <v>491</v>
      </c>
      <c r="C309" s="6" t="s">
        <v>1931</v>
      </c>
      <c r="D309" s="6"/>
      <c r="E309" t="s">
        <v>1932</v>
      </c>
      <c r="G309" s="6">
        <v>12</v>
      </c>
      <c r="H309" s="6"/>
      <c r="I309" t="s">
        <v>491</v>
      </c>
      <c r="J309" s="3"/>
      <c r="K309" t="s">
        <v>421</v>
      </c>
      <c r="L309" t="s">
        <v>139</v>
      </c>
      <c r="N309" t="s">
        <v>832</v>
      </c>
      <c r="O309" t="s">
        <v>224</v>
      </c>
      <c r="P309" t="s">
        <v>224</v>
      </c>
      <c r="Q309" t="s">
        <v>601</v>
      </c>
      <c r="S309" t="s">
        <v>249</v>
      </c>
      <c r="T309" t="s">
        <v>1278</v>
      </c>
      <c r="V309" t="s">
        <v>1279</v>
      </c>
      <c r="W309" t="s">
        <v>34</v>
      </c>
      <c r="X309" s="6" t="s">
        <v>1280</v>
      </c>
      <c r="Y309" s="6"/>
      <c r="Z309" t="s">
        <v>148</v>
      </c>
      <c r="AA309" t="s">
        <v>149</v>
      </c>
      <c r="AC309" t="s">
        <v>150</v>
      </c>
      <c r="AD309" s="6"/>
      <c r="AF309" s="3"/>
      <c r="AH309" t="b">
        <v>0</v>
      </c>
      <c r="AI309" t="b">
        <v>1</v>
      </c>
      <c r="AJ309" s="6" t="s">
        <v>1283</v>
      </c>
      <c r="AK309" s="6" t="s">
        <v>1935</v>
      </c>
      <c r="AL309" t="b">
        <v>0</v>
      </c>
      <c r="AM309" s="6"/>
      <c r="AN309" s="6"/>
      <c r="AP309" t="b">
        <v>0</v>
      </c>
      <c r="AQ309" s="6"/>
      <c r="AR309" s="6"/>
      <c r="AT309" t="b">
        <v>0</v>
      </c>
      <c r="AU309" s="6"/>
      <c r="AV309" s="6"/>
      <c r="AX309" t="b">
        <v>0</v>
      </c>
      <c r="AY309" s="6"/>
      <c r="AZ309" s="6"/>
      <c r="BA309" t="b">
        <v>0</v>
      </c>
      <c r="BB309" s="6"/>
      <c r="BC309" t="b">
        <v>0</v>
      </c>
      <c r="BD309" s="6"/>
      <c r="BE309" s="6"/>
      <c r="BF309" t="b">
        <v>0</v>
      </c>
      <c r="BG309" s="6"/>
      <c r="BH309" t="b">
        <v>0</v>
      </c>
      <c r="BI309" s="6"/>
      <c r="BJ309" t="b">
        <v>0</v>
      </c>
      <c r="BL309" t="b">
        <v>0</v>
      </c>
      <c r="BM309" t="b">
        <v>0</v>
      </c>
      <c r="BN309" t="b">
        <v>0</v>
      </c>
      <c r="BO309" t="b">
        <v>1</v>
      </c>
      <c r="BQ309" t="b">
        <v>0</v>
      </c>
      <c r="BR309" s="6"/>
      <c r="BT309" t="b">
        <v>0</v>
      </c>
      <c r="BU309" t="s">
        <v>1933</v>
      </c>
      <c r="BV309" t="s">
        <v>504</v>
      </c>
      <c r="BW309" t="s">
        <v>154</v>
      </c>
      <c r="BX309" t="s">
        <v>1935</v>
      </c>
      <c r="BY309" s="6" t="s">
        <v>1284</v>
      </c>
      <c r="BZ309">
        <v>1</v>
      </c>
      <c r="CA309" t="s">
        <v>157</v>
      </c>
      <c r="CB309" s="7">
        <v>46315.0537962963</v>
      </c>
    </row>
    <row r="310" spans="1:80">
      <c r="A310" s="6" t="s">
        <v>1947</v>
      </c>
      <c r="B310" t="s">
        <v>491</v>
      </c>
      <c r="C310" s="6" t="s">
        <v>1931</v>
      </c>
      <c r="D310" s="6"/>
      <c r="E310" t="s">
        <v>1932</v>
      </c>
      <c r="G310" s="6">
        <v>13</v>
      </c>
      <c r="H310" s="6"/>
      <c r="I310" t="s">
        <v>491</v>
      </c>
      <c r="J310" s="3"/>
      <c r="K310" t="s">
        <v>421</v>
      </c>
      <c r="L310" t="s">
        <v>139</v>
      </c>
      <c r="N310" t="s">
        <v>223</v>
      </c>
      <c r="O310" t="s">
        <v>224</v>
      </c>
      <c r="P310" t="s">
        <v>224</v>
      </c>
      <c r="Q310" t="s">
        <v>225</v>
      </c>
      <c r="S310" t="s">
        <v>249</v>
      </c>
      <c r="T310" t="s">
        <v>226</v>
      </c>
      <c r="V310" t="s">
        <v>227</v>
      </c>
      <c r="W310" t="s">
        <v>37</v>
      </c>
      <c r="X310" s="6" t="s">
        <v>228</v>
      </c>
      <c r="Y310" s="6"/>
      <c r="Z310" t="s">
        <v>148</v>
      </c>
      <c r="AA310" t="s">
        <v>149</v>
      </c>
      <c r="AC310" t="s">
        <v>150</v>
      </c>
      <c r="AD310" s="6"/>
      <c r="AF310" s="3"/>
      <c r="AH310" t="b">
        <v>0</v>
      </c>
      <c r="AI310" t="b">
        <v>1</v>
      </c>
      <c r="AJ310" s="6" t="s">
        <v>588</v>
      </c>
      <c r="AK310" s="6" t="s">
        <v>171</v>
      </c>
      <c r="AL310" t="b">
        <v>0</v>
      </c>
      <c r="AM310" s="6"/>
      <c r="AN310" s="6"/>
      <c r="AP310" t="b">
        <v>0</v>
      </c>
      <c r="AQ310" s="6"/>
      <c r="AR310" s="6"/>
      <c r="AT310" t="b">
        <v>0</v>
      </c>
      <c r="AU310" s="6"/>
      <c r="AV310" s="6"/>
      <c r="AX310" t="b">
        <v>0</v>
      </c>
      <c r="AY310" s="6"/>
      <c r="AZ310" s="6"/>
      <c r="BA310" t="b">
        <v>1</v>
      </c>
      <c r="BB310" s="6" t="s">
        <v>171</v>
      </c>
      <c r="BC310" t="b">
        <v>0</v>
      </c>
      <c r="BD310" s="6"/>
      <c r="BE310" s="6"/>
      <c r="BF310" t="b">
        <v>0</v>
      </c>
      <c r="BG310" s="6"/>
      <c r="BH310" t="b">
        <v>0</v>
      </c>
      <c r="BI310" s="6"/>
      <c r="BJ310" t="b">
        <v>0</v>
      </c>
      <c r="BL310" t="b">
        <v>0</v>
      </c>
      <c r="BM310" t="b">
        <v>0</v>
      </c>
      <c r="BN310" t="b">
        <v>0</v>
      </c>
      <c r="BO310" t="b">
        <v>1</v>
      </c>
      <c r="BQ310" t="b">
        <v>0</v>
      </c>
      <c r="BR310" s="6"/>
      <c r="BT310" t="b">
        <v>0</v>
      </c>
      <c r="BU310" t="s">
        <v>1933</v>
      </c>
      <c r="BV310" t="s">
        <v>504</v>
      </c>
      <c r="BW310" t="s">
        <v>171</v>
      </c>
      <c r="BX310" t="s">
        <v>1948</v>
      </c>
      <c r="BY310" s="6" t="s">
        <v>230</v>
      </c>
      <c r="BZ310">
        <v>1</v>
      </c>
      <c r="CB310" s="7">
        <v>46315.0537962963</v>
      </c>
    </row>
    <row r="311" spans="1:80">
      <c r="A311" s="6" t="s">
        <v>1949</v>
      </c>
      <c r="B311" t="s">
        <v>491</v>
      </c>
      <c r="C311" s="6" t="s">
        <v>1931</v>
      </c>
      <c r="D311" s="6"/>
      <c r="E311" t="s">
        <v>1932</v>
      </c>
      <c r="G311" s="6">
        <v>14</v>
      </c>
      <c r="H311" s="6"/>
      <c r="I311" t="s">
        <v>491</v>
      </c>
      <c r="J311" s="3"/>
      <c r="K311" t="s">
        <v>421</v>
      </c>
      <c r="L311" t="s">
        <v>139</v>
      </c>
      <c r="N311" t="s">
        <v>247</v>
      </c>
      <c r="O311" t="s">
        <v>224</v>
      </c>
      <c r="P311" t="s">
        <v>224</v>
      </c>
      <c r="Q311" t="s">
        <v>248</v>
      </c>
      <c r="S311" t="s">
        <v>249</v>
      </c>
      <c r="T311" t="s">
        <v>250</v>
      </c>
      <c r="V311" t="s">
        <v>251</v>
      </c>
      <c r="W311" t="s">
        <v>39</v>
      </c>
      <c r="X311" s="6" t="s">
        <v>252</v>
      </c>
      <c r="Y311" s="6"/>
      <c r="Z311" t="s">
        <v>148</v>
      </c>
      <c r="AA311" t="s">
        <v>149</v>
      </c>
      <c r="AC311" t="s">
        <v>150</v>
      </c>
      <c r="AD311" s="6"/>
      <c r="AF311" s="3"/>
      <c r="AH311" t="b">
        <v>0</v>
      </c>
      <c r="AI311" t="b">
        <v>1</v>
      </c>
      <c r="AJ311" s="6" t="s">
        <v>582</v>
      </c>
      <c r="AK311" s="6" t="s">
        <v>171</v>
      </c>
      <c r="AL311" t="b">
        <v>0</v>
      </c>
      <c r="AM311" s="6"/>
      <c r="AN311" s="6"/>
      <c r="AP311" t="b">
        <v>0</v>
      </c>
      <c r="AQ311" s="6"/>
      <c r="AR311" s="6"/>
      <c r="AT311" t="b">
        <v>0</v>
      </c>
      <c r="AU311" s="6"/>
      <c r="AV311" s="6"/>
      <c r="AX311" t="b">
        <v>0</v>
      </c>
      <c r="AY311" s="6"/>
      <c r="AZ311" s="6"/>
      <c r="BA311" t="b">
        <v>1</v>
      </c>
      <c r="BB311" s="6" t="s">
        <v>171</v>
      </c>
      <c r="BC311" t="b">
        <v>0</v>
      </c>
      <c r="BD311" s="6"/>
      <c r="BE311" s="6"/>
      <c r="BF311" t="b">
        <v>0</v>
      </c>
      <c r="BG311" s="6"/>
      <c r="BH311" t="b">
        <v>0</v>
      </c>
      <c r="BI311" s="6"/>
      <c r="BJ311" t="b">
        <v>0</v>
      </c>
      <c r="BL311" t="b">
        <v>0</v>
      </c>
      <c r="BM311" t="b">
        <v>0</v>
      </c>
      <c r="BN311" t="b">
        <v>0</v>
      </c>
      <c r="BO311" t="b">
        <v>1</v>
      </c>
      <c r="BQ311" t="b">
        <v>0</v>
      </c>
      <c r="BR311" s="6"/>
      <c r="BT311" t="b">
        <v>0</v>
      </c>
      <c r="BU311" t="s">
        <v>1933</v>
      </c>
      <c r="BV311" t="s">
        <v>504</v>
      </c>
      <c r="BW311" t="s">
        <v>154</v>
      </c>
      <c r="BX311" t="s">
        <v>1944</v>
      </c>
      <c r="BY311" s="6" t="s">
        <v>256</v>
      </c>
      <c r="BZ311">
        <v>1</v>
      </c>
      <c r="CA311" t="s">
        <v>157</v>
      </c>
      <c r="CB311" s="7">
        <v>46315.0537962963</v>
      </c>
    </row>
    <row r="312" spans="1:80">
      <c r="A312" s="6" t="s">
        <v>1950</v>
      </c>
      <c r="B312" t="s">
        <v>491</v>
      </c>
      <c r="C312" s="6" t="s">
        <v>1931</v>
      </c>
      <c r="D312" s="6"/>
      <c r="E312" t="s">
        <v>1932</v>
      </c>
      <c r="G312" s="6">
        <v>15</v>
      </c>
      <c r="H312" s="6"/>
      <c r="I312" t="s">
        <v>491</v>
      </c>
      <c r="J312" s="3"/>
      <c r="K312" t="s">
        <v>421</v>
      </c>
      <c r="L312" t="s">
        <v>139</v>
      </c>
      <c r="N312" t="s">
        <v>444</v>
      </c>
      <c r="Q312" t="s">
        <v>445</v>
      </c>
      <c r="R312" t="s">
        <v>1951</v>
      </c>
      <c r="S312" t="s">
        <v>249</v>
      </c>
      <c r="T312" t="s">
        <v>447</v>
      </c>
      <c r="V312" t="s">
        <v>203</v>
      </c>
      <c r="W312" t="s">
        <v>34</v>
      </c>
      <c r="X312" s="6" t="s">
        <v>448</v>
      </c>
      <c r="Y312" s="6"/>
      <c r="Z312" t="s">
        <v>148</v>
      </c>
      <c r="AA312" t="s">
        <v>149</v>
      </c>
      <c r="AC312" t="s">
        <v>150</v>
      </c>
      <c r="AD312" s="6"/>
      <c r="AF312" s="3"/>
      <c r="AH312" t="b">
        <v>0</v>
      </c>
      <c r="AI312" t="b">
        <v>1</v>
      </c>
      <c r="AJ312" s="6" t="s">
        <v>449</v>
      </c>
      <c r="AK312" s="6" t="s">
        <v>171</v>
      </c>
      <c r="AL312" t="b">
        <v>0</v>
      </c>
      <c r="AM312" s="6"/>
      <c r="AN312" s="6"/>
      <c r="AP312" t="b">
        <v>0</v>
      </c>
      <c r="AQ312" s="6"/>
      <c r="AR312" s="6"/>
      <c r="AT312" t="b">
        <v>0</v>
      </c>
      <c r="AU312" s="6"/>
      <c r="AV312" s="6"/>
      <c r="AX312" t="b">
        <v>0</v>
      </c>
      <c r="AY312" s="6"/>
      <c r="AZ312" s="6"/>
      <c r="BA312" t="b">
        <v>0</v>
      </c>
      <c r="BB312" s="6"/>
      <c r="BC312" t="b">
        <v>0</v>
      </c>
      <c r="BD312" s="6"/>
      <c r="BE312" s="6"/>
      <c r="BF312" t="b">
        <v>0</v>
      </c>
      <c r="BG312" s="6"/>
      <c r="BH312" t="b">
        <v>0</v>
      </c>
      <c r="BI312" s="6"/>
      <c r="BJ312" t="b">
        <v>0</v>
      </c>
      <c r="BL312" t="b">
        <v>0</v>
      </c>
      <c r="BM312" t="b">
        <v>0</v>
      </c>
      <c r="BN312" t="b">
        <v>0</v>
      </c>
      <c r="BO312" t="b">
        <v>1</v>
      </c>
      <c r="BQ312" t="b">
        <v>0</v>
      </c>
      <c r="BR312" s="6"/>
      <c r="BT312" t="b">
        <v>0</v>
      </c>
      <c r="BU312" t="s">
        <v>1933</v>
      </c>
      <c r="BV312" t="s">
        <v>504</v>
      </c>
      <c r="BW312" t="s">
        <v>154</v>
      </c>
      <c r="BX312" t="s">
        <v>1952</v>
      </c>
      <c r="BY312" s="6" t="s">
        <v>451</v>
      </c>
      <c r="BZ312">
        <v>1</v>
      </c>
      <c r="CA312" t="s">
        <v>157</v>
      </c>
      <c r="CB312" s="7">
        <v>46315.0537962963</v>
      </c>
    </row>
    <row r="313" spans="1:80">
      <c r="A313" s="6" t="s">
        <v>1953</v>
      </c>
      <c r="B313" t="s">
        <v>491</v>
      </c>
      <c r="C313" s="6" t="s">
        <v>1931</v>
      </c>
      <c r="D313" s="6"/>
      <c r="E313" t="s">
        <v>1932</v>
      </c>
      <c r="G313" s="6">
        <v>16</v>
      </c>
      <c r="H313" s="6"/>
      <c r="I313" t="s">
        <v>491</v>
      </c>
      <c r="J313" s="3"/>
      <c r="K313" t="s">
        <v>421</v>
      </c>
      <c r="L313" t="s">
        <v>139</v>
      </c>
      <c r="N313" t="s">
        <v>1234</v>
      </c>
      <c r="O313" t="s">
        <v>142</v>
      </c>
      <c r="P313" t="s">
        <v>142</v>
      </c>
      <c r="Q313" t="s">
        <v>1236</v>
      </c>
      <c r="S313" t="s">
        <v>249</v>
      </c>
      <c r="T313" t="s">
        <v>660</v>
      </c>
      <c r="V313" t="s">
        <v>661</v>
      </c>
      <c r="W313" t="s">
        <v>34</v>
      </c>
      <c r="X313" s="6" t="s">
        <v>662</v>
      </c>
      <c r="Y313" s="6"/>
      <c r="Z313" t="s">
        <v>148</v>
      </c>
      <c r="AA313" t="s">
        <v>149</v>
      </c>
      <c r="AC313" t="s">
        <v>150</v>
      </c>
      <c r="AD313" s="6"/>
      <c r="AF313" s="3"/>
      <c r="AH313" t="b">
        <v>0</v>
      </c>
      <c r="AI313" t="b">
        <v>1</v>
      </c>
      <c r="AJ313" s="6" t="s">
        <v>1239</v>
      </c>
      <c r="AK313" s="6" t="s">
        <v>171</v>
      </c>
      <c r="AL313" t="b">
        <v>0</v>
      </c>
      <c r="AM313" s="6"/>
      <c r="AN313" s="6"/>
      <c r="AP313" t="b">
        <v>0</v>
      </c>
      <c r="AQ313" s="6"/>
      <c r="AR313" s="6"/>
      <c r="AT313" t="b">
        <v>0</v>
      </c>
      <c r="AU313" s="6"/>
      <c r="AV313" s="6"/>
      <c r="AX313" t="b">
        <v>1</v>
      </c>
      <c r="AY313" s="6" t="s">
        <v>1954</v>
      </c>
      <c r="AZ313" s="6" t="s">
        <v>171</v>
      </c>
      <c r="BA313" t="b">
        <v>1</v>
      </c>
      <c r="BB313" s="6" t="s">
        <v>171</v>
      </c>
      <c r="BC313" t="b">
        <v>0</v>
      </c>
      <c r="BD313" s="6"/>
      <c r="BE313" s="6"/>
      <c r="BF313" t="b">
        <v>0</v>
      </c>
      <c r="BG313" s="6"/>
      <c r="BH313" t="b">
        <v>0</v>
      </c>
      <c r="BI313" s="6"/>
      <c r="BJ313" t="b">
        <v>0</v>
      </c>
      <c r="BL313" t="b">
        <v>0</v>
      </c>
      <c r="BM313" t="b">
        <v>0</v>
      </c>
      <c r="BN313" t="b">
        <v>0</v>
      </c>
      <c r="BO313" t="b">
        <v>1</v>
      </c>
      <c r="BQ313" t="b">
        <v>0</v>
      </c>
      <c r="BR313" s="6"/>
      <c r="BT313" t="b">
        <v>0</v>
      </c>
      <c r="BU313" t="s">
        <v>1933</v>
      </c>
      <c r="BV313" t="s">
        <v>504</v>
      </c>
      <c r="BW313" t="s">
        <v>171</v>
      </c>
      <c r="BY313" s="6" t="s">
        <v>1240</v>
      </c>
      <c r="BZ313">
        <v>1</v>
      </c>
      <c r="CB313" s="7">
        <v>46315.0537962963</v>
      </c>
    </row>
    <row r="314" spans="1:80">
      <c r="A314" s="6" t="s">
        <v>1955</v>
      </c>
      <c r="B314" t="s">
        <v>491</v>
      </c>
      <c r="C314" s="6" t="s">
        <v>1931</v>
      </c>
      <c r="D314" s="6"/>
      <c r="E314" t="s">
        <v>1932</v>
      </c>
      <c r="G314" s="6">
        <v>17</v>
      </c>
      <c r="H314" s="6"/>
      <c r="I314" t="s">
        <v>491</v>
      </c>
      <c r="J314" s="3"/>
      <c r="K314" t="s">
        <v>421</v>
      </c>
      <c r="L314" t="s">
        <v>139</v>
      </c>
      <c r="N314" t="s">
        <v>141</v>
      </c>
      <c r="O314" t="s">
        <v>142</v>
      </c>
      <c r="P314" t="s">
        <v>142</v>
      </c>
      <c r="Q314" t="s">
        <v>143</v>
      </c>
      <c r="S314" t="s">
        <v>249</v>
      </c>
      <c r="T314" t="s">
        <v>145</v>
      </c>
      <c r="V314" t="s">
        <v>146</v>
      </c>
      <c r="W314" t="s">
        <v>33</v>
      </c>
      <c r="X314" s="6" t="s">
        <v>147</v>
      </c>
      <c r="Y314" s="6"/>
      <c r="Z314" t="s">
        <v>148</v>
      </c>
      <c r="AA314" t="s">
        <v>149</v>
      </c>
      <c r="AC314" t="s">
        <v>150</v>
      </c>
      <c r="AD314" s="6"/>
      <c r="AF314" s="3"/>
      <c r="AH314" t="b">
        <v>0</v>
      </c>
      <c r="AI314" t="b">
        <v>1</v>
      </c>
      <c r="AJ314" s="6" t="s">
        <v>590</v>
      </c>
      <c r="AK314" s="6" t="s">
        <v>171</v>
      </c>
      <c r="AL314" t="b">
        <v>0</v>
      </c>
      <c r="AM314" s="6"/>
      <c r="AN314" s="6"/>
      <c r="AP314" t="b">
        <v>0</v>
      </c>
      <c r="AQ314" s="6"/>
      <c r="AR314" s="6"/>
      <c r="AT314" t="b">
        <v>0</v>
      </c>
      <c r="AU314" s="6"/>
      <c r="AV314" s="6"/>
      <c r="AX314" t="b">
        <v>0</v>
      </c>
      <c r="AY314" s="6"/>
      <c r="AZ314" s="6"/>
      <c r="BA314" t="b">
        <v>0</v>
      </c>
      <c r="BB314" s="6"/>
      <c r="BC314" t="b">
        <v>0</v>
      </c>
      <c r="BD314" s="6"/>
      <c r="BE314" s="6"/>
      <c r="BF314" t="b">
        <v>0</v>
      </c>
      <c r="BG314" s="6"/>
      <c r="BH314" t="b">
        <v>0</v>
      </c>
      <c r="BI314" s="6"/>
      <c r="BJ314" t="b">
        <v>0</v>
      </c>
      <c r="BL314" t="b">
        <v>0</v>
      </c>
      <c r="BM314" t="b">
        <v>0</v>
      </c>
      <c r="BN314" t="b">
        <v>0</v>
      </c>
      <c r="BO314" t="b">
        <v>1</v>
      </c>
      <c r="BQ314" t="b">
        <v>0</v>
      </c>
      <c r="BR314" s="6"/>
      <c r="BT314" t="b">
        <v>0</v>
      </c>
      <c r="BU314" t="s">
        <v>1933</v>
      </c>
      <c r="BV314" t="s">
        <v>504</v>
      </c>
      <c r="BW314" t="s">
        <v>154</v>
      </c>
      <c r="BX314" t="s">
        <v>44</v>
      </c>
      <c r="BY314" s="6" t="s">
        <v>156</v>
      </c>
      <c r="BZ314">
        <v>1</v>
      </c>
      <c r="CA314" t="s">
        <v>157</v>
      </c>
      <c r="CB314" s="7">
        <v>46315.0537962963</v>
      </c>
    </row>
    <row r="315" spans="1:80">
      <c r="A315" s="6" t="s">
        <v>1956</v>
      </c>
      <c r="B315" t="s">
        <v>491</v>
      </c>
      <c r="C315" s="6" t="s">
        <v>1931</v>
      </c>
      <c r="D315" s="6"/>
      <c r="E315" t="s">
        <v>1932</v>
      </c>
      <c r="G315" s="6">
        <v>18</v>
      </c>
      <c r="H315" s="6"/>
      <c r="I315" t="s">
        <v>491</v>
      </c>
      <c r="J315" s="3"/>
      <c r="K315" t="s">
        <v>421</v>
      </c>
      <c r="L315" t="s">
        <v>139</v>
      </c>
      <c r="N315" t="s">
        <v>678</v>
      </c>
      <c r="Q315" t="s">
        <v>469</v>
      </c>
      <c r="S315" t="s">
        <v>249</v>
      </c>
      <c r="T315" t="s">
        <v>470</v>
      </c>
      <c r="V315" t="s">
        <v>471</v>
      </c>
      <c r="W315" t="s">
        <v>38</v>
      </c>
      <c r="X315" s="6" t="s">
        <v>472</v>
      </c>
      <c r="Y315" s="6"/>
      <c r="Z315" t="s">
        <v>148</v>
      </c>
      <c r="AA315" t="s">
        <v>149</v>
      </c>
      <c r="AC315" t="s">
        <v>150</v>
      </c>
      <c r="AD315" s="6"/>
      <c r="AF315" s="3"/>
      <c r="AH315" t="b">
        <v>0</v>
      </c>
      <c r="AI315" t="b">
        <v>1</v>
      </c>
      <c r="AJ315" s="6" t="s">
        <v>679</v>
      </c>
      <c r="AK315" s="6" t="s">
        <v>171</v>
      </c>
      <c r="AL315" t="b">
        <v>0</v>
      </c>
      <c r="AM315" s="6"/>
      <c r="AN315" s="6"/>
      <c r="AP315" t="b">
        <v>0</v>
      </c>
      <c r="AQ315" s="6"/>
      <c r="AR315" s="6"/>
      <c r="AT315" t="b">
        <v>0</v>
      </c>
      <c r="AU315" s="6"/>
      <c r="AV315" s="6"/>
      <c r="AX315" t="b">
        <v>1</v>
      </c>
      <c r="AY315" s="6" t="s">
        <v>1957</v>
      </c>
      <c r="AZ315" s="6" t="s">
        <v>171</v>
      </c>
      <c r="BA315" t="b">
        <v>1</v>
      </c>
      <c r="BB315" s="6" t="s">
        <v>171</v>
      </c>
      <c r="BC315" t="b">
        <v>0</v>
      </c>
      <c r="BD315" s="6"/>
      <c r="BE315" s="6"/>
      <c r="BF315" t="b">
        <v>0</v>
      </c>
      <c r="BG315" s="6"/>
      <c r="BH315" t="b">
        <v>0</v>
      </c>
      <c r="BI315" s="6"/>
      <c r="BJ315" t="b">
        <v>0</v>
      </c>
      <c r="BL315" t="b">
        <v>0</v>
      </c>
      <c r="BM315" t="b">
        <v>0</v>
      </c>
      <c r="BN315" t="b">
        <v>0</v>
      </c>
      <c r="BO315" t="b">
        <v>1</v>
      </c>
      <c r="BQ315" t="b">
        <v>0</v>
      </c>
      <c r="BR315" s="6"/>
      <c r="BT315" t="b">
        <v>0</v>
      </c>
      <c r="BU315" t="s">
        <v>1933</v>
      </c>
      <c r="BV315" t="s">
        <v>504</v>
      </c>
      <c r="BW315" t="s">
        <v>154</v>
      </c>
      <c r="BX315" t="s">
        <v>44</v>
      </c>
      <c r="BY315" s="6" t="s">
        <v>681</v>
      </c>
      <c r="BZ315">
        <v>1</v>
      </c>
      <c r="CA315" t="s">
        <v>157</v>
      </c>
      <c r="CB315" s="7">
        <v>46315.0537962963</v>
      </c>
    </row>
    <row r="316" spans="1:80">
      <c r="A316" s="6" t="s">
        <v>1958</v>
      </c>
      <c r="B316" t="s">
        <v>491</v>
      </c>
      <c r="C316" s="6" t="s">
        <v>1931</v>
      </c>
      <c r="D316" s="6"/>
      <c r="E316" t="s">
        <v>1932</v>
      </c>
      <c r="G316" s="6">
        <v>19</v>
      </c>
      <c r="H316" s="6"/>
      <c r="I316" t="s">
        <v>491</v>
      </c>
      <c r="J316" s="3"/>
      <c r="K316" t="s">
        <v>421</v>
      </c>
      <c r="L316" t="s">
        <v>139</v>
      </c>
      <c r="N316" t="s">
        <v>496</v>
      </c>
      <c r="O316" t="s">
        <v>324</v>
      </c>
      <c r="P316" t="s">
        <v>324</v>
      </c>
      <c r="Q316" t="s">
        <v>497</v>
      </c>
      <c r="S316" t="s">
        <v>249</v>
      </c>
      <c r="T316" t="s">
        <v>498</v>
      </c>
      <c r="V316" t="s">
        <v>499</v>
      </c>
      <c r="W316" t="s">
        <v>35</v>
      </c>
      <c r="X316" s="6" t="s">
        <v>500</v>
      </c>
      <c r="Y316" s="6"/>
      <c r="Z316" t="s">
        <v>148</v>
      </c>
      <c r="AA316" t="s">
        <v>149</v>
      </c>
      <c r="AC316" t="s">
        <v>150</v>
      </c>
      <c r="AD316" s="6"/>
      <c r="AF316" s="3"/>
      <c r="AH316" t="b">
        <v>0</v>
      </c>
      <c r="AI316" t="b">
        <v>1</v>
      </c>
      <c r="AJ316" s="6" t="s">
        <v>501</v>
      </c>
      <c r="AK316" s="6" t="s">
        <v>171</v>
      </c>
      <c r="AL316" t="b">
        <v>0</v>
      </c>
      <c r="AM316" s="6"/>
      <c r="AN316" s="6"/>
      <c r="AP316" t="b">
        <v>0</v>
      </c>
      <c r="AQ316" s="6"/>
      <c r="AR316" s="6"/>
      <c r="AT316" t="b">
        <v>0</v>
      </c>
      <c r="AU316" s="6"/>
      <c r="AV316" s="6"/>
      <c r="AX316" t="b">
        <v>0</v>
      </c>
      <c r="AY316" s="6"/>
      <c r="AZ316" s="6"/>
      <c r="BA316" t="b">
        <v>0</v>
      </c>
      <c r="BB316" s="6"/>
      <c r="BC316" t="b">
        <v>0</v>
      </c>
      <c r="BD316" s="6"/>
      <c r="BE316" s="6"/>
      <c r="BF316" t="b">
        <v>0</v>
      </c>
      <c r="BG316" s="6"/>
      <c r="BH316" t="b">
        <v>0</v>
      </c>
      <c r="BI316" s="6"/>
      <c r="BJ316" t="b">
        <v>0</v>
      </c>
      <c r="BL316" t="b">
        <v>0</v>
      </c>
      <c r="BM316" t="b">
        <v>0</v>
      </c>
      <c r="BN316" t="b">
        <v>0</v>
      </c>
      <c r="BO316" t="b">
        <v>1</v>
      </c>
      <c r="BQ316" t="b">
        <v>0</v>
      </c>
      <c r="BR316" s="6"/>
      <c r="BT316" t="b">
        <v>0</v>
      </c>
      <c r="BU316" t="s">
        <v>1933</v>
      </c>
      <c r="BV316" t="s">
        <v>504</v>
      </c>
      <c r="BW316" t="s">
        <v>154</v>
      </c>
      <c r="BX316" t="s">
        <v>47</v>
      </c>
      <c r="BY316" s="6" t="s">
        <v>505</v>
      </c>
      <c r="BZ316">
        <v>1</v>
      </c>
      <c r="CA316" t="s">
        <v>157</v>
      </c>
      <c r="CB316" s="7">
        <v>46315.0537962963</v>
      </c>
    </row>
    <row r="317" spans="1:80">
      <c r="A317" s="6" t="s">
        <v>1959</v>
      </c>
      <c r="B317" t="s">
        <v>491</v>
      </c>
      <c r="C317" s="6" t="s">
        <v>1931</v>
      </c>
      <c r="D317" s="6"/>
      <c r="E317" t="s">
        <v>1932</v>
      </c>
      <c r="G317" s="6">
        <v>20</v>
      </c>
      <c r="H317" s="6"/>
      <c r="I317" t="s">
        <v>491</v>
      </c>
      <c r="J317" s="3"/>
      <c r="K317" t="s">
        <v>421</v>
      </c>
      <c r="L317" t="s">
        <v>139</v>
      </c>
      <c r="N317" t="s">
        <v>331</v>
      </c>
      <c r="O317" t="s">
        <v>142</v>
      </c>
      <c r="P317" t="s">
        <v>142</v>
      </c>
      <c r="Q317" t="s">
        <v>332</v>
      </c>
      <c r="S317" t="s">
        <v>249</v>
      </c>
      <c r="T317" t="s">
        <v>333</v>
      </c>
      <c r="V317" t="s">
        <v>334</v>
      </c>
      <c r="W317" t="s">
        <v>33</v>
      </c>
      <c r="X317" s="6" t="s">
        <v>335</v>
      </c>
      <c r="Y317" s="6"/>
      <c r="Z317" t="s">
        <v>148</v>
      </c>
      <c r="AA317" t="s">
        <v>149</v>
      </c>
      <c r="AC317" t="s">
        <v>150</v>
      </c>
      <c r="AD317" s="6"/>
      <c r="AF317" s="3"/>
      <c r="AH317" t="b">
        <v>0</v>
      </c>
      <c r="AI317" t="b">
        <v>1</v>
      </c>
      <c r="AJ317" s="6" t="s">
        <v>348</v>
      </c>
      <c r="AK317" s="6" t="s">
        <v>171</v>
      </c>
      <c r="AL317" t="b">
        <v>0</v>
      </c>
      <c r="AM317" s="6"/>
      <c r="AN317" s="6"/>
      <c r="AP317" t="b">
        <v>0</v>
      </c>
      <c r="AQ317" s="6"/>
      <c r="AR317" s="6"/>
      <c r="AT317" t="b">
        <v>0</v>
      </c>
      <c r="AU317" s="6"/>
      <c r="AV317" s="6"/>
      <c r="AX317" t="b">
        <v>0</v>
      </c>
      <c r="AY317" s="6"/>
      <c r="AZ317" s="6"/>
      <c r="BA317" t="b">
        <v>0</v>
      </c>
      <c r="BB317" s="6"/>
      <c r="BC317" t="b">
        <v>0</v>
      </c>
      <c r="BD317" s="6"/>
      <c r="BE317" s="6"/>
      <c r="BF317" t="b">
        <v>0</v>
      </c>
      <c r="BG317" s="6"/>
      <c r="BH317" t="b">
        <v>0</v>
      </c>
      <c r="BI317" s="6"/>
      <c r="BJ317" t="b">
        <v>0</v>
      </c>
      <c r="BL317" t="b">
        <v>0</v>
      </c>
      <c r="BM317" t="b">
        <v>0</v>
      </c>
      <c r="BN317" t="b">
        <v>0</v>
      </c>
      <c r="BO317" t="b">
        <v>1</v>
      </c>
      <c r="BQ317" t="b">
        <v>0</v>
      </c>
      <c r="BR317" s="6"/>
      <c r="BT317" t="b">
        <v>0</v>
      </c>
      <c r="BU317" t="s">
        <v>1933</v>
      </c>
      <c r="BV317" t="s">
        <v>504</v>
      </c>
      <c r="BW317" t="s">
        <v>171</v>
      </c>
      <c r="BY317" s="6" t="s">
        <v>336</v>
      </c>
      <c r="BZ317">
        <v>1</v>
      </c>
      <c r="CB317" s="7">
        <v>46315.0537962963</v>
      </c>
    </row>
    <row r="318" spans="1:80">
      <c r="A318" s="6" t="s">
        <v>1960</v>
      </c>
      <c r="B318" t="s">
        <v>491</v>
      </c>
      <c r="C318" s="6" t="s">
        <v>1931</v>
      </c>
      <c r="D318" s="6"/>
      <c r="E318" t="s">
        <v>1932</v>
      </c>
      <c r="G318" s="6">
        <v>21</v>
      </c>
      <c r="H318" s="6"/>
      <c r="I318" t="s">
        <v>491</v>
      </c>
      <c r="J318" s="3"/>
      <c r="K318" t="s">
        <v>421</v>
      </c>
      <c r="L318" t="s">
        <v>139</v>
      </c>
      <c r="N318" t="s">
        <v>694</v>
      </c>
      <c r="O318" t="s">
        <v>1200</v>
      </c>
      <c r="P318" t="s">
        <v>1200</v>
      </c>
      <c r="Q318" t="s">
        <v>695</v>
      </c>
      <c r="S318" t="s">
        <v>249</v>
      </c>
      <c r="T318" t="s">
        <v>696</v>
      </c>
      <c r="V318" t="s">
        <v>697</v>
      </c>
      <c r="W318" t="s">
        <v>40</v>
      </c>
      <c r="X318" s="6" t="s">
        <v>698</v>
      </c>
      <c r="Y318" s="6"/>
      <c r="Z318" t="s">
        <v>148</v>
      </c>
      <c r="AA318" t="s">
        <v>149</v>
      </c>
      <c r="AC318" t="s">
        <v>150</v>
      </c>
      <c r="AD318" s="6"/>
      <c r="AF318" s="3"/>
      <c r="AH318" t="b">
        <v>0</v>
      </c>
      <c r="AI318" t="b">
        <v>1</v>
      </c>
      <c r="AJ318" s="6" t="s">
        <v>699</v>
      </c>
      <c r="AK318" s="6" t="s">
        <v>171</v>
      </c>
      <c r="AL318" t="b">
        <v>0</v>
      </c>
      <c r="AM318" s="6"/>
      <c r="AN318" s="6"/>
      <c r="AP318" t="b">
        <v>0</v>
      </c>
      <c r="AQ318" s="6"/>
      <c r="AR318" s="6"/>
      <c r="AT318" t="b">
        <v>0</v>
      </c>
      <c r="AU318" s="6"/>
      <c r="AV318" s="6"/>
      <c r="AX318" t="b">
        <v>1</v>
      </c>
      <c r="AY318" s="6" t="s">
        <v>1961</v>
      </c>
      <c r="AZ318" s="6" t="s">
        <v>171</v>
      </c>
      <c r="BA318" t="b">
        <v>1</v>
      </c>
      <c r="BB318" s="6" t="s">
        <v>171</v>
      </c>
      <c r="BC318" t="b">
        <v>0</v>
      </c>
      <c r="BD318" s="6"/>
      <c r="BE318" s="6"/>
      <c r="BF318" t="b">
        <v>0</v>
      </c>
      <c r="BG318" s="6"/>
      <c r="BH318" t="b">
        <v>0</v>
      </c>
      <c r="BI318" s="6"/>
      <c r="BJ318" t="b">
        <v>0</v>
      </c>
      <c r="BL318" t="b">
        <v>0</v>
      </c>
      <c r="BM318" t="b">
        <v>0</v>
      </c>
      <c r="BN318" t="b">
        <v>0</v>
      </c>
      <c r="BO318" t="b">
        <v>1</v>
      </c>
      <c r="BQ318" t="b">
        <v>0</v>
      </c>
      <c r="BR318" s="6"/>
      <c r="BT318" t="b">
        <v>0</v>
      </c>
      <c r="BU318" t="s">
        <v>1933</v>
      </c>
      <c r="BV318" t="s">
        <v>504</v>
      </c>
      <c r="BW318" t="s">
        <v>171</v>
      </c>
      <c r="BY318" s="6" t="s">
        <v>701</v>
      </c>
      <c r="BZ318">
        <v>1</v>
      </c>
      <c r="CB318" s="7">
        <v>46315.0537962963</v>
      </c>
    </row>
    <row r="319" spans="1:80">
      <c r="A319" s="6" t="s">
        <v>1962</v>
      </c>
      <c r="B319" t="s">
        <v>491</v>
      </c>
      <c r="C319" s="6" t="s">
        <v>1931</v>
      </c>
      <c r="D319" s="6"/>
      <c r="E319" t="s">
        <v>1932</v>
      </c>
      <c r="G319" s="6">
        <v>22</v>
      </c>
      <c r="H319" s="6"/>
      <c r="I319" t="s">
        <v>491</v>
      </c>
      <c r="J319" s="3"/>
      <c r="K319" t="s">
        <v>421</v>
      </c>
      <c r="L319" t="s">
        <v>139</v>
      </c>
      <c r="N319" t="s">
        <v>177</v>
      </c>
      <c r="O319" t="s">
        <v>178</v>
      </c>
      <c r="P319" t="s">
        <v>178</v>
      </c>
      <c r="Q319" t="s">
        <v>179</v>
      </c>
      <c r="S319" t="s">
        <v>249</v>
      </c>
      <c r="T319" t="s">
        <v>180</v>
      </c>
      <c r="V319" t="s">
        <v>181</v>
      </c>
      <c r="W319" t="s">
        <v>40</v>
      </c>
      <c r="X319" s="6" t="s">
        <v>182</v>
      </c>
      <c r="Y319" s="6"/>
      <c r="Z319" t="s">
        <v>148</v>
      </c>
      <c r="AA319" t="s">
        <v>149</v>
      </c>
      <c r="AC319" t="s">
        <v>150</v>
      </c>
      <c r="AD319" s="6"/>
      <c r="AF319" s="3"/>
      <c r="AH319" t="b">
        <v>0</v>
      </c>
      <c r="AI319" t="b">
        <v>1</v>
      </c>
      <c r="AJ319" s="6" t="s">
        <v>387</v>
      </c>
      <c r="AK319" s="6" t="s">
        <v>171</v>
      </c>
      <c r="AL319" t="b">
        <v>0</v>
      </c>
      <c r="AM319" s="6"/>
      <c r="AN319" s="6"/>
      <c r="AP319" t="b">
        <v>0</v>
      </c>
      <c r="AQ319" s="6"/>
      <c r="AR319" s="6"/>
      <c r="AT319" t="b">
        <v>0</v>
      </c>
      <c r="AU319" s="6"/>
      <c r="AV319" s="6"/>
      <c r="AX319" t="b">
        <v>0</v>
      </c>
      <c r="AY319" s="6"/>
      <c r="AZ319" s="6"/>
      <c r="BA319" t="b">
        <v>0</v>
      </c>
      <c r="BB319" s="6"/>
      <c r="BC319" t="b">
        <v>0</v>
      </c>
      <c r="BD319" s="6"/>
      <c r="BE319" s="6"/>
      <c r="BF319" t="b">
        <v>0</v>
      </c>
      <c r="BG319" s="6"/>
      <c r="BH319" t="b">
        <v>0</v>
      </c>
      <c r="BI319" s="6"/>
      <c r="BJ319" t="b">
        <v>0</v>
      </c>
      <c r="BL319" t="b">
        <v>0</v>
      </c>
      <c r="BM319" t="b">
        <v>0</v>
      </c>
      <c r="BN319" t="b">
        <v>0</v>
      </c>
      <c r="BO319" t="b">
        <v>1</v>
      </c>
      <c r="BQ319" t="b">
        <v>0</v>
      </c>
      <c r="BR319" s="6"/>
      <c r="BT319" t="b">
        <v>0</v>
      </c>
      <c r="BU319" t="s">
        <v>1933</v>
      </c>
      <c r="BV319" t="s">
        <v>504</v>
      </c>
      <c r="BW319" t="s">
        <v>171</v>
      </c>
      <c r="BY319" s="6" t="s">
        <v>184</v>
      </c>
      <c r="BZ319">
        <v>1</v>
      </c>
      <c r="CB319" s="7">
        <v>46315.0537962963</v>
      </c>
    </row>
    <row r="320" spans="1:80">
      <c r="A320" s="6" t="s">
        <v>1963</v>
      </c>
      <c r="B320" t="s">
        <v>491</v>
      </c>
      <c r="C320" s="6" t="s">
        <v>1931</v>
      </c>
      <c r="D320" s="6"/>
      <c r="E320" t="s">
        <v>1932</v>
      </c>
      <c r="G320" s="6">
        <v>23</v>
      </c>
      <c r="H320" s="6"/>
      <c r="I320" t="s">
        <v>491</v>
      </c>
      <c r="J320" s="3"/>
      <c r="K320" t="s">
        <v>421</v>
      </c>
      <c r="L320" t="s">
        <v>139</v>
      </c>
      <c r="N320" t="s">
        <v>211</v>
      </c>
      <c r="O320" t="s">
        <v>212</v>
      </c>
      <c r="P320" t="s">
        <v>212</v>
      </c>
      <c r="Q320" t="s">
        <v>213</v>
      </c>
      <c r="R320" t="s">
        <v>214</v>
      </c>
      <c r="S320" t="s">
        <v>249</v>
      </c>
      <c r="T320" t="s">
        <v>215</v>
      </c>
      <c r="V320" t="s">
        <v>216</v>
      </c>
      <c r="W320" t="s">
        <v>37</v>
      </c>
      <c r="X320" s="6" t="s">
        <v>217</v>
      </c>
      <c r="Y320" s="6"/>
      <c r="Z320" t="s">
        <v>148</v>
      </c>
      <c r="AA320" t="s">
        <v>149</v>
      </c>
      <c r="AC320" t="s">
        <v>150</v>
      </c>
      <c r="AD320" s="6"/>
      <c r="AF320" s="3"/>
      <c r="AH320" t="b">
        <v>0</v>
      </c>
      <c r="AI320" t="b">
        <v>1</v>
      </c>
      <c r="AJ320" s="6" t="s">
        <v>531</v>
      </c>
      <c r="AK320" s="6" t="s">
        <v>171</v>
      </c>
      <c r="AL320" t="b">
        <v>0</v>
      </c>
      <c r="AM320" s="6"/>
      <c r="AN320" s="6"/>
      <c r="AP320" t="b">
        <v>0</v>
      </c>
      <c r="AQ320" s="6"/>
      <c r="AR320" s="6"/>
      <c r="AT320" t="b">
        <v>0</v>
      </c>
      <c r="AU320" s="6"/>
      <c r="AV320" s="6"/>
      <c r="AX320" t="b">
        <v>1</v>
      </c>
      <c r="AY320" s="6" t="s">
        <v>1964</v>
      </c>
      <c r="AZ320" s="6" t="s">
        <v>171</v>
      </c>
      <c r="BA320" t="b">
        <v>1</v>
      </c>
      <c r="BB320" s="6" t="s">
        <v>171</v>
      </c>
      <c r="BC320" t="b">
        <v>0</v>
      </c>
      <c r="BD320" s="6"/>
      <c r="BE320" s="6"/>
      <c r="BF320" t="b">
        <v>0</v>
      </c>
      <c r="BG320" s="6"/>
      <c r="BH320" t="b">
        <v>0</v>
      </c>
      <c r="BI320" s="6"/>
      <c r="BJ320" t="b">
        <v>0</v>
      </c>
      <c r="BL320" t="b">
        <v>0</v>
      </c>
      <c r="BM320" t="b">
        <v>0</v>
      </c>
      <c r="BN320" t="b">
        <v>0</v>
      </c>
      <c r="BO320" t="b">
        <v>1</v>
      </c>
      <c r="BQ320" t="b">
        <v>0</v>
      </c>
      <c r="BR320" s="6"/>
      <c r="BT320" t="b">
        <v>0</v>
      </c>
      <c r="BU320" t="s">
        <v>1933</v>
      </c>
      <c r="BV320" t="s">
        <v>504</v>
      </c>
      <c r="BW320" t="s">
        <v>171</v>
      </c>
      <c r="BY320" s="6" t="s">
        <v>219</v>
      </c>
      <c r="BZ320">
        <v>1</v>
      </c>
      <c r="CB320" s="7">
        <v>46315.0537962963</v>
      </c>
    </row>
    <row r="321" spans="1:80">
      <c r="A321" s="6" t="s">
        <v>1965</v>
      </c>
      <c r="B321" t="s">
        <v>491</v>
      </c>
      <c r="C321" s="6" t="s">
        <v>1931</v>
      </c>
      <c r="D321" s="6"/>
      <c r="E321" t="s">
        <v>1932</v>
      </c>
      <c r="G321" s="6">
        <v>24</v>
      </c>
      <c r="H321" s="6"/>
      <c r="I321" t="s">
        <v>491</v>
      </c>
      <c r="J321" s="3"/>
      <c r="K321" t="s">
        <v>421</v>
      </c>
      <c r="L321" t="s">
        <v>139</v>
      </c>
      <c r="N321" t="s">
        <v>422</v>
      </c>
      <c r="O321" t="s">
        <v>163</v>
      </c>
      <c r="P321" t="s">
        <v>163</v>
      </c>
      <c r="Q321" t="s">
        <v>423</v>
      </c>
      <c r="S321" t="s">
        <v>249</v>
      </c>
      <c r="T321" t="s">
        <v>645</v>
      </c>
      <c r="V321" t="s">
        <v>646</v>
      </c>
      <c r="W321" t="s">
        <v>40</v>
      </c>
      <c r="X321" s="6" t="s">
        <v>647</v>
      </c>
      <c r="Y321" s="6"/>
      <c r="Z321" t="s">
        <v>148</v>
      </c>
      <c r="AA321" t="s">
        <v>149</v>
      </c>
      <c r="AC321" t="s">
        <v>150</v>
      </c>
      <c r="AD321" s="6"/>
      <c r="AF321" s="3"/>
      <c r="AH321" t="b">
        <v>0</v>
      </c>
      <c r="AI321" t="b">
        <v>1</v>
      </c>
      <c r="AJ321" s="6" t="s">
        <v>427</v>
      </c>
      <c r="AK321" s="6" t="s">
        <v>171</v>
      </c>
      <c r="AL321" t="b">
        <v>0</v>
      </c>
      <c r="AM321" s="6"/>
      <c r="AN321" s="6"/>
      <c r="AP321" t="b">
        <v>0</v>
      </c>
      <c r="AQ321" s="6"/>
      <c r="AR321" s="6"/>
      <c r="AT321" t="b">
        <v>0</v>
      </c>
      <c r="AU321" s="6"/>
      <c r="AV321" s="6"/>
      <c r="AX321" t="b">
        <v>1</v>
      </c>
      <c r="AY321" s="6" t="s">
        <v>1966</v>
      </c>
      <c r="AZ321" s="6" t="s">
        <v>171</v>
      </c>
      <c r="BA321" t="b">
        <v>1</v>
      </c>
      <c r="BB321" s="6" t="s">
        <v>171</v>
      </c>
      <c r="BC321" t="b">
        <v>0</v>
      </c>
      <c r="BD321" s="6"/>
      <c r="BE321" s="6"/>
      <c r="BF321" t="b">
        <v>0</v>
      </c>
      <c r="BG321" s="6"/>
      <c r="BH321" t="b">
        <v>0</v>
      </c>
      <c r="BI321" s="6"/>
      <c r="BJ321" t="b">
        <v>0</v>
      </c>
      <c r="BL321" t="b">
        <v>0</v>
      </c>
      <c r="BM321" t="b">
        <v>0</v>
      </c>
      <c r="BN321" t="b">
        <v>0</v>
      </c>
      <c r="BO321" t="b">
        <v>1</v>
      </c>
      <c r="BQ321" t="b">
        <v>0</v>
      </c>
      <c r="BR321" s="6"/>
      <c r="BT321" t="b">
        <v>0</v>
      </c>
      <c r="BU321" t="s">
        <v>1933</v>
      </c>
      <c r="BV321" t="s">
        <v>504</v>
      </c>
      <c r="BW321" t="s">
        <v>171</v>
      </c>
      <c r="BY321" s="6" t="s">
        <v>429</v>
      </c>
      <c r="BZ321">
        <v>1</v>
      </c>
      <c r="CB321" s="7">
        <v>46315.0537962963</v>
      </c>
    </row>
    <row r="322" spans="1:80">
      <c r="A322" s="6" t="s">
        <v>1967</v>
      </c>
      <c r="B322" t="s">
        <v>491</v>
      </c>
      <c r="C322" s="6" t="s">
        <v>1931</v>
      </c>
      <c r="D322" s="6"/>
      <c r="E322" t="s">
        <v>1932</v>
      </c>
      <c r="G322" s="6">
        <v>25</v>
      </c>
      <c r="H322" s="6"/>
      <c r="I322" t="s">
        <v>491</v>
      </c>
      <c r="J322" s="3"/>
      <c r="K322" t="s">
        <v>421</v>
      </c>
      <c r="L322" t="s">
        <v>139</v>
      </c>
      <c r="N322" t="s">
        <v>393</v>
      </c>
      <c r="O322" t="s">
        <v>299</v>
      </c>
      <c r="P322" t="s">
        <v>299</v>
      </c>
      <c r="Q322" t="s">
        <v>394</v>
      </c>
      <c r="S322" t="s">
        <v>249</v>
      </c>
      <c r="T322" t="s">
        <v>395</v>
      </c>
      <c r="V322" t="s">
        <v>396</v>
      </c>
      <c r="W322" t="s">
        <v>38</v>
      </c>
      <c r="X322" s="6" t="s">
        <v>397</v>
      </c>
      <c r="Y322" s="6"/>
      <c r="Z322" t="s">
        <v>148</v>
      </c>
      <c r="AA322" t="s">
        <v>149</v>
      </c>
      <c r="AC322" t="s">
        <v>150</v>
      </c>
      <c r="AD322" s="6"/>
      <c r="AF322" s="3"/>
      <c r="AH322" t="b">
        <v>0</v>
      </c>
      <c r="AI322" t="b">
        <v>1</v>
      </c>
      <c r="AJ322" s="6" t="s">
        <v>400</v>
      </c>
      <c r="AK322" s="6" t="s">
        <v>171</v>
      </c>
      <c r="AL322" t="b">
        <v>0</v>
      </c>
      <c r="AM322" s="6"/>
      <c r="AN322" s="6"/>
      <c r="AP322" t="b">
        <v>0</v>
      </c>
      <c r="AQ322" s="6"/>
      <c r="AR322" s="6"/>
      <c r="AT322" t="b">
        <v>0</v>
      </c>
      <c r="AU322" s="6"/>
      <c r="AV322" s="6"/>
      <c r="AX322" t="b">
        <v>0</v>
      </c>
      <c r="AY322" s="6"/>
      <c r="AZ322" s="6"/>
      <c r="BA322" t="b">
        <v>0</v>
      </c>
      <c r="BB322" s="6"/>
      <c r="BC322" t="b">
        <v>0</v>
      </c>
      <c r="BD322" s="6"/>
      <c r="BE322" s="6"/>
      <c r="BF322" t="b">
        <v>0</v>
      </c>
      <c r="BG322" s="6"/>
      <c r="BH322" t="b">
        <v>0</v>
      </c>
      <c r="BI322" s="6"/>
      <c r="BJ322" t="b">
        <v>0</v>
      </c>
      <c r="BL322" t="b">
        <v>0</v>
      </c>
      <c r="BM322" t="b">
        <v>0</v>
      </c>
      <c r="BN322" t="b">
        <v>0</v>
      </c>
      <c r="BO322" t="b">
        <v>1</v>
      </c>
      <c r="BQ322" t="b">
        <v>0</v>
      </c>
      <c r="BR322" s="6"/>
      <c r="BT322" t="b">
        <v>0</v>
      </c>
      <c r="BU322" t="s">
        <v>1933</v>
      </c>
      <c r="BV322" t="s">
        <v>504</v>
      </c>
      <c r="BW322" t="s">
        <v>171</v>
      </c>
      <c r="BY322" s="6" t="s">
        <v>403</v>
      </c>
      <c r="BZ322">
        <v>1</v>
      </c>
      <c r="CB322" s="7">
        <v>46315.0537962963</v>
      </c>
    </row>
    <row r="323" spans="1:80">
      <c r="A323" s="6" t="s">
        <v>1968</v>
      </c>
      <c r="B323" t="s">
        <v>491</v>
      </c>
      <c r="C323" s="6" t="s">
        <v>1931</v>
      </c>
      <c r="D323" s="6"/>
      <c r="E323" t="s">
        <v>1932</v>
      </c>
      <c r="G323" s="6">
        <v>26</v>
      </c>
      <c r="H323" s="6"/>
      <c r="I323" t="s">
        <v>491</v>
      </c>
      <c r="J323" s="3"/>
      <c r="K323" t="s">
        <v>421</v>
      </c>
      <c r="L323" t="s">
        <v>139</v>
      </c>
      <c r="N323" t="s">
        <v>1324</v>
      </c>
      <c r="Q323" t="s">
        <v>547</v>
      </c>
      <c r="S323" t="s">
        <v>249</v>
      </c>
      <c r="T323" t="s">
        <v>1325</v>
      </c>
      <c r="V323" t="s">
        <v>1326</v>
      </c>
      <c r="W323" t="s">
        <v>36</v>
      </c>
      <c r="X323" s="6" t="s">
        <v>1327</v>
      </c>
      <c r="Y323" s="6"/>
      <c r="Z323" t="s">
        <v>148</v>
      </c>
      <c r="AA323" t="s">
        <v>149</v>
      </c>
      <c r="AC323" t="s">
        <v>150</v>
      </c>
      <c r="AD323" s="6"/>
      <c r="AF323" s="3"/>
      <c r="AH323" t="b">
        <v>0</v>
      </c>
      <c r="AI323" t="b">
        <v>1</v>
      </c>
      <c r="AJ323" s="6" t="s">
        <v>1330</v>
      </c>
      <c r="AK323" s="6" t="s">
        <v>171</v>
      </c>
      <c r="AL323" t="b">
        <v>0</v>
      </c>
      <c r="AM323" s="6"/>
      <c r="AN323" s="6"/>
      <c r="AP323" t="b">
        <v>0</v>
      </c>
      <c r="AQ323" s="6"/>
      <c r="AR323" s="6"/>
      <c r="AT323" t="b">
        <v>0</v>
      </c>
      <c r="AU323" s="6"/>
      <c r="AV323" s="6"/>
      <c r="AX323" t="b">
        <v>0</v>
      </c>
      <c r="AY323" s="6"/>
      <c r="AZ323" s="6"/>
      <c r="BA323" t="b">
        <v>0</v>
      </c>
      <c r="BB323" s="6"/>
      <c r="BC323" t="b">
        <v>0</v>
      </c>
      <c r="BD323" s="6"/>
      <c r="BE323" s="6"/>
      <c r="BF323" t="b">
        <v>0</v>
      </c>
      <c r="BG323" s="6"/>
      <c r="BH323" t="b">
        <v>0</v>
      </c>
      <c r="BI323" s="6"/>
      <c r="BJ323" t="b">
        <v>0</v>
      </c>
      <c r="BL323" t="b">
        <v>0</v>
      </c>
      <c r="BM323" t="b">
        <v>0</v>
      </c>
      <c r="BN323" t="b">
        <v>0</v>
      </c>
      <c r="BO323" t="b">
        <v>1</v>
      </c>
      <c r="BQ323" t="b">
        <v>0</v>
      </c>
      <c r="BR323" s="6"/>
      <c r="BT323" t="b">
        <v>0</v>
      </c>
      <c r="BU323" t="s">
        <v>1933</v>
      </c>
      <c r="BV323" t="s">
        <v>504</v>
      </c>
      <c r="BW323" t="s">
        <v>154</v>
      </c>
      <c r="BX323" t="s">
        <v>1969</v>
      </c>
      <c r="BY323" s="6" t="s">
        <v>1331</v>
      </c>
      <c r="BZ323">
        <v>1</v>
      </c>
      <c r="CA323" t="s">
        <v>157</v>
      </c>
      <c r="CB323" s="7">
        <v>46315.0537962963</v>
      </c>
    </row>
    <row r="324" spans="1:80">
      <c r="A324" s="6" t="s">
        <v>1970</v>
      </c>
      <c r="B324" t="s">
        <v>491</v>
      </c>
      <c r="C324" s="6" t="s">
        <v>1931</v>
      </c>
      <c r="D324" s="6"/>
      <c r="E324" t="s">
        <v>1932</v>
      </c>
      <c r="G324" s="6">
        <v>27</v>
      </c>
      <c r="H324" s="6"/>
      <c r="I324" t="s">
        <v>491</v>
      </c>
      <c r="J324" s="3"/>
      <c r="K324" t="s">
        <v>421</v>
      </c>
      <c r="L324" t="s">
        <v>139</v>
      </c>
      <c r="N324" t="s">
        <v>479</v>
      </c>
      <c r="Q324" t="s">
        <v>423</v>
      </c>
      <c r="S324" t="s">
        <v>249</v>
      </c>
      <c r="T324" t="s">
        <v>480</v>
      </c>
      <c r="V324" t="s">
        <v>481</v>
      </c>
      <c r="W324" t="s">
        <v>39</v>
      </c>
      <c r="X324" s="6" t="s">
        <v>482</v>
      </c>
      <c r="Y324" s="6"/>
      <c r="Z324" t="s">
        <v>148</v>
      </c>
      <c r="AA324" t="s">
        <v>149</v>
      </c>
      <c r="AC324" t="s">
        <v>150</v>
      </c>
      <c r="AD324" s="6"/>
      <c r="AF324" s="3"/>
      <c r="AH324" t="b">
        <v>0</v>
      </c>
      <c r="AI324" t="b">
        <v>1</v>
      </c>
      <c r="AJ324" s="6" t="s">
        <v>483</v>
      </c>
      <c r="AK324" s="6" t="s">
        <v>171</v>
      </c>
      <c r="AL324" t="b">
        <v>0</v>
      </c>
      <c r="AM324" s="6"/>
      <c r="AN324" s="6"/>
      <c r="AP324" t="b">
        <v>0</v>
      </c>
      <c r="AQ324" s="6"/>
      <c r="AR324" s="6"/>
      <c r="AT324" t="b">
        <v>0</v>
      </c>
      <c r="AU324" s="6"/>
      <c r="AV324" s="6"/>
      <c r="AX324" t="b">
        <v>1</v>
      </c>
      <c r="AY324" s="6" t="s">
        <v>1971</v>
      </c>
      <c r="AZ324" s="6" t="s">
        <v>171</v>
      </c>
      <c r="BA324" t="b">
        <v>1</v>
      </c>
      <c r="BB324" s="6" t="s">
        <v>171</v>
      </c>
      <c r="BC324" t="b">
        <v>0</v>
      </c>
      <c r="BD324" s="6"/>
      <c r="BE324" s="6"/>
      <c r="BF324" t="b">
        <v>0</v>
      </c>
      <c r="BG324" s="6"/>
      <c r="BH324" t="b">
        <v>0</v>
      </c>
      <c r="BI324" s="6"/>
      <c r="BJ324" t="b">
        <v>0</v>
      </c>
      <c r="BL324" t="b">
        <v>0</v>
      </c>
      <c r="BM324" t="b">
        <v>0</v>
      </c>
      <c r="BN324" t="b">
        <v>0</v>
      </c>
      <c r="BO324" t="b">
        <v>1</v>
      </c>
      <c r="BQ324" t="b">
        <v>0</v>
      </c>
      <c r="BR324" s="6"/>
      <c r="BT324" t="b">
        <v>0</v>
      </c>
      <c r="BU324" t="s">
        <v>1933</v>
      </c>
      <c r="BV324" t="s">
        <v>504</v>
      </c>
      <c r="BW324" t="s">
        <v>171</v>
      </c>
      <c r="BY324" s="6" t="s">
        <v>485</v>
      </c>
      <c r="BZ324">
        <v>1</v>
      </c>
      <c r="CB324" s="7">
        <v>46315.0537962963</v>
      </c>
    </row>
    <row r="325" spans="1:80">
      <c r="A325" s="6" t="s">
        <v>1972</v>
      </c>
      <c r="B325" t="s">
        <v>491</v>
      </c>
      <c r="C325" s="6" t="s">
        <v>1931</v>
      </c>
      <c r="D325" s="6"/>
      <c r="E325" t="s">
        <v>1932</v>
      </c>
      <c r="G325" s="6">
        <v>28</v>
      </c>
      <c r="H325" s="6"/>
      <c r="I325" t="s">
        <v>491</v>
      </c>
      <c r="J325" s="3"/>
      <c r="K325" t="s">
        <v>421</v>
      </c>
      <c r="L325" t="s">
        <v>139</v>
      </c>
      <c r="N325" t="s">
        <v>371</v>
      </c>
      <c r="Q325" t="s">
        <v>372</v>
      </c>
      <c r="S325" t="s">
        <v>249</v>
      </c>
      <c r="T325" t="s">
        <v>373</v>
      </c>
      <c r="U325" t="s">
        <v>374</v>
      </c>
      <c r="V325" t="s">
        <v>375</v>
      </c>
      <c r="W325" t="s">
        <v>33</v>
      </c>
      <c r="X325" s="6" t="s">
        <v>376</v>
      </c>
      <c r="Y325" s="6"/>
      <c r="Z325" t="s">
        <v>148</v>
      </c>
      <c r="AA325" t="s">
        <v>149</v>
      </c>
      <c r="AC325" t="s">
        <v>150</v>
      </c>
      <c r="AD325" s="6"/>
      <c r="AF325" s="3"/>
      <c r="AH325" t="b">
        <v>0</v>
      </c>
      <c r="AI325" t="b">
        <v>1</v>
      </c>
      <c r="AJ325" s="6" t="s">
        <v>379</v>
      </c>
      <c r="AK325" s="6" t="s">
        <v>171</v>
      </c>
      <c r="AL325" t="b">
        <v>0</v>
      </c>
      <c r="AM325" s="6"/>
      <c r="AN325" s="6"/>
      <c r="AP325" t="b">
        <v>0</v>
      </c>
      <c r="AQ325" s="6"/>
      <c r="AR325" s="6"/>
      <c r="AT325" t="b">
        <v>0</v>
      </c>
      <c r="AU325" s="6"/>
      <c r="AV325" s="6"/>
      <c r="AX325" t="b">
        <v>1</v>
      </c>
      <c r="AY325" s="6" t="s">
        <v>1973</v>
      </c>
      <c r="AZ325" s="6" t="s">
        <v>171</v>
      </c>
      <c r="BA325" t="b">
        <v>1</v>
      </c>
      <c r="BB325" s="6" t="s">
        <v>171</v>
      </c>
      <c r="BC325" t="b">
        <v>0</v>
      </c>
      <c r="BD325" s="6"/>
      <c r="BE325" s="6"/>
      <c r="BF325" t="b">
        <v>0</v>
      </c>
      <c r="BG325" s="6"/>
      <c r="BH325" t="b">
        <v>0</v>
      </c>
      <c r="BI325" s="6"/>
      <c r="BJ325" t="b">
        <v>0</v>
      </c>
      <c r="BL325" t="b">
        <v>0</v>
      </c>
      <c r="BM325" t="b">
        <v>0</v>
      </c>
      <c r="BN325" t="b">
        <v>0</v>
      </c>
      <c r="BO325" t="b">
        <v>1</v>
      </c>
      <c r="BQ325" t="b">
        <v>0</v>
      </c>
      <c r="BR325" s="6"/>
      <c r="BT325" t="b">
        <v>0</v>
      </c>
      <c r="BU325" t="s">
        <v>1933</v>
      </c>
      <c r="BV325" t="s">
        <v>504</v>
      </c>
      <c r="BW325" t="s">
        <v>171</v>
      </c>
      <c r="BX325" t="s">
        <v>50</v>
      </c>
      <c r="BY325" s="6" t="s">
        <v>382</v>
      </c>
      <c r="BZ325">
        <v>1</v>
      </c>
      <c r="CB325" s="7">
        <v>46315.0537962963</v>
      </c>
    </row>
    <row r="326" spans="1:80">
      <c r="A326" s="6" t="s">
        <v>1974</v>
      </c>
      <c r="B326" t="s">
        <v>491</v>
      </c>
      <c r="C326" s="6" t="s">
        <v>1931</v>
      </c>
      <c r="D326" s="6"/>
      <c r="E326" t="s">
        <v>1932</v>
      </c>
      <c r="G326" s="6">
        <v>29</v>
      </c>
      <c r="H326" s="6"/>
      <c r="I326" t="s">
        <v>491</v>
      </c>
      <c r="J326" s="3"/>
      <c r="K326" t="s">
        <v>421</v>
      </c>
      <c r="L326" t="s">
        <v>139</v>
      </c>
      <c r="N326" t="s">
        <v>281</v>
      </c>
      <c r="O326" t="s">
        <v>142</v>
      </c>
      <c r="P326" t="s">
        <v>142</v>
      </c>
      <c r="Q326" t="s">
        <v>282</v>
      </c>
      <c r="S326" t="s">
        <v>249</v>
      </c>
      <c r="T326" t="s">
        <v>283</v>
      </c>
      <c r="V326" t="s">
        <v>284</v>
      </c>
      <c r="W326" t="s">
        <v>39</v>
      </c>
      <c r="X326" s="6" t="s">
        <v>627</v>
      </c>
      <c r="Y326" s="6"/>
      <c r="Z326" t="s">
        <v>148</v>
      </c>
      <c r="AA326" t="s">
        <v>149</v>
      </c>
      <c r="AC326" t="s">
        <v>150</v>
      </c>
      <c r="AD326" s="6"/>
      <c r="AF326" s="3"/>
      <c r="AH326" t="b">
        <v>0</v>
      </c>
      <c r="AI326" t="b">
        <v>1</v>
      </c>
      <c r="AJ326" s="6" t="s">
        <v>628</v>
      </c>
      <c r="AK326" s="6" t="s">
        <v>171</v>
      </c>
      <c r="AL326" t="b">
        <v>0</v>
      </c>
      <c r="AM326" s="6"/>
      <c r="AN326" s="6"/>
      <c r="AP326" t="b">
        <v>0</v>
      </c>
      <c r="AQ326" s="6"/>
      <c r="AR326" s="6"/>
      <c r="AT326" t="b">
        <v>0</v>
      </c>
      <c r="AU326" s="6"/>
      <c r="AV326" s="6"/>
      <c r="AX326" t="b">
        <v>0</v>
      </c>
      <c r="AY326" s="6"/>
      <c r="AZ326" s="6"/>
      <c r="BA326" t="b">
        <v>0</v>
      </c>
      <c r="BB326" s="6"/>
      <c r="BC326" t="b">
        <v>0</v>
      </c>
      <c r="BD326" s="6"/>
      <c r="BE326" s="6"/>
      <c r="BF326" t="b">
        <v>0</v>
      </c>
      <c r="BG326" s="6"/>
      <c r="BH326" t="b">
        <v>0</v>
      </c>
      <c r="BI326" s="6"/>
      <c r="BJ326" t="b">
        <v>0</v>
      </c>
      <c r="BL326" t="b">
        <v>0</v>
      </c>
      <c r="BM326" t="b">
        <v>0</v>
      </c>
      <c r="BN326" t="b">
        <v>0</v>
      </c>
      <c r="BO326" t="b">
        <v>1</v>
      </c>
      <c r="BQ326" t="b">
        <v>0</v>
      </c>
      <c r="BR326" s="6"/>
      <c r="BT326" t="b">
        <v>0</v>
      </c>
      <c r="BU326" t="s">
        <v>1933</v>
      </c>
      <c r="BV326" t="s">
        <v>504</v>
      </c>
      <c r="BW326" t="s">
        <v>171</v>
      </c>
      <c r="BY326" s="6" t="s">
        <v>291</v>
      </c>
      <c r="BZ326">
        <v>0.9</v>
      </c>
      <c r="CB326" s="7">
        <v>46315.0537962963</v>
      </c>
    </row>
    <row r="327" spans="1:80">
      <c r="A327" s="6" t="s">
        <v>1975</v>
      </c>
      <c r="B327" t="s">
        <v>491</v>
      </c>
      <c r="C327" s="6" t="s">
        <v>1931</v>
      </c>
      <c r="D327" s="6"/>
      <c r="E327" t="s">
        <v>1932</v>
      </c>
      <c r="G327" s="6">
        <v>30</v>
      </c>
      <c r="H327" s="6"/>
      <c r="I327" t="s">
        <v>491</v>
      </c>
      <c r="J327" s="3"/>
      <c r="K327" t="s">
        <v>421</v>
      </c>
      <c r="L327" t="s">
        <v>139</v>
      </c>
      <c r="N327" t="s">
        <v>610</v>
      </c>
      <c r="Q327" t="s">
        <v>611</v>
      </c>
      <c r="S327" t="s">
        <v>249</v>
      </c>
      <c r="T327" t="s">
        <v>612</v>
      </c>
      <c r="U327" t="s">
        <v>613</v>
      </c>
      <c r="V327" t="s">
        <v>614</v>
      </c>
      <c r="W327" t="s">
        <v>39</v>
      </c>
      <c r="X327" s="6" t="s">
        <v>615</v>
      </c>
      <c r="Y327" s="6"/>
      <c r="Z327" t="s">
        <v>148</v>
      </c>
      <c r="AA327" t="s">
        <v>205</v>
      </c>
      <c r="AC327" t="s">
        <v>150</v>
      </c>
      <c r="AD327" s="6"/>
      <c r="AF327" s="3"/>
      <c r="AH327" t="b">
        <v>0</v>
      </c>
      <c r="AI327" t="b">
        <v>1</v>
      </c>
      <c r="AJ327" s="6" t="s">
        <v>616</v>
      </c>
      <c r="AK327" s="6" t="s">
        <v>171</v>
      </c>
      <c r="AL327" t="b">
        <v>0</v>
      </c>
      <c r="AM327" s="6"/>
      <c r="AN327" s="6"/>
      <c r="AP327" t="b">
        <v>0</v>
      </c>
      <c r="AQ327" s="6"/>
      <c r="AR327" s="6"/>
      <c r="AT327" t="b">
        <v>0</v>
      </c>
      <c r="AU327" s="6"/>
      <c r="AV327" s="6"/>
      <c r="AX327" t="b">
        <v>0</v>
      </c>
      <c r="AY327" s="6"/>
      <c r="AZ327" s="6"/>
      <c r="BA327" t="b">
        <v>0</v>
      </c>
      <c r="BB327" s="6"/>
      <c r="BC327" t="b">
        <v>0</v>
      </c>
      <c r="BD327" s="6"/>
      <c r="BE327" s="6"/>
      <c r="BF327" t="b">
        <v>0</v>
      </c>
      <c r="BG327" s="6"/>
      <c r="BH327" t="b">
        <v>0</v>
      </c>
      <c r="BI327" s="6"/>
      <c r="BJ327" t="b">
        <v>0</v>
      </c>
      <c r="BL327" t="b">
        <v>0</v>
      </c>
      <c r="BM327" t="b">
        <v>0</v>
      </c>
      <c r="BN327" t="b">
        <v>0</v>
      </c>
      <c r="BO327" t="b">
        <v>1</v>
      </c>
      <c r="BQ327" t="b">
        <v>0</v>
      </c>
      <c r="BR327" s="6"/>
      <c r="BT327" t="b">
        <v>0</v>
      </c>
      <c r="BU327" t="s">
        <v>1933</v>
      </c>
      <c r="BV327" t="s">
        <v>504</v>
      </c>
      <c r="BW327" t="s">
        <v>154</v>
      </c>
      <c r="BX327" t="s">
        <v>618</v>
      </c>
      <c r="BY327" s="6" t="s">
        <v>619</v>
      </c>
      <c r="BZ327">
        <v>1</v>
      </c>
      <c r="CA327" t="s">
        <v>157</v>
      </c>
      <c r="CB327" s="7">
        <v>46315.0537962963</v>
      </c>
    </row>
    <row r="328" spans="1:80">
      <c r="A328" s="6" t="s">
        <v>1976</v>
      </c>
      <c r="B328" t="s">
        <v>491</v>
      </c>
      <c r="C328" s="6" t="s">
        <v>1931</v>
      </c>
      <c r="D328" s="6"/>
      <c r="E328" t="s">
        <v>1932</v>
      </c>
      <c r="G328" s="6">
        <v>31</v>
      </c>
      <c r="H328" s="6"/>
      <c r="I328" t="s">
        <v>491</v>
      </c>
      <c r="J328" s="3"/>
      <c r="K328" t="s">
        <v>421</v>
      </c>
      <c r="L328" t="s">
        <v>139</v>
      </c>
      <c r="N328" t="s">
        <v>298</v>
      </c>
      <c r="O328" t="s">
        <v>299</v>
      </c>
      <c r="P328" t="s">
        <v>299</v>
      </c>
      <c r="Q328" t="s">
        <v>300</v>
      </c>
      <c r="S328" t="s">
        <v>249</v>
      </c>
      <c r="T328" t="s">
        <v>301</v>
      </c>
      <c r="V328" t="s">
        <v>302</v>
      </c>
      <c r="W328" t="s">
        <v>35</v>
      </c>
      <c r="X328" s="6" t="s">
        <v>303</v>
      </c>
      <c r="Y328" s="6"/>
      <c r="Z328" t="s">
        <v>148</v>
      </c>
      <c r="AA328" t="s">
        <v>149</v>
      </c>
      <c r="AC328" t="s">
        <v>150</v>
      </c>
      <c r="AD328" s="6"/>
      <c r="AF328" s="3"/>
      <c r="AH328" t="b">
        <v>0</v>
      </c>
      <c r="AI328" t="b">
        <v>1</v>
      </c>
      <c r="AJ328" s="6" t="s">
        <v>573</v>
      </c>
      <c r="AK328" s="6" t="s">
        <v>1935</v>
      </c>
      <c r="AL328" t="b">
        <v>0</v>
      </c>
      <c r="AM328" s="6"/>
      <c r="AN328" s="6"/>
      <c r="AP328" t="b">
        <v>0</v>
      </c>
      <c r="AQ328" s="6"/>
      <c r="AR328" s="6"/>
      <c r="AT328" t="b">
        <v>0</v>
      </c>
      <c r="AU328" s="6"/>
      <c r="AV328" s="6"/>
      <c r="AX328" t="b">
        <v>0</v>
      </c>
      <c r="AY328" s="6"/>
      <c r="AZ328" s="6"/>
      <c r="BA328" t="b">
        <v>0</v>
      </c>
      <c r="BB328" s="6"/>
      <c r="BC328" t="b">
        <v>0</v>
      </c>
      <c r="BD328" s="6"/>
      <c r="BE328" s="6"/>
      <c r="BF328" t="b">
        <v>0</v>
      </c>
      <c r="BG328" s="6"/>
      <c r="BH328" t="b">
        <v>0</v>
      </c>
      <c r="BI328" s="6"/>
      <c r="BJ328" t="b">
        <v>0</v>
      </c>
      <c r="BL328" t="b">
        <v>0</v>
      </c>
      <c r="BM328" t="b">
        <v>0</v>
      </c>
      <c r="BN328" t="b">
        <v>0</v>
      </c>
      <c r="BO328" t="b">
        <v>1</v>
      </c>
      <c r="BQ328" t="b">
        <v>0</v>
      </c>
      <c r="BR328" s="6"/>
      <c r="BT328" t="b">
        <v>0</v>
      </c>
      <c r="BU328" t="s">
        <v>1933</v>
      </c>
      <c r="BV328" t="s">
        <v>504</v>
      </c>
      <c r="BW328" t="s">
        <v>154</v>
      </c>
      <c r="BX328" t="s">
        <v>1977</v>
      </c>
      <c r="BY328" s="6" t="s">
        <v>306</v>
      </c>
      <c r="BZ328">
        <v>1</v>
      </c>
      <c r="CA328" t="s">
        <v>157</v>
      </c>
      <c r="CB328" s="7">
        <v>46315.0537962963</v>
      </c>
    </row>
    <row r="329" spans="1:80">
      <c r="A329" s="6" t="s">
        <v>1978</v>
      </c>
      <c r="B329" t="s">
        <v>491</v>
      </c>
      <c r="C329" s="6" t="s">
        <v>1931</v>
      </c>
      <c r="D329" s="6"/>
      <c r="E329" t="s">
        <v>1932</v>
      </c>
      <c r="G329" s="6">
        <v>32</v>
      </c>
      <c r="H329" s="6"/>
      <c r="I329" t="s">
        <v>491</v>
      </c>
      <c r="J329" s="3"/>
      <c r="K329" t="s">
        <v>421</v>
      </c>
      <c r="L329" t="s">
        <v>139</v>
      </c>
      <c r="N329" t="s">
        <v>314</v>
      </c>
      <c r="O329" t="s">
        <v>163</v>
      </c>
      <c r="P329" t="s">
        <v>163</v>
      </c>
      <c r="Q329" t="s">
        <v>315</v>
      </c>
      <c r="S329" t="s">
        <v>249</v>
      </c>
      <c r="T329" t="s">
        <v>316</v>
      </c>
      <c r="V329" t="s">
        <v>317</v>
      </c>
      <c r="W329" t="s">
        <v>34</v>
      </c>
      <c r="X329" s="6" t="s">
        <v>318</v>
      </c>
      <c r="Y329" s="6"/>
      <c r="Z329" t="s">
        <v>148</v>
      </c>
      <c r="AA329" t="s">
        <v>149</v>
      </c>
      <c r="AC329" t="s">
        <v>150</v>
      </c>
      <c r="AD329" s="6"/>
      <c r="AF329" s="3"/>
      <c r="AH329" t="b">
        <v>0</v>
      </c>
      <c r="AI329" t="b">
        <v>1</v>
      </c>
      <c r="AJ329" s="6" t="s">
        <v>555</v>
      </c>
      <c r="AK329" s="6" t="s">
        <v>171</v>
      </c>
      <c r="AL329" t="b">
        <v>0</v>
      </c>
      <c r="AM329" s="6"/>
      <c r="AN329" s="6"/>
      <c r="AP329" t="b">
        <v>0</v>
      </c>
      <c r="AQ329" s="6"/>
      <c r="AR329" s="6"/>
      <c r="AT329" t="b">
        <v>0</v>
      </c>
      <c r="AU329" s="6"/>
      <c r="AV329" s="6"/>
      <c r="AX329" t="b">
        <v>1</v>
      </c>
      <c r="AY329" s="6" t="s">
        <v>1979</v>
      </c>
      <c r="AZ329" s="6" t="s">
        <v>171</v>
      </c>
      <c r="BA329" t="b">
        <v>1</v>
      </c>
      <c r="BB329" s="6" t="s">
        <v>171</v>
      </c>
      <c r="BC329" t="b">
        <v>0</v>
      </c>
      <c r="BD329" s="6"/>
      <c r="BE329" s="6"/>
      <c r="BF329" t="b">
        <v>0</v>
      </c>
      <c r="BG329" s="6"/>
      <c r="BH329" t="b">
        <v>0</v>
      </c>
      <c r="BI329" s="6"/>
      <c r="BJ329" t="b">
        <v>0</v>
      </c>
      <c r="BL329" t="b">
        <v>0</v>
      </c>
      <c r="BM329" t="b">
        <v>0</v>
      </c>
      <c r="BN329" t="b">
        <v>0</v>
      </c>
      <c r="BO329" t="b">
        <v>1</v>
      </c>
      <c r="BQ329" t="b">
        <v>0</v>
      </c>
      <c r="BR329" s="6"/>
      <c r="BT329" t="b">
        <v>0</v>
      </c>
      <c r="BU329" t="s">
        <v>1933</v>
      </c>
      <c r="BV329" t="s">
        <v>504</v>
      </c>
      <c r="BW329" t="s">
        <v>154</v>
      </c>
      <c r="BX329" t="s">
        <v>44</v>
      </c>
      <c r="BY329" s="6" t="s">
        <v>321</v>
      </c>
      <c r="BZ329">
        <v>1</v>
      </c>
      <c r="CA329" t="s">
        <v>157</v>
      </c>
      <c r="CB329" s="7">
        <v>46315.0537962963</v>
      </c>
    </row>
    <row r="330" spans="1:80">
      <c r="A330" s="6" t="s">
        <v>1980</v>
      </c>
      <c r="B330" t="s">
        <v>491</v>
      </c>
      <c r="C330" s="6" t="s">
        <v>1931</v>
      </c>
      <c r="D330" s="6"/>
      <c r="E330" t="s">
        <v>1932</v>
      </c>
      <c r="G330" s="6">
        <v>33</v>
      </c>
      <c r="H330" s="6"/>
      <c r="I330" t="s">
        <v>491</v>
      </c>
      <c r="J330" s="3"/>
      <c r="K330" t="s">
        <v>421</v>
      </c>
      <c r="L330" t="s">
        <v>139</v>
      </c>
      <c r="N330" t="s">
        <v>199</v>
      </c>
      <c r="Q330" t="s">
        <v>200</v>
      </c>
      <c r="R330" t="s">
        <v>201</v>
      </c>
      <c r="S330" t="s">
        <v>249</v>
      </c>
      <c r="T330" t="s">
        <v>202</v>
      </c>
      <c r="V330" t="s">
        <v>203</v>
      </c>
      <c r="W330" t="s">
        <v>34</v>
      </c>
      <c r="X330" s="6" t="s">
        <v>204</v>
      </c>
      <c r="Y330" s="6"/>
      <c r="Z330" t="s">
        <v>148</v>
      </c>
      <c r="AA330" t="s">
        <v>205</v>
      </c>
      <c r="AC330" t="s">
        <v>150</v>
      </c>
      <c r="AD330" s="6"/>
      <c r="AF330" s="3"/>
      <c r="AH330" t="b">
        <v>0</v>
      </c>
      <c r="AI330" t="b">
        <v>1</v>
      </c>
      <c r="AJ330" s="6" t="s">
        <v>632</v>
      </c>
      <c r="AK330" s="6" t="s">
        <v>171</v>
      </c>
      <c r="AL330" t="b">
        <v>0</v>
      </c>
      <c r="AM330" s="6"/>
      <c r="AN330" s="6"/>
      <c r="AP330" t="b">
        <v>0</v>
      </c>
      <c r="AQ330" s="6"/>
      <c r="AR330" s="6"/>
      <c r="AT330" t="b">
        <v>0</v>
      </c>
      <c r="AU330" s="6"/>
      <c r="AV330" s="6"/>
      <c r="AX330" t="b">
        <v>0</v>
      </c>
      <c r="AY330" s="6"/>
      <c r="AZ330" s="6"/>
      <c r="BA330" t="b">
        <v>0</v>
      </c>
      <c r="BB330" s="6"/>
      <c r="BC330" t="b">
        <v>0</v>
      </c>
      <c r="BD330" s="6"/>
      <c r="BE330" s="6"/>
      <c r="BF330" t="b">
        <v>0</v>
      </c>
      <c r="BG330" s="6"/>
      <c r="BH330" t="b">
        <v>0</v>
      </c>
      <c r="BI330" s="6"/>
      <c r="BJ330" t="b">
        <v>0</v>
      </c>
      <c r="BL330" t="b">
        <v>0</v>
      </c>
      <c r="BM330" t="b">
        <v>0</v>
      </c>
      <c r="BN330" t="b">
        <v>0</v>
      </c>
      <c r="BO330" t="b">
        <v>1</v>
      </c>
      <c r="BQ330" t="b">
        <v>0</v>
      </c>
      <c r="BR330" s="6"/>
      <c r="BT330" t="b">
        <v>0</v>
      </c>
      <c r="BU330" t="s">
        <v>1933</v>
      </c>
      <c r="BV330" t="s">
        <v>504</v>
      </c>
      <c r="BW330" t="s">
        <v>154</v>
      </c>
      <c r="BX330" t="s">
        <v>43</v>
      </c>
      <c r="BY330" s="6" t="s">
        <v>207</v>
      </c>
      <c r="BZ330">
        <v>1</v>
      </c>
      <c r="CA330" t="s">
        <v>157</v>
      </c>
      <c r="CB330" s="7">
        <v>46315.0537962963</v>
      </c>
    </row>
    <row r="331" spans="1:80">
      <c r="A331" s="6" t="s">
        <v>1981</v>
      </c>
      <c r="B331" t="s">
        <v>491</v>
      </c>
      <c r="C331" s="6" t="s">
        <v>1931</v>
      </c>
      <c r="D331" s="6"/>
      <c r="E331" t="s">
        <v>1932</v>
      </c>
      <c r="G331" s="6">
        <v>34</v>
      </c>
      <c r="H331" s="6"/>
      <c r="I331" t="s">
        <v>491</v>
      </c>
      <c r="J331" s="3"/>
      <c r="K331" t="s">
        <v>421</v>
      </c>
      <c r="L331" t="s">
        <v>139</v>
      </c>
      <c r="N331" t="s">
        <v>188</v>
      </c>
      <c r="O331" t="s">
        <v>299</v>
      </c>
      <c r="P331" t="s">
        <v>299</v>
      </c>
      <c r="Q331" t="s">
        <v>601</v>
      </c>
      <c r="S331" t="s">
        <v>249</v>
      </c>
      <c r="T331" t="s">
        <v>602</v>
      </c>
      <c r="V331" t="s">
        <v>603</v>
      </c>
      <c r="W331" t="s">
        <v>40</v>
      </c>
      <c r="X331" s="6" t="s">
        <v>604</v>
      </c>
      <c r="Y331" s="6"/>
      <c r="Z331" t="s">
        <v>148</v>
      </c>
      <c r="AA331" t="s">
        <v>149</v>
      </c>
      <c r="AC331" t="s">
        <v>150</v>
      </c>
      <c r="AD331" s="6"/>
      <c r="AF331" s="3"/>
      <c r="AH331" t="b">
        <v>0</v>
      </c>
      <c r="AI331" t="b">
        <v>1</v>
      </c>
      <c r="AJ331" s="6" t="s">
        <v>605</v>
      </c>
      <c r="AK331" s="6" t="s">
        <v>1935</v>
      </c>
      <c r="AL331" t="b">
        <v>0</v>
      </c>
      <c r="AM331" s="6"/>
      <c r="AN331" s="6"/>
      <c r="AP331" t="b">
        <v>0</v>
      </c>
      <c r="AQ331" s="6"/>
      <c r="AR331" s="6"/>
      <c r="AT331" t="b">
        <v>0</v>
      </c>
      <c r="AU331" s="6"/>
      <c r="AV331" s="6"/>
      <c r="AX331" t="b">
        <v>1</v>
      </c>
      <c r="AY331" s="6" t="s">
        <v>1982</v>
      </c>
      <c r="AZ331" s="6" t="s">
        <v>171</v>
      </c>
      <c r="BA331" t="b">
        <v>1</v>
      </c>
      <c r="BB331" s="6" t="s">
        <v>171</v>
      </c>
      <c r="BC331" t="b">
        <v>0</v>
      </c>
      <c r="BD331" s="6"/>
      <c r="BE331" s="6"/>
      <c r="BF331" t="b">
        <v>0</v>
      </c>
      <c r="BG331" s="6"/>
      <c r="BH331" t="b">
        <v>0</v>
      </c>
      <c r="BI331" s="6"/>
      <c r="BJ331" t="b">
        <v>0</v>
      </c>
      <c r="BL331" t="b">
        <v>0</v>
      </c>
      <c r="BM331" t="b">
        <v>0</v>
      </c>
      <c r="BN331" t="b">
        <v>0</v>
      </c>
      <c r="BO331" t="b">
        <v>1</v>
      </c>
      <c r="BQ331" t="b">
        <v>0</v>
      </c>
      <c r="BR331" s="6"/>
      <c r="BT331" t="b">
        <v>0</v>
      </c>
      <c r="BU331" t="s">
        <v>1933</v>
      </c>
      <c r="BV331" t="s">
        <v>504</v>
      </c>
      <c r="BW331" t="s">
        <v>154</v>
      </c>
      <c r="BX331" t="s">
        <v>1935</v>
      </c>
      <c r="BY331" s="6" t="s">
        <v>607</v>
      </c>
      <c r="BZ331">
        <v>1</v>
      </c>
      <c r="CA331" t="s">
        <v>157</v>
      </c>
      <c r="CB331" s="7">
        <v>46315.0537962963</v>
      </c>
    </row>
    <row r="332" spans="1:80">
      <c r="A332" s="6" t="s">
        <v>1983</v>
      </c>
      <c r="B332" t="s">
        <v>491</v>
      </c>
      <c r="C332" s="6" t="s">
        <v>1931</v>
      </c>
      <c r="D332" s="6"/>
      <c r="E332" t="s">
        <v>1932</v>
      </c>
      <c r="G332" s="6">
        <v>35</v>
      </c>
      <c r="H332" s="6"/>
      <c r="I332" t="s">
        <v>491</v>
      </c>
      <c r="J332" s="3"/>
      <c r="K332" t="s">
        <v>421</v>
      </c>
      <c r="L332" t="s">
        <v>139</v>
      </c>
      <c r="N332" t="s">
        <v>468</v>
      </c>
      <c r="O332" t="s">
        <v>163</v>
      </c>
      <c r="P332" t="s">
        <v>163</v>
      </c>
      <c r="Q332" t="s">
        <v>469</v>
      </c>
      <c r="S332" t="s">
        <v>249</v>
      </c>
      <c r="T332" t="s">
        <v>470</v>
      </c>
      <c r="V332" t="s">
        <v>471</v>
      </c>
      <c r="W332" t="s">
        <v>38</v>
      </c>
      <c r="X332" s="6" t="s">
        <v>472</v>
      </c>
      <c r="Y332" s="6"/>
      <c r="Z332" t="s">
        <v>148</v>
      </c>
      <c r="AA332" t="s">
        <v>149</v>
      </c>
      <c r="AC332" t="s">
        <v>150</v>
      </c>
      <c r="AD332" s="6"/>
      <c r="AF332" s="3"/>
      <c r="AH332" t="b">
        <v>0</v>
      </c>
      <c r="AI332" t="b">
        <v>1</v>
      </c>
      <c r="AJ332" s="6" t="s">
        <v>473</v>
      </c>
      <c r="AK332" s="6" t="s">
        <v>171</v>
      </c>
      <c r="AL332" t="b">
        <v>0</v>
      </c>
      <c r="AM332" s="6"/>
      <c r="AN332" s="6"/>
      <c r="AP332" t="b">
        <v>0</v>
      </c>
      <c r="AQ332" s="6"/>
      <c r="AR332" s="6"/>
      <c r="AT332" t="b">
        <v>0</v>
      </c>
      <c r="AU332" s="6"/>
      <c r="AV332" s="6"/>
      <c r="AX332" t="b">
        <v>0</v>
      </c>
      <c r="AY332" s="6"/>
      <c r="AZ332" s="6"/>
      <c r="BA332" t="b">
        <v>0</v>
      </c>
      <c r="BB332" s="6"/>
      <c r="BC332" t="b">
        <v>0</v>
      </c>
      <c r="BD332" s="6"/>
      <c r="BE332" s="6"/>
      <c r="BF332" t="b">
        <v>0</v>
      </c>
      <c r="BG332" s="6"/>
      <c r="BH332" t="b">
        <v>0</v>
      </c>
      <c r="BI332" s="6"/>
      <c r="BJ332" t="b">
        <v>0</v>
      </c>
      <c r="BL332" t="b">
        <v>0</v>
      </c>
      <c r="BM332" t="b">
        <v>0</v>
      </c>
      <c r="BN332" t="b">
        <v>0</v>
      </c>
      <c r="BO332" t="b">
        <v>1</v>
      </c>
      <c r="BQ332" t="b">
        <v>0</v>
      </c>
      <c r="BR332" s="6"/>
      <c r="BT332" t="b">
        <v>0</v>
      </c>
      <c r="BU332" t="s">
        <v>1933</v>
      </c>
      <c r="BV332" t="s">
        <v>504</v>
      </c>
      <c r="BW332" t="s">
        <v>171</v>
      </c>
      <c r="BY332" s="6" t="s">
        <v>475</v>
      </c>
      <c r="BZ332">
        <v>1</v>
      </c>
      <c r="CB332" s="7">
        <v>46315.0537962963</v>
      </c>
    </row>
    <row r="333" spans="1:80">
      <c r="A333" s="6" t="s">
        <v>1984</v>
      </c>
      <c r="B333" t="s">
        <v>491</v>
      </c>
      <c r="C333" s="6" t="s">
        <v>1931</v>
      </c>
      <c r="D333" s="6"/>
      <c r="E333" t="s">
        <v>1932</v>
      </c>
      <c r="G333" s="6">
        <v>36</v>
      </c>
      <c r="H333" s="6"/>
      <c r="I333" t="s">
        <v>491</v>
      </c>
      <c r="J333" s="3"/>
      <c r="K333" t="s">
        <v>421</v>
      </c>
      <c r="L333" t="s">
        <v>139</v>
      </c>
      <c r="N333" t="s">
        <v>458</v>
      </c>
      <c r="O333" t="s">
        <v>163</v>
      </c>
      <c r="P333" t="s">
        <v>163</v>
      </c>
      <c r="Q333" t="s">
        <v>459</v>
      </c>
      <c r="S333" t="s">
        <v>249</v>
      </c>
      <c r="T333" t="s">
        <v>460</v>
      </c>
      <c r="V333" t="s">
        <v>461</v>
      </c>
      <c r="W333" t="s">
        <v>37</v>
      </c>
      <c r="X333" s="6" t="s">
        <v>462</v>
      </c>
      <c r="Y333" s="6"/>
      <c r="Z333" t="s">
        <v>148</v>
      </c>
      <c r="AA333" t="s">
        <v>149</v>
      </c>
      <c r="AC333" t="s">
        <v>150</v>
      </c>
      <c r="AD333" s="6"/>
      <c r="AF333" s="3"/>
      <c r="AH333" t="b">
        <v>0</v>
      </c>
      <c r="AI333" t="b">
        <v>1</v>
      </c>
      <c r="AJ333" s="6" t="s">
        <v>463</v>
      </c>
      <c r="AK333" s="6" t="s">
        <v>171</v>
      </c>
      <c r="AL333" t="b">
        <v>0</v>
      </c>
      <c r="AM333" s="6"/>
      <c r="AN333" s="6"/>
      <c r="AP333" t="b">
        <v>0</v>
      </c>
      <c r="AQ333" s="6"/>
      <c r="AR333" s="6"/>
      <c r="AT333" t="b">
        <v>0</v>
      </c>
      <c r="AU333" s="6"/>
      <c r="AV333" s="6"/>
      <c r="AX333" t="b">
        <v>0</v>
      </c>
      <c r="AY333" s="6"/>
      <c r="AZ333" s="6"/>
      <c r="BA333" t="b">
        <v>0</v>
      </c>
      <c r="BB333" s="6"/>
      <c r="BC333" t="b">
        <v>0</v>
      </c>
      <c r="BD333" s="6"/>
      <c r="BE333" s="6"/>
      <c r="BF333" t="b">
        <v>0</v>
      </c>
      <c r="BG333" s="6"/>
      <c r="BH333" t="b">
        <v>0</v>
      </c>
      <c r="BI333" s="6"/>
      <c r="BJ333" t="b">
        <v>0</v>
      </c>
      <c r="BL333" t="b">
        <v>0</v>
      </c>
      <c r="BM333" t="b">
        <v>0</v>
      </c>
      <c r="BN333" t="b">
        <v>0</v>
      </c>
      <c r="BO333" t="b">
        <v>1</v>
      </c>
      <c r="BQ333" t="b">
        <v>0</v>
      </c>
      <c r="BR333" s="6"/>
      <c r="BT333" t="b">
        <v>0</v>
      </c>
      <c r="BU333" t="s">
        <v>1933</v>
      </c>
      <c r="BV333" t="s">
        <v>504</v>
      </c>
      <c r="BW333" t="s">
        <v>171</v>
      </c>
      <c r="BY333" s="6" t="s">
        <v>464</v>
      </c>
      <c r="BZ333">
        <v>1</v>
      </c>
      <c r="CB333" s="7">
        <v>46315.0537962963</v>
      </c>
    </row>
    <row r="334" spans="1:80">
      <c r="A334" s="6" t="s">
        <v>1985</v>
      </c>
      <c r="B334" t="s">
        <v>491</v>
      </c>
      <c r="C334" s="6" t="s">
        <v>1931</v>
      </c>
      <c r="D334" s="6"/>
      <c r="E334" t="s">
        <v>1932</v>
      </c>
      <c r="G334" s="6">
        <v>37</v>
      </c>
      <c r="H334" s="6"/>
      <c r="I334" t="s">
        <v>491</v>
      </c>
      <c r="J334" s="3"/>
      <c r="K334" t="s">
        <v>421</v>
      </c>
      <c r="L334" t="s">
        <v>139</v>
      </c>
      <c r="N334" t="s">
        <v>667</v>
      </c>
      <c r="Q334" t="s">
        <v>668</v>
      </c>
      <c r="S334" t="s">
        <v>249</v>
      </c>
      <c r="T334" t="s">
        <v>669</v>
      </c>
      <c r="U334" t="s">
        <v>670</v>
      </c>
      <c r="V334" t="s">
        <v>671</v>
      </c>
      <c r="W334" t="s">
        <v>39</v>
      </c>
      <c r="X334" s="6" t="s">
        <v>672</v>
      </c>
      <c r="Y334" s="6"/>
      <c r="Z334" t="s">
        <v>148</v>
      </c>
      <c r="AA334" t="s">
        <v>149</v>
      </c>
      <c r="AC334" t="s">
        <v>150</v>
      </c>
      <c r="AD334" s="6"/>
      <c r="AF334" s="3"/>
      <c r="AH334" t="b">
        <v>0</v>
      </c>
      <c r="AI334" t="b">
        <v>1</v>
      </c>
      <c r="AJ334" s="6" t="s">
        <v>673</v>
      </c>
      <c r="AK334" s="6" t="s">
        <v>171</v>
      </c>
      <c r="AL334" t="b">
        <v>0</v>
      </c>
      <c r="AM334" s="6"/>
      <c r="AN334" s="6"/>
      <c r="AP334" t="b">
        <v>0</v>
      </c>
      <c r="AQ334" s="6"/>
      <c r="AR334" s="6"/>
      <c r="AT334" t="b">
        <v>0</v>
      </c>
      <c r="AU334" s="6"/>
      <c r="AV334" s="6"/>
      <c r="AX334" t="b">
        <v>1</v>
      </c>
      <c r="AY334" s="6" t="s">
        <v>1986</v>
      </c>
      <c r="AZ334" s="6" t="s">
        <v>171</v>
      </c>
      <c r="BA334" t="b">
        <v>1</v>
      </c>
      <c r="BB334" s="6" t="s">
        <v>171</v>
      </c>
      <c r="BC334" t="b">
        <v>0</v>
      </c>
      <c r="BD334" s="6"/>
      <c r="BE334" s="6"/>
      <c r="BF334" t="b">
        <v>0</v>
      </c>
      <c r="BG334" s="6"/>
      <c r="BH334" t="b">
        <v>0</v>
      </c>
      <c r="BI334" s="6"/>
      <c r="BJ334" t="b">
        <v>0</v>
      </c>
      <c r="BL334" t="b">
        <v>0</v>
      </c>
      <c r="BM334" t="b">
        <v>0</v>
      </c>
      <c r="BN334" t="b">
        <v>0</v>
      </c>
      <c r="BO334" t="b">
        <v>1</v>
      </c>
      <c r="BQ334" t="b">
        <v>0</v>
      </c>
      <c r="BR334" s="6"/>
      <c r="BT334" t="b">
        <v>0</v>
      </c>
      <c r="BU334" t="s">
        <v>1933</v>
      </c>
      <c r="BV334" t="s">
        <v>504</v>
      </c>
      <c r="BW334" t="s">
        <v>171</v>
      </c>
      <c r="BX334" t="s">
        <v>50</v>
      </c>
      <c r="BY334" s="6" t="s">
        <v>676</v>
      </c>
      <c r="BZ334">
        <v>1</v>
      </c>
      <c r="CB334" s="7">
        <v>46315.0537962963</v>
      </c>
    </row>
    <row r="335" spans="1:80">
      <c r="A335" s="6" t="s">
        <v>1987</v>
      </c>
      <c r="B335" t="s">
        <v>491</v>
      </c>
      <c r="C335" s="6" t="s">
        <v>1931</v>
      </c>
      <c r="D335" s="6"/>
      <c r="E335" t="s">
        <v>1932</v>
      </c>
      <c r="G335" s="6">
        <v>38</v>
      </c>
      <c r="H335" s="6"/>
      <c r="I335" t="s">
        <v>491</v>
      </c>
      <c r="J335" s="3"/>
      <c r="K335" t="s">
        <v>421</v>
      </c>
      <c r="L335" t="s">
        <v>139</v>
      </c>
      <c r="N335" t="s">
        <v>592</v>
      </c>
      <c r="Q335" t="s">
        <v>593</v>
      </c>
      <c r="S335" t="s">
        <v>249</v>
      </c>
      <c r="T335" t="s">
        <v>594</v>
      </c>
      <c r="V335" t="s">
        <v>595</v>
      </c>
      <c r="W335" t="s">
        <v>37</v>
      </c>
      <c r="X335" s="6" t="s">
        <v>596</v>
      </c>
      <c r="Y335" s="6"/>
      <c r="Z335" t="s">
        <v>148</v>
      </c>
      <c r="AA335" t="s">
        <v>205</v>
      </c>
      <c r="AC335" t="s">
        <v>150</v>
      </c>
      <c r="AD335" s="6"/>
      <c r="AF335" s="3"/>
      <c r="AH335" t="b">
        <v>0</v>
      </c>
      <c r="AI335" t="b">
        <v>1</v>
      </c>
      <c r="AJ335" s="6" t="s">
        <v>597</v>
      </c>
      <c r="AK335" s="6" t="s">
        <v>171</v>
      </c>
      <c r="AL335" t="b">
        <v>0</v>
      </c>
      <c r="AM335" s="6"/>
      <c r="AN335" s="6"/>
      <c r="AP335" t="b">
        <v>0</v>
      </c>
      <c r="AQ335" s="6"/>
      <c r="AR335" s="6"/>
      <c r="AT335" t="b">
        <v>0</v>
      </c>
      <c r="AU335" s="6"/>
      <c r="AV335" s="6"/>
      <c r="AX335" t="b">
        <v>0</v>
      </c>
      <c r="AY335" s="6"/>
      <c r="AZ335" s="6"/>
      <c r="BA335" t="b">
        <v>0</v>
      </c>
      <c r="BB335" s="6"/>
      <c r="BC335" t="b">
        <v>0</v>
      </c>
      <c r="BD335" s="6"/>
      <c r="BE335" s="6"/>
      <c r="BF335" t="b">
        <v>0</v>
      </c>
      <c r="BG335" s="6"/>
      <c r="BH335" t="b">
        <v>0</v>
      </c>
      <c r="BI335" s="6"/>
      <c r="BJ335" t="b">
        <v>0</v>
      </c>
      <c r="BL335" t="b">
        <v>0</v>
      </c>
      <c r="BM335" t="b">
        <v>0</v>
      </c>
      <c r="BN335" t="b">
        <v>0</v>
      </c>
      <c r="BO335" t="b">
        <v>1</v>
      </c>
      <c r="BQ335" t="b">
        <v>0</v>
      </c>
      <c r="BR335" s="6"/>
      <c r="BT335" t="b">
        <v>0</v>
      </c>
      <c r="BU335" t="s">
        <v>1933</v>
      </c>
      <c r="BV335" t="s">
        <v>504</v>
      </c>
      <c r="BW335" t="s">
        <v>154</v>
      </c>
      <c r="BX335" t="s">
        <v>43</v>
      </c>
      <c r="BY335" s="6" t="s">
        <v>599</v>
      </c>
      <c r="BZ335">
        <v>1</v>
      </c>
      <c r="CA335" t="s">
        <v>157</v>
      </c>
      <c r="CB335" s="7">
        <v>46315.0537962963</v>
      </c>
    </row>
    <row r="336" spans="1:80">
      <c r="A336" s="6" t="s">
        <v>1988</v>
      </c>
      <c r="B336" t="s">
        <v>491</v>
      </c>
      <c r="C336" s="6" t="s">
        <v>1931</v>
      </c>
      <c r="D336" s="6"/>
      <c r="E336" t="s">
        <v>1932</v>
      </c>
      <c r="G336" s="6">
        <v>39</v>
      </c>
      <c r="H336" s="6"/>
      <c r="I336" t="s">
        <v>491</v>
      </c>
      <c r="J336" s="3"/>
      <c r="K336" t="s">
        <v>421</v>
      </c>
      <c r="L336" t="s">
        <v>139</v>
      </c>
      <c r="N336" t="s">
        <v>234</v>
      </c>
      <c r="O336" t="s">
        <v>235</v>
      </c>
      <c r="P336" t="s">
        <v>235</v>
      </c>
      <c r="Q336" t="s">
        <v>236</v>
      </c>
      <c r="S336" t="s">
        <v>249</v>
      </c>
      <c r="T336" t="s">
        <v>237</v>
      </c>
      <c r="V336" t="s">
        <v>238</v>
      </c>
      <c r="W336" t="s">
        <v>37</v>
      </c>
      <c r="X336" s="6" t="s">
        <v>239</v>
      </c>
      <c r="Y336" s="6"/>
      <c r="Z336" t="s">
        <v>148</v>
      </c>
      <c r="AA336" t="s">
        <v>149</v>
      </c>
      <c r="AC336" t="s">
        <v>150</v>
      </c>
      <c r="AD336" s="6"/>
      <c r="AF336" s="3"/>
      <c r="AH336" t="b">
        <v>0</v>
      </c>
      <c r="AI336" t="b">
        <v>1</v>
      </c>
      <c r="AJ336" s="6" t="s">
        <v>713</v>
      </c>
      <c r="AK336" s="6" t="s">
        <v>171</v>
      </c>
      <c r="AL336" t="b">
        <v>0</v>
      </c>
      <c r="AM336" s="6"/>
      <c r="AN336" s="6"/>
      <c r="AP336" t="b">
        <v>0</v>
      </c>
      <c r="AQ336" s="6"/>
      <c r="AR336" s="6"/>
      <c r="AT336" t="b">
        <v>0</v>
      </c>
      <c r="AU336" s="6"/>
      <c r="AV336" s="6"/>
      <c r="AX336" t="b">
        <v>1</v>
      </c>
      <c r="AY336" s="6" t="s">
        <v>1989</v>
      </c>
      <c r="AZ336" s="6" t="s">
        <v>171</v>
      </c>
      <c r="BA336" t="b">
        <v>1</v>
      </c>
      <c r="BB336" s="6" t="s">
        <v>171</v>
      </c>
      <c r="BC336" t="b">
        <v>0</v>
      </c>
      <c r="BD336" s="6"/>
      <c r="BE336" s="6"/>
      <c r="BF336" t="b">
        <v>0</v>
      </c>
      <c r="BG336" s="6"/>
      <c r="BH336" t="b">
        <v>0</v>
      </c>
      <c r="BI336" s="6"/>
      <c r="BJ336" t="b">
        <v>0</v>
      </c>
      <c r="BL336" t="b">
        <v>0</v>
      </c>
      <c r="BM336" t="b">
        <v>0</v>
      </c>
      <c r="BN336" t="b">
        <v>0</v>
      </c>
      <c r="BO336" t="b">
        <v>1</v>
      </c>
      <c r="BQ336" t="b">
        <v>0</v>
      </c>
      <c r="BR336" s="6"/>
      <c r="BT336" t="b">
        <v>0</v>
      </c>
      <c r="BU336" t="s">
        <v>1933</v>
      </c>
      <c r="BV336" t="s">
        <v>504</v>
      </c>
      <c r="BW336" t="s">
        <v>154</v>
      </c>
      <c r="BX336" t="s">
        <v>44</v>
      </c>
      <c r="BY336" s="6" t="s">
        <v>241</v>
      </c>
      <c r="BZ336">
        <v>1</v>
      </c>
      <c r="CA336" t="s">
        <v>157</v>
      </c>
      <c r="CB336" s="7">
        <v>46315.0537962963</v>
      </c>
    </row>
    <row r="337" spans="1:80">
      <c r="A337" s="6" t="s">
        <v>1990</v>
      </c>
      <c r="B337" t="s">
        <v>491</v>
      </c>
      <c r="C337" s="6" t="s">
        <v>1931</v>
      </c>
      <c r="D337" s="6"/>
      <c r="E337" t="s">
        <v>1932</v>
      </c>
      <c r="G337" s="6">
        <v>40</v>
      </c>
      <c r="H337" s="6"/>
      <c r="I337" t="s">
        <v>491</v>
      </c>
      <c r="J337" s="3"/>
      <c r="K337" t="s">
        <v>421</v>
      </c>
      <c r="L337" t="s">
        <v>139</v>
      </c>
      <c r="N337" t="s">
        <v>685</v>
      </c>
      <c r="O337" t="s">
        <v>212</v>
      </c>
      <c r="P337" t="s">
        <v>212</v>
      </c>
      <c r="Q337" t="s">
        <v>686</v>
      </c>
      <c r="S337" t="s">
        <v>249</v>
      </c>
      <c r="T337" t="s">
        <v>687</v>
      </c>
      <c r="V337" t="s">
        <v>688</v>
      </c>
      <c r="W337" t="s">
        <v>38</v>
      </c>
      <c r="X337" s="6" t="s">
        <v>689</v>
      </c>
      <c r="Y337" s="6"/>
      <c r="Z337" t="s">
        <v>148</v>
      </c>
      <c r="AA337" t="s">
        <v>205</v>
      </c>
      <c r="AC337" t="s">
        <v>150</v>
      </c>
      <c r="AD337" s="6"/>
      <c r="AF337" s="3"/>
      <c r="AH337" t="b">
        <v>0</v>
      </c>
      <c r="AI337" t="b">
        <v>1</v>
      </c>
      <c r="AJ337" s="6" t="s">
        <v>690</v>
      </c>
      <c r="AK337" s="6" t="s">
        <v>171</v>
      </c>
      <c r="AL337" t="b">
        <v>0</v>
      </c>
      <c r="AM337" s="6"/>
      <c r="AN337" s="6"/>
      <c r="AP337" t="b">
        <v>0</v>
      </c>
      <c r="AQ337" s="6"/>
      <c r="AR337" s="6"/>
      <c r="AT337" t="b">
        <v>0</v>
      </c>
      <c r="AU337" s="6"/>
      <c r="AV337" s="6"/>
      <c r="AX337" t="b">
        <v>0</v>
      </c>
      <c r="AY337" s="6"/>
      <c r="AZ337" s="6"/>
      <c r="BA337" t="b">
        <v>0</v>
      </c>
      <c r="BB337" s="6"/>
      <c r="BC337" t="b">
        <v>0</v>
      </c>
      <c r="BD337" s="6"/>
      <c r="BE337" s="6"/>
      <c r="BF337" t="b">
        <v>0</v>
      </c>
      <c r="BG337" s="6"/>
      <c r="BH337" t="b">
        <v>0</v>
      </c>
      <c r="BI337" s="6"/>
      <c r="BJ337" t="b">
        <v>0</v>
      </c>
      <c r="BL337" t="b">
        <v>0</v>
      </c>
      <c r="BM337" t="b">
        <v>0</v>
      </c>
      <c r="BN337" t="b">
        <v>0</v>
      </c>
      <c r="BO337" t="b">
        <v>1</v>
      </c>
      <c r="BQ337" t="b">
        <v>0</v>
      </c>
      <c r="BR337" s="6"/>
      <c r="BT337" t="b">
        <v>0</v>
      </c>
      <c r="BU337" t="s">
        <v>1933</v>
      </c>
      <c r="BV337" t="s">
        <v>504</v>
      </c>
      <c r="BW337" t="s">
        <v>154</v>
      </c>
      <c r="BX337" t="s">
        <v>43</v>
      </c>
      <c r="BY337" s="6" t="s">
        <v>692</v>
      </c>
      <c r="BZ337">
        <v>1</v>
      </c>
      <c r="CA337" t="s">
        <v>157</v>
      </c>
      <c r="CB337" s="7">
        <v>46315.0537962963</v>
      </c>
    </row>
    <row r="338" spans="1:80">
      <c r="A338" s="6" t="s">
        <v>1991</v>
      </c>
      <c r="B338" t="s">
        <v>491</v>
      </c>
      <c r="C338" s="6" t="s">
        <v>1931</v>
      </c>
      <c r="D338" s="6"/>
      <c r="E338" t="s">
        <v>1932</v>
      </c>
      <c r="G338" s="6">
        <v>41</v>
      </c>
      <c r="H338" s="6"/>
      <c r="I338" t="s">
        <v>491</v>
      </c>
      <c r="J338" s="3"/>
      <c r="K338" t="s">
        <v>421</v>
      </c>
      <c r="L338" t="s">
        <v>139</v>
      </c>
      <c r="N338" t="s">
        <v>535</v>
      </c>
      <c r="O338" t="s">
        <v>1180</v>
      </c>
      <c r="P338" t="s">
        <v>1180</v>
      </c>
      <c r="Q338" t="s">
        <v>536</v>
      </c>
      <c r="S338" t="s">
        <v>249</v>
      </c>
      <c r="T338" t="s">
        <v>537</v>
      </c>
      <c r="V338" t="s">
        <v>538</v>
      </c>
      <c r="W338" t="s">
        <v>40</v>
      </c>
      <c r="X338" s="6" t="s">
        <v>539</v>
      </c>
      <c r="Y338" s="6"/>
      <c r="Z338" t="s">
        <v>148</v>
      </c>
      <c r="AA338" t="s">
        <v>205</v>
      </c>
      <c r="AC338" t="s">
        <v>150</v>
      </c>
      <c r="AD338" s="6"/>
      <c r="AF338" s="3"/>
      <c r="AH338" t="b">
        <v>0</v>
      </c>
      <c r="AI338" t="b">
        <v>1</v>
      </c>
      <c r="AJ338" s="6" t="s">
        <v>540</v>
      </c>
      <c r="AK338" s="6" t="s">
        <v>171</v>
      </c>
      <c r="AL338" t="b">
        <v>0</v>
      </c>
      <c r="AM338" s="6"/>
      <c r="AN338" s="6"/>
      <c r="AP338" t="b">
        <v>0</v>
      </c>
      <c r="AQ338" s="6"/>
      <c r="AR338" s="6"/>
      <c r="AT338" t="b">
        <v>0</v>
      </c>
      <c r="AU338" s="6"/>
      <c r="AV338" s="6"/>
      <c r="AX338" t="b">
        <v>0</v>
      </c>
      <c r="AY338" s="6"/>
      <c r="AZ338" s="6"/>
      <c r="BA338" t="b">
        <v>0</v>
      </c>
      <c r="BB338" s="6"/>
      <c r="BC338" t="b">
        <v>0</v>
      </c>
      <c r="BD338" s="6"/>
      <c r="BE338" s="6"/>
      <c r="BF338" t="b">
        <v>0</v>
      </c>
      <c r="BG338" s="6"/>
      <c r="BH338" t="b">
        <v>0</v>
      </c>
      <c r="BI338" s="6"/>
      <c r="BJ338" t="b">
        <v>0</v>
      </c>
      <c r="BL338" t="b">
        <v>0</v>
      </c>
      <c r="BM338" t="b">
        <v>0</v>
      </c>
      <c r="BN338" t="b">
        <v>0</v>
      </c>
      <c r="BO338" t="b">
        <v>1</v>
      </c>
      <c r="BQ338" t="b">
        <v>0</v>
      </c>
      <c r="BR338" s="6"/>
      <c r="BT338" t="b">
        <v>0</v>
      </c>
      <c r="BU338" t="s">
        <v>1933</v>
      </c>
      <c r="BV338" t="s">
        <v>504</v>
      </c>
      <c r="BW338" t="s">
        <v>154</v>
      </c>
      <c r="BX338" t="s">
        <v>43</v>
      </c>
      <c r="BY338" s="6" t="s">
        <v>542</v>
      </c>
      <c r="BZ338">
        <v>1</v>
      </c>
      <c r="CA338" t="s">
        <v>157</v>
      </c>
      <c r="CB338" s="7">
        <v>46315.0537962963</v>
      </c>
    </row>
    <row r="339" spans="1:80">
      <c r="A339" s="6" t="s">
        <v>1992</v>
      </c>
      <c r="B339" t="s">
        <v>491</v>
      </c>
      <c r="C339" s="6" t="s">
        <v>1931</v>
      </c>
      <c r="D339" s="6"/>
      <c r="E339" t="s">
        <v>1932</v>
      </c>
      <c r="G339" s="6">
        <v>42</v>
      </c>
      <c r="H339" s="6"/>
      <c r="I339" t="s">
        <v>491</v>
      </c>
      <c r="J339" s="3"/>
      <c r="K339" t="s">
        <v>421</v>
      </c>
      <c r="L339" t="s">
        <v>139</v>
      </c>
      <c r="N339" t="s">
        <v>407</v>
      </c>
      <c r="Q339" t="s">
        <v>408</v>
      </c>
      <c r="S339" t="s">
        <v>249</v>
      </c>
      <c r="T339" t="s">
        <v>409</v>
      </c>
      <c r="V339" t="s">
        <v>410</v>
      </c>
      <c r="W339" t="s">
        <v>39</v>
      </c>
      <c r="X339" s="6" t="s">
        <v>411</v>
      </c>
      <c r="Y339" s="6"/>
      <c r="Z339" t="s">
        <v>148</v>
      </c>
      <c r="AA339" t="s">
        <v>149</v>
      </c>
      <c r="AC339" t="s">
        <v>150</v>
      </c>
      <c r="AD339" s="6"/>
      <c r="AF339" s="3"/>
      <c r="AH339" t="b">
        <v>0</v>
      </c>
      <c r="AI339" t="b">
        <v>1</v>
      </c>
      <c r="AJ339" s="6" t="s">
        <v>413</v>
      </c>
      <c r="AK339" s="6" t="s">
        <v>171</v>
      </c>
      <c r="AL339" t="b">
        <v>0</v>
      </c>
      <c r="AM339" s="6"/>
      <c r="AN339" s="6"/>
      <c r="AP339" t="b">
        <v>0</v>
      </c>
      <c r="AQ339" s="6"/>
      <c r="AR339" s="6"/>
      <c r="AT339" t="b">
        <v>0</v>
      </c>
      <c r="AU339" s="6"/>
      <c r="AV339" s="6"/>
      <c r="AX339" t="b">
        <v>1</v>
      </c>
      <c r="AY339" s="6" t="s">
        <v>1993</v>
      </c>
      <c r="AZ339" s="6" t="s">
        <v>171</v>
      </c>
      <c r="BA339" t="b">
        <v>1</v>
      </c>
      <c r="BB339" s="6" t="s">
        <v>171</v>
      </c>
      <c r="BC339" t="b">
        <v>0</v>
      </c>
      <c r="BD339" s="6"/>
      <c r="BE339" s="6"/>
      <c r="BF339" t="b">
        <v>0</v>
      </c>
      <c r="BG339" s="6"/>
      <c r="BH339" t="b">
        <v>0</v>
      </c>
      <c r="BI339" s="6"/>
      <c r="BJ339" t="b">
        <v>0</v>
      </c>
      <c r="BL339" t="b">
        <v>0</v>
      </c>
      <c r="BM339" t="b">
        <v>0</v>
      </c>
      <c r="BN339" t="b">
        <v>0</v>
      </c>
      <c r="BO339" t="b">
        <v>1</v>
      </c>
      <c r="BQ339" t="b">
        <v>0</v>
      </c>
      <c r="BR339" s="6"/>
      <c r="BT339" t="b">
        <v>0</v>
      </c>
      <c r="BU339" t="s">
        <v>1933</v>
      </c>
      <c r="BV339" t="s">
        <v>504</v>
      </c>
      <c r="BW339" t="s">
        <v>171</v>
      </c>
      <c r="BY339" s="6" t="s">
        <v>416</v>
      </c>
      <c r="BZ339">
        <v>1</v>
      </c>
      <c r="CB339" s="7">
        <v>46315.0537962963</v>
      </c>
    </row>
    <row r="340" spans="1:80">
      <c r="A340" s="6" t="s">
        <v>1994</v>
      </c>
      <c r="B340" t="s">
        <v>491</v>
      </c>
      <c r="C340" s="6" t="s">
        <v>1931</v>
      </c>
      <c r="D340" s="6"/>
      <c r="E340" t="s">
        <v>1932</v>
      </c>
      <c r="G340" s="6">
        <v>43</v>
      </c>
      <c r="H340" s="6"/>
      <c r="I340" t="s">
        <v>491</v>
      </c>
      <c r="J340" s="3"/>
      <c r="K340" t="s">
        <v>421</v>
      </c>
      <c r="L340" t="s">
        <v>139</v>
      </c>
      <c r="N340" t="s">
        <v>356</v>
      </c>
      <c r="Q340" t="s">
        <v>357</v>
      </c>
      <c r="S340" t="s">
        <v>249</v>
      </c>
      <c r="T340" t="s">
        <v>358</v>
      </c>
      <c r="V340" t="s">
        <v>359</v>
      </c>
      <c r="W340" t="s">
        <v>33</v>
      </c>
      <c r="X340" s="6" t="s">
        <v>360</v>
      </c>
      <c r="Y340" s="6"/>
      <c r="Z340" t="s">
        <v>148</v>
      </c>
      <c r="AA340" t="s">
        <v>205</v>
      </c>
      <c r="AC340" t="s">
        <v>150</v>
      </c>
      <c r="AD340" s="6"/>
      <c r="AF340" s="3"/>
      <c r="AH340" t="b">
        <v>0</v>
      </c>
      <c r="AI340" t="b">
        <v>1</v>
      </c>
      <c r="AJ340" s="6" t="s">
        <v>362</v>
      </c>
      <c r="AK340" s="6" t="s">
        <v>171</v>
      </c>
      <c r="AL340" t="b">
        <v>0</v>
      </c>
      <c r="AM340" s="6"/>
      <c r="AN340" s="6"/>
      <c r="AP340" t="b">
        <v>0</v>
      </c>
      <c r="AQ340" s="6"/>
      <c r="AR340" s="6"/>
      <c r="AT340" t="b">
        <v>0</v>
      </c>
      <c r="AU340" s="6"/>
      <c r="AV340" s="6"/>
      <c r="AX340" t="b">
        <v>0</v>
      </c>
      <c r="AY340" s="6"/>
      <c r="AZ340" s="6"/>
      <c r="BA340" t="b">
        <v>0</v>
      </c>
      <c r="BB340" s="6"/>
      <c r="BC340" t="b">
        <v>0</v>
      </c>
      <c r="BD340" s="6"/>
      <c r="BE340" s="6"/>
      <c r="BF340" t="b">
        <v>0</v>
      </c>
      <c r="BG340" s="6"/>
      <c r="BH340" t="b">
        <v>0</v>
      </c>
      <c r="BI340" s="6"/>
      <c r="BJ340" t="b">
        <v>0</v>
      </c>
      <c r="BL340" t="b">
        <v>0</v>
      </c>
      <c r="BM340" t="b">
        <v>0</v>
      </c>
      <c r="BN340" t="b">
        <v>0</v>
      </c>
      <c r="BO340" t="b">
        <v>1</v>
      </c>
      <c r="BQ340" t="b">
        <v>0</v>
      </c>
      <c r="BR340" s="6"/>
      <c r="BT340" t="b">
        <v>0</v>
      </c>
      <c r="BU340" t="s">
        <v>1933</v>
      </c>
      <c r="BV340" t="s">
        <v>504</v>
      </c>
      <c r="BW340" t="s">
        <v>154</v>
      </c>
      <c r="BX340" t="s">
        <v>43</v>
      </c>
      <c r="BY340" s="6" t="s">
        <v>367</v>
      </c>
      <c r="BZ340">
        <v>1</v>
      </c>
      <c r="CA340" t="s">
        <v>157</v>
      </c>
      <c r="CB340" s="7">
        <v>46315.0537962963</v>
      </c>
    </row>
    <row r="341" spans="1:80">
      <c r="A341" s="6" t="s">
        <v>1995</v>
      </c>
      <c r="B341" t="s">
        <v>491</v>
      </c>
      <c r="C341" s="6" t="s">
        <v>1931</v>
      </c>
      <c r="D341" s="6"/>
      <c r="E341" t="s">
        <v>1932</v>
      </c>
      <c r="G341" s="6">
        <v>44</v>
      </c>
      <c r="H341" s="6"/>
      <c r="I341" t="s">
        <v>491</v>
      </c>
      <c r="J341" s="3"/>
      <c r="K341" t="s">
        <v>421</v>
      </c>
      <c r="L341" t="s">
        <v>139</v>
      </c>
      <c r="N341" t="s">
        <v>507</v>
      </c>
      <c r="Q341" t="s">
        <v>703</v>
      </c>
      <c r="S341" t="s">
        <v>249</v>
      </c>
      <c r="T341" t="s">
        <v>704</v>
      </c>
      <c r="V341" t="s">
        <v>705</v>
      </c>
      <c r="W341" t="s">
        <v>36</v>
      </c>
      <c r="X341" s="6" t="s">
        <v>706</v>
      </c>
      <c r="Y341" s="6"/>
      <c r="Z341" t="s">
        <v>148</v>
      </c>
      <c r="AA341" t="s">
        <v>149</v>
      </c>
      <c r="AC341" t="s">
        <v>150</v>
      </c>
      <c r="AD341" s="6"/>
      <c r="AF341" s="3"/>
      <c r="AH341" t="b">
        <v>0</v>
      </c>
      <c r="AI341" t="b">
        <v>1</v>
      </c>
      <c r="AJ341" s="6" t="s">
        <v>707</v>
      </c>
      <c r="AK341" s="6" t="s">
        <v>1935</v>
      </c>
      <c r="AL341" t="b">
        <v>0</v>
      </c>
      <c r="AM341" s="6"/>
      <c r="AN341" s="6"/>
      <c r="AP341" t="b">
        <v>0</v>
      </c>
      <c r="AQ341" s="6"/>
      <c r="AR341" s="6"/>
      <c r="AT341" t="b">
        <v>0</v>
      </c>
      <c r="AU341" s="6"/>
      <c r="AV341" s="6"/>
      <c r="AX341" t="b">
        <v>0</v>
      </c>
      <c r="AY341" s="6"/>
      <c r="AZ341" s="6"/>
      <c r="BA341" t="b">
        <v>0</v>
      </c>
      <c r="BB341" s="6"/>
      <c r="BC341" t="b">
        <v>0</v>
      </c>
      <c r="BD341" s="6"/>
      <c r="BE341" s="6"/>
      <c r="BF341" t="b">
        <v>0</v>
      </c>
      <c r="BG341" s="6"/>
      <c r="BH341" t="b">
        <v>0</v>
      </c>
      <c r="BI341" s="6"/>
      <c r="BJ341" t="b">
        <v>0</v>
      </c>
      <c r="BL341" t="b">
        <v>0</v>
      </c>
      <c r="BM341" t="b">
        <v>0</v>
      </c>
      <c r="BN341" t="b">
        <v>0</v>
      </c>
      <c r="BO341" t="b">
        <v>1</v>
      </c>
      <c r="BQ341" t="b">
        <v>0</v>
      </c>
      <c r="BR341" s="6"/>
      <c r="BT341" t="b">
        <v>0</v>
      </c>
      <c r="BU341" t="s">
        <v>1933</v>
      </c>
      <c r="BV341" t="s">
        <v>504</v>
      </c>
      <c r="BW341" t="s">
        <v>154</v>
      </c>
      <c r="BX341" t="s">
        <v>1936</v>
      </c>
      <c r="BY341" s="6" t="s">
        <v>709</v>
      </c>
      <c r="BZ341">
        <v>1</v>
      </c>
      <c r="CA341" t="s">
        <v>157</v>
      </c>
      <c r="CB341" s="7">
        <v>46315.0537962963</v>
      </c>
    </row>
    <row r="342" spans="1:80">
      <c r="A342" s="6" t="s">
        <v>1996</v>
      </c>
      <c r="B342" t="s">
        <v>491</v>
      </c>
      <c r="C342" s="6" t="s">
        <v>1931</v>
      </c>
      <c r="D342" s="6"/>
      <c r="E342" t="s">
        <v>1932</v>
      </c>
      <c r="G342" s="6">
        <v>45</v>
      </c>
      <c r="H342" s="6"/>
      <c r="I342" t="s">
        <v>491</v>
      </c>
      <c r="J342" s="3"/>
      <c r="K342" t="s">
        <v>421</v>
      </c>
      <c r="L342" t="s">
        <v>139</v>
      </c>
      <c r="N342" t="s">
        <v>266</v>
      </c>
      <c r="O342" t="s">
        <v>267</v>
      </c>
      <c r="P342" t="s">
        <v>267</v>
      </c>
      <c r="Q342" t="s">
        <v>268</v>
      </c>
      <c r="S342" t="s">
        <v>249</v>
      </c>
      <c r="T342" t="s">
        <v>269</v>
      </c>
      <c r="V342" t="s">
        <v>636</v>
      </c>
      <c r="W342" t="s">
        <v>33</v>
      </c>
      <c r="X342" s="6" t="s">
        <v>271</v>
      </c>
      <c r="Y342" s="6"/>
      <c r="Z342" t="s">
        <v>148</v>
      </c>
      <c r="AA342" t="s">
        <v>149</v>
      </c>
      <c r="AC342" t="s">
        <v>150</v>
      </c>
      <c r="AD342" s="6"/>
      <c r="AF342" s="3"/>
      <c r="AH342" t="b">
        <v>0</v>
      </c>
      <c r="AI342" t="b">
        <v>1</v>
      </c>
      <c r="AJ342" s="6" t="s">
        <v>637</v>
      </c>
      <c r="AK342" s="6" t="s">
        <v>171</v>
      </c>
      <c r="AL342" t="b">
        <v>0</v>
      </c>
      <c r="AM342" s="6"/>
      <c r="AN342" s="6"/>
      <c r="AP342" t="b">
        <v>0</v>
      </c>
      <c r="AQ342" s="6"/>
      <c r="AR342" s="6"/>
      <c r="AT342" t="b">
        <v>0</v>
      </c>
      <c r="AU342" s="6"/>
      <c r="AV342" s="6"/>
      <c r="AX342" t="b">
        <v>0</v>
      </c>
      <c r="AY342" s="6"/>
      <c r="AZ342" s="6"/>
      <c r="BA342" t="b">
        <v>0</v>
      </c>
      <c r="BB342" s="6"/>
      <c r="BC342" t="b">
        <v>0</v>
      </c>
      <c r="BD342" s="6"/>
      <c r="BE342" s="6"/>
      <c r="BF342" t="b">
        <v>0</v>
      </c>
      <c r="BG342" s="6"/>
      <c r="BH342" t="b">
        <v>0</v>
      </c>
      <c r="BI342" s="6"/>
      <c r="BJ342" t="b">
        <v>0</v>
      </c>
      <c r="BL342" t="b">
        <v>0</v>
      </c>
      <c r="BM342" t="b">
        <v>0</v>
      </c>
      <c r="BN342" t="b">
        <v>0</v>
      </c>
      <c r="BO342" t="b">
        <v>1</v>
      </c>
      <c r="BQ342" t="b">
        <v>0</v>
      </c>
      <c r="BR342" s="6"/>
      <c r="BT342" t="b">
        <v>0</v>
      </c>
      <c r="BU342" t="s">
        <v>1933</v>
      </c>
      <c r="BV342" t="s">
        <v>504</v>
      </c>
      <c r="BW342" t="s">
        <v>154</v>
      </c>
      <c r="BX342" t="s">
        <v>44</v>
      </c>
      <c r="BY342" s="6" t="s">
        <v>277</v>
      </c>
      <c r="BZ342">
        <v>1</v>
      </c>
      <c r="CA342" t="s">
        <v>157</v>
      </c>
      <c r="CB342" s="7">
        <v>46315.0537962963</v>
      </c>
    </row>
    <row r="343" spans="1:80">
      <c r="A343" s="6" t="s">
        <v>1997</v>
      </c>
      <c r="B343" t="s">
        <v>491</v>
      </c>
      <c r="C343" s="6" t="s">
        <v>1931</v>
      </c>
      <c r="D343" s="6"/>
      <c r="E343" t="s">
        <v>1932</v>
      </c>
      <c r="G343" s="6">
        <v>46</v>
      </c>
      <c r="H343" s="6"/>
      <c r="I343" t="s">
        <v>491</v>
      </c>
      <c r="J343" s="3"/>
      <c r="K343" t="s">
        <v>421</v>
      </c>
      <c r="L343" t="s">
        <v>139</v>
      </c>
      <c r="N343" t="s">
        <v>162</v>
      </c>
      <c r="O343" t="s">
        <v>163</v>
      </c>
      <c r="P343" t="s">
        <v>163</v>
      </c>
      <c r="Q343" t="s">
        <v>164</v>
      </c>
      <c r="S343" t="s">
        <v>249</v>
      </c>
      <c r="T343" t="s">
        <v>165</v>
      </c>
      <c r="V343" t="s">
        <v>166</v>
      </c>
      <c r="W343" t="s">
        <v>38</v>
      </c>
      <c r="X343" s="6" t="s">
        <v>167</v>
      </c>
      <c r="Y343" s="6"/>
      <c r="Z343" t="s">
        <v>148</v>
      </c>
      <c r="AA343" t="s">
        <v>149</v>
      </c>
      <c r="AC343" t="s">
        <v>150</v>
      </c>
      <c r="AD343" s="6"/>
      <c r="AF343" s="3"/>
      <c r="AH343" t="b">
        <v>0</v>
      </c>
      <c r="AI343" t="b">
        <v>1</v>
      </c>
      <c r="AJ343" s="6" t="s">
        <v>1206</v>
      </c>
      <c r="AK343" s="6" t="s">
        <v>171</v>
      </c>
      <c r="AL343" t="b">
        <v>0</v>
      </c>
      <c r="AM343" s="6"/>
      <c r="AN343" s="6"/>
      <c r="AP343" t="b">
        <v>0</v>
      </c>
      <c r="AQ343" s="6"/>
      <c r="AR343" s="6"/>
      <c r="AT343" t="b">
        <v>0</v>
      </c>
      <c r="AU343" s="6"/>
      <c r="AV343" s="6"/>
      <c r="AX343" t="b">
        <v>0</v>
      </c>
      <c r="AY343" s="6"/>
      <c r="AZ343" s="6"/>
      <c r="BA343" t="b">
        <v>0</v>
      </c>
      <c r="BB343" s="6"/>
      <c r="BC343" t="b">
        <v>0</v>
      </c>
      <c r="BD343" s="6"/>
      <c r="BE343" s="6"/>
      <c r="BF343" t="b">
        <v>0</v>
      </c>
      <c r="BG343" s="6"/>
      <c r="BH343" t="b">
        <v>0</v>
      </c>
      <c r="BI343" s="6"/>
      <c r="BJ343" t="b">
        <v>0</v>
      </c>
      <c r="BL343" t="b">
        <v>0</v>
      </c>
      <c r="BM343" t="b">
        <v>0</v>
      </c>
      <c r="BN343" t="b">
        <v>0</v>
      </c>
      <c r="BO343" t="b">
        <v>1</v>
      </c>
      <c r="BQ343" t="b">
        <v>0</v>
      </c>
      <c r="BR343" s="6"/>
      <c r="BT343" t="b">
        <v>0</v>
      </c>
      <c r="BU343" t="s">
        <v>1933</v>
      </c>
      <c r="BV343" t="s">
        <v>504</v>
      </c>
      <c r="BW343" t="s">
        <v>171</v>
      </c>
      <c r="BY343" s="6" t="s">
        <v>173</v>
      </c>
      <c r="BZ343">
        <v>1</v>
      </c>
      <c r="CB343" s="7">
        <v>46315.0537962963</v>
      </c>
    </row>
    <row r="344" spans="1:80">
      <c r="A344" s="6" t="s">
        <v>1998</v>
      </c>
      <c r="B344" t="s">
        <v>491</v>
      </c>
      <c r="C344" s="6" t="s">
        <v>1931</v>
      </c>
      <c r="D344" s="6"/>
      <c r="E344" t="s">
        <v>1932</v>
      </c>
      <c r="G344" s="6">
        <v>47</v>
      </c>
      <c r="H344" s="6"/>
      <c r="I344" t="s">
        <v>491</v>
      </c>
      <c r="J344" s="3"/>
      <c r="K344" t="s">
        <v>421</v>
      </c>
      <c r="L344" t="s">
        <v>139</v>
      </c>
      <c r="N344" t="s">
        <v>546</v>
      </c>
      <c r="O344" t="s">
        <v>1173</v>
      </c>
      <c r="P344" t="s">
        <v>1173</v>
      </c>
      <c r="Q344" t="s">
        <v>547</v>
      </c>
      <c r="S344" t="s">
        <v>249</v>
      </c>
      <c r="T344" t="s">
        <v>548</v>
      </c>
      <c r="V344" t="s">
        <v>549</v>
      </c>
      <c r="W344" t="s">
        <v>33</v>
      </c>
      <c r="X344" s="6" t="s">
        <v>550</v>
      </c>
      <c r="Y344" s="6"/>
      <c r="Z344" t="s">
        <v>148</v>
      </c>
      <c r="AA344" t="s">
        <v>149</v>
      </c>
      <c r="AC344" t="s">
        <v>150</v>
      </c>
      <c r="AD344" s="6"/>
      <c r="AF344" s="3"/>
      <c r="AH344" t="b">
        <v>0</v>
      </c>
      <c r="AI344" t="b">
        <v>1</v>
      </c>
      <c r="AJ344" s="6" t="s">
        <v>551</v>
      </c>
      <c r="AK344" s="6" t="s">
        <v>171</v>
      </c>
      <c r="AL344" t="b">
        <v>0</v>
      </c>
      <c r="AM344" s="6"/>
      <c r="AN344" s="6"/>
      <c r="AP344" t="b">
        <v>0</v>
      </c>
      <c r="AQ344" s="6"/>
      <c r="AR344" s="6"/>
      <c r="AT344" t="b">
        <v>0</v>
      </c>
      <c r="AU344" s="6"/>
      <c r="AV344" s="6"/>
      <c r="AX344" t="b">
        <v>1</v>
      </c>
      <c r="AY344" s="6" t="s">
        <v>1940</v>
      </c>
      <c r="AZ344" s="6" t="s">
        <v>171</v>
      </c>
      <c r="BA344" t="b">
        <v>1</v>
      </c>
      <c r="BB344" s="6" t="s">
        <v>171</v>
      </c>
      <c r="BC344" t="b">
        <v>0</v>
      </c>
      <c r="BD344" s="6"/>
      <c r="BE344" s="6"/>
      <c r="BF344" t="b">
        <v>0</v>
      </c>
      <c r="BG344" s="6"/>
      <c r="BH344" t="b">
        <v>0</v>
      </c>
      <c r="BI344" s="6"/>
      <c r="BJ344" t="b">
        <v>0</v>
      </c>
      <c r="BL344" t="b">
        <v>0</v>
      </c>
      <c r="BM344" t="b">
        <v>0</v>
      </c>
      <c r="BN344" t="b">
        <v>0</v>
      </c>
      <c r="BO344" t="b">
        <v>1</v>
      </c>
      <c r="BQ344" t="b">
        <v>0</v>
      </c>
      <c r="BR344" s="6"/>
      <c r="BT344" t="b">
        <v>0</v>
      </c>
      <c r="BU344" t="s">
        <v>1933</v>
      </c>
      <c r="BV344" t="s">
        <v>504</v>
      </c>
      <c r="BW344" t="s">
        <v>154</v>
      </c>
      <c r="BX344" t="s">
        <v>44</v>
      </c>
      <c r="BY344" s="6" t="s">
        <v>553</v>
      </c>
      <c r="BZ344">
        <v>1</v>
      </c>
      <c r="CA344" t="s">
        <v>157</v>
      </c>
      <c r="CB344" s="7">
        <v>46315.0537962963</v>
      </c>
    </row>
    <row r="345" spans="1:80">
      <c r="A345" s="6" t="s">
        <v>1999</v>
      </c>
      <c r="B345" t="s">
        <v>491</v>
      </c>
      <c r="C345" s="6" t="s">
        <v>1931</v>
      </c>
      <c r="D345" s="6"/>
      <c r="E345" t="s">
        <v>1932</v>
      </c>
      <c r="G345" s="6">
        <v>48</v>
      </c>
      <c r="H345" s="6"/>
      <c r="I345" t="s">
        <v>491</v>
      </c>
      <c r="J345" s="3"/>
      <c r="K345" t="s">
        <v>421</v>
      </c>
      <c r="L345" t="s">
        <v>139</v>
      </c>
      <c r="N345" t="s">
        <v>433</v>
      </c>
      <c r="O345" t="s">
        <v>434</v>
      </c>
      <c r="P345" t="s">
        <v>434</v>
      </c>
      <c r="Q345" t="s">
        <v>435</v>
      </c>
      <c r="S345" t="s">
        <v>249</v>
      </c>
      <c r="T345" t="s">
        <v>436</v>
      </c>
      <c r="V345" t="s">
        <v>437</v>
      </c>
      <c r="W345" t="s">
        <v>40</v>
      </c>
      <c r="X345" s="6" t="s">
        <v>438</v>
      </c>
      <c r="Y345" s="6"/>
      <c r="Z345" t="s">
        <v>148</v>
      </c>
      <c r="AA345" t="s">
        <v>149</v>
      </c>
      <c r="AC345" t="s">
        <v>150</v>
      </c>
      <c r="AD345" s="6"/>
      <c r="AF345" s="3"/>
      <c r="AH345" t="b">
        <v>0</v>
      </c>
      <c r="AI345" t="b">
        <v>1</v>
      </c>
      <c r="AJ345" s="6" t="s">
        <v>439</v>
      </c>
      <c r="AK345" s="6" t="s">
        <v>171</v>
      </c>
      <c r="AL345" t="b">
        <v>0</v>
      </c>
      <c r="AM345" s="6"/>
      <c r="AN345" s="6"/>
      <c r="AP345" t="b">
        <v>0</v>
      </c>
      <c r="AQ345" s="6"/>
      <c r="AR345" s="6"/>
      <c r="AT345" t="b">
        <v>0</v>
      </c>
      <c r="AU345" s="6"/>
      <c r="AV345" s="6"/>
      <c r="AX345" t="b">
        <v>0</v>
      </c>
      <c r="AY345" s="6"/>
      <c r="AZ345" s="6"/>
      <c r="BA345" t="b">
        <v>0</v>
      </c>
      <c r="BB345" s="6"/>
      <c r="BC345" t="b">
        <v>0</v>
      </c>
      <c r="BD345" s="6"/>
      <c r="BE345" s="6"/>
      <c r="BF345" t="b">
        <v>0</v>
      </c>
      <c r="BG345" s="6"/>
      <c r="BH345" t="b">
        <v>0</v>
      </c>
      <c r="BI345" s="6"/>
      <c r="BJ345" t="b">
        <v>0</v>
      </c>
      <c r="BL345" t="b">
        <v>0</v>
      </c>
      <c r="BM345" t="b">
        <v>0</v>
      </c>
      <c r="BN345" t="b">
        <v>0</v>
      </c>
      <c r="BO345" t="b">
        <v>1</v>
      </c>
      <c r="BQ345" t="b">
        <v>0</v>
      </c>
      <c r="BR345" s="6"/>
      <c r="BT345" t="b">
        <v>0</v>
      </c>
      <c r="BU345" t="s">
        <v>1933</v>
      </c>
      <c r="BV345" t="s">
        <v>504</v>
      </c>
      <c r="BW345" t="s">
        <v>154</v>
      </c>
      <c r="BX345" t="s">
        <v>44</v>
      </c>
      <c r="BY345" s="6" t="s">
        <v>440</v>
      </c>
      <c r="BZ345">
        <v>1</v>
      </c>
      <c r="CA345" t="s">
        <v>157</v>
      </c>
      <c r="CB345" s="7">
        <v>46315.0537962963</v>
      </c>
    </row>
    <row r="346" spans="1:80">
      <c r="A346" s="6" t="s">
        <v>2000</v>
      </c>
      <c r="B346" t="s">
        <v>491</v>
      </c>
      <c r="C346" s="6" t="s">
        <v>1931</v>
      </c>
      <c r="D346" s="6"/>
      <c r="E346" t="s">
        <v>1932</v>
      </c>
      <c r="G346" s="6">
        <v>49</v>
      </c>
      <c r="H346" s="6"/>
      <c r="I346" t="s">
        <v>491</v>
      </c>
      <c r="J346" s="3"/>
      <c r="K346" t="s">
        <v>421</v>
      </c>
      <c r="L346" t="s">
        <v>139</v>
      </c>
      <c r="N346" t="s">
        <v>188</v>
      </c>
      <c r="O346" t="s">
        <v>189</v>
      </c>
      <c r="P346" t="s">
        <v>189</v>
      </c>
      <c r="Q346" t="s">
        <v>190</v>
      </c>
      <c r="S346" t="s">
        <v>249</v>
      </c>
      <c r="T346" t="s">
        <v>191</v>
      </c>
      <c r="V346" t="s">
        <v>192</v>
      </c>
      <c r="W346" t="s">
        <v>38</v>
      </c>
      <c r="X346" s="6" t="s">
        <v>193</v>
      </c>
      <c r="Y346" s="6"/>
      <c r="Z346" t="s">
        <v>148</v>
      </c>
      <c r="AA346" t="s">
        <v>149</v>
      </c>
      <c r="AC346" t="s">
        <v>150</v>
      </c>
      <c r="AD346" s="6"/>
      <c r="AF346" s="3"/>
      <c r="AH346" t="b">
        <v>0</v>
      </c>
      <c r="AI346" t="b">
        <v>1</v>
      </c>
      <c r="AJ346" s="6" t="s">
        <v>715</v>
      </c>
      <c r="AK346" s="6" t="s">
        <v>171</v>
      </c>
      <c r="AL346" t="b">
        <v>0</v>
      </c>
      <c r="AM346" s="6"/>
      <c r="AN346" s="6"/>
      <c r="AP346" t="b">
        <v>0</v>
      </c>
      <c r="AQ346" s="6"/>
      <c r="AR346" s="6"/>
      <c r="AT346" t="b">
        <v>0</v>
      </c>
      <c r="AU346" s="6"/>
      <c r="AV346" s="6"/>
      <c r="AX346" t="b">
        <v>0</v>
      </c>
      <c r="AY346" s="6"/>
      <c r="AZ346" s="6"/>
      <c r="BA346" t="b">
        <v>0</v>
      </c>
      <c r="BB346" s="6"/>
      <c r="BC346" t="b">
        <v>0</v>
      </c>
      <c r="BD346" s="6"/>
      <c r="BE346" s="6"/>
      <c r="BF346" t="b">
        <v>0</v>
      </c>
      <c r="BG346" s="6"/>
      <c r="BH346" t="b">
        <v>0</v>
      </c>
      <c r="BI346" s="6"/>
      <c r="BJ346" t="b">
        <v>0</v>
      </c>
      <c r="BL346" t="b">
        <v>0</v>
      </c>
      <c r="BM346" t="b">
        <v>0</v>
      </c>
      <c r="BN346" t="b">
        <v>0</v>
      </c>
      <c r="BO346" t="b">
        <v>1</v>
      </c>
      <c r="BQ346" t="b">
        <v>0</v>
      </c>
      <c r="BR346" s="6"/>
      <c r="BT346" t="b">
        <v>0</v>
      </c>
      <c r="BU346" t="s">
        <v>1933</v>
      </c>
      <c r="BV346" t="s">
        <v>504</v>
      </c>
      <c r="BW346" t="s">
        <v>171</v>
      </c>
      <c r="BY346" s="6" t="s">
        <v>195</v>
      </c>
      <c r="BZ346">
        <v>1</v>
      </c>
      <c r="CB346" s="7">
        <v>46315.0537962963</v>
      </c>
    </row>
    <row r="347" spans="1:80">
      <c r="A347" s="6" t="s">
        <v>2001</v>
      </c>
      <c r="B347" t="s">
        <v>491</v>
      </c>
      <c r="C347" s="6" t="s">
        <v>1931</v>
      </c>
      <c r="D347" s="6"/>
      <c r="E347" t="s">
        <v>1932</v>
      </c>
      <c r="G347" s="6">
        <v>50</v>
      </c>
      <c r="H347" s="6"/>
      <c r="I347" t="s">
        <v>491</v>
      </c>
      <c r="J347" s="3"/>
      <c r="K347" t="s">
        <v>421</v>
      </c>
      <c r="L347" t="s">
        <v>139</v>
      </c>
      <c r="N347" t="s">
        <v>507</v>
      </c>
      <c r="O347" t="s">
        <v>1180</v>
      </c>
      <c r="P347" t="s">
        <v>1180</v>
      </c>
      <c r="Q347" t="s">
        <v>508</v>
      </c>
      <c r="S347" t="s">
        <v>249</v>
      </c>
      <c r="T347" t="s">
        <v>509</v>
      </c>
      <c r="V347" t="s">
        <v>510</v>
      </c>
      <c r="W347" t="s">
        <v>37</v>
      </c>
      <c r="X347" s="6" t="s">
        <v>511</v>
      </c>
      <c r="Y347" s="6"/>
      <c r="Z347" t="s">
        <v>148</v>
      </c>
      <c r="AA347" t="s">
        <v>149</v>
      </c>
      <c r="AC347" t="s">
        <v>150</v>
      </c>
      <c r="AD347" s="6"/>
      <c r="AF347" s="3"/>
      <c r="AH347" t="b">
        <v>0</v>
      </c>
      <c r="AI347" t="b">
        <v>1</v>
      </c>
      <c r="AJ347" s="6" t="s">
        <v>512</v>
      </c>
      <c r="AK347" s="6" t="s">
        <v>171</v>
      </c>
      <c r="AL347" t="b">
        <v>0</v>
      </c>
      <c r="AM347" s="6"/>
      <c r="AN347" s="6"/>
      <c r="AP347" t="b">
        <v>0</v>
      </c>
      <c r="AQ347" s="6"/>
      <c r="AR347" s="6"/>
      <c r="AT347" t="b">
        <v>0</v>
      </c>
      <c r="AU347" s="6"/>
      <c r="AV347" s="6"/>
      <c r="AX347" t="b">
        <v>0</v>
      </c>
      <c r="AY347" s="6"/>
      <c r="AZ347" s="6"/>
      <c r="BA347" t="b">
        <v>0</v>
      </c>
      <c r="BB347" s="6"/>
      <c r="BC347" t="b">
        <v>0</v>
      </c>
      <c r="BD347" s="6"/>
      <c r="BE347" s="6"/>
      <c r="BF347" t="b">
        <v>0</v>
      </c>
      <c r="BG347" s="6"/>
      <c r="BH347" t="b">
        <v>0</v>
      </c>
      <c r="BI347" s="6"/>
      <c r="BJ347" t="b">
        <v>0</v>
      </c>
      <c r="BL347" t="b">
        <v>0</v>
      </c>
      <c r="BM347" t="b">
        <v>0</v>
      </c>
      <c r="BN347" t="b">
        <v>0</v>
      </c>
      <c r="BO347" t="b">
        <v>1</v>
      </c>
      <c r="BQ347" t="b">
        <v>0</v>
      </c>
      <c r="BR347" s="6"/>
      <c r="BT347" t="b">
        <v>0</v>
      </c>
      <c r="BU347" t="s">
        <v>1933</v>
      </c>
      <c r="BV347" t="s">
        <v>504</v>
      </c>
      <c r="BW347" t="s">
        <v>154</v>
      </c>
      <c r="BX347" t="s">
        <v>44</v>
      </c>
      <c r="BY347" s="6" t="s">
        <v>514</v>
      </c>
      <c r="BZ347">
        <v>1</v>
      </c>
      <c r="CA347" t="s">
        <v>157</v>
      </c>
      <c r="CB347" s="7">
        <v>46315.0537962963</v>
      </c>
    </row>
    <row r="348" spans="1:80">
      <c r="A348" s="6" t="s">
        <v>2002</v>
      </c>
      <c r="B348" t="s">
        <v>491</v>
      </c>
      <c r="C348" s="6" t="s">
        <v>1931</v>
      </c>
      <c r="D348" s="6"/>
      <c r="E348" t="s">
        <v>1932</v>
      </c>
      <c r="G348" s="6">
        <v>51</v>
      </c>
      <c r="H348" s="6"/>
      <c r="I348" t="s">
        <v>491</v>
      </c>
      <c r="J348" s="3"/>
      <c r="K348" t="s">
        <v>421</v>
      </c>
      <c r="L348" t="s">
        <v>139</v>
      </c>
      <c r="N348" t="s">
        <v>444</v>
      </c>
      <c r="Q348" t="s">
        <v>523</v>
      </c>
      <c r="S348" t="s">
        <v>249</v>
      </c>
      <c r="T348" t="s">
        <v>524</v>
      </c>
      <c r="V348" t="s">
        <v>525</v>
      </c>
      <c r="W348" t="s">
        <v>34</v>
      </c>
      <c r="X348" s="6" t="s">
        <v>526</v>
      </c>
      <c r="Y348" s="6"/>
      <c r="Z348" t="s">
        <v>148</v>
      </c>
      <c r="AA348" t="s">
        <v>149</v>
      </c>
      <c r="AC348" t="s">
        <v>150</v>
      </c>
      <c r="AD348" s="6"/>
      <c r="AF348" s="3"/>
      <c r="AH348" t="b">
        <v>0</v>
      </c>
      <c r="AI348" t="b">
        <v>1</v>
      </c>
      <c r="AJ348" s="6" t="s">
        <v>527</v>
      </c>
      <c r="AK348" s="6" t="s">
        <v>171</v>
      </c>
      <c r="AL348" t="b">
        <v>0</v>
      </c>
      <c r="AM348" s="6"/>
      <c r="AN348" s="6"/>
      <c r="AP348" t="b">
        <v>0</v>
      </c>
      <c r="AQ348" s="6"/>
      <c r="AR348" s="6"/>
      <c r="AT348" t="b">
        <v>0</v>
      </c>
      <c r="AU348" s="6"/>
      <c r="AV348" s="6"/>
      <c r="AX348" t="b">
        <v>0</v>
      </c>
      <c r="AY348" s="6"/>
      <c r="AZ348" s="6"/>
      <c r="BA348" t="b">
        <v>0</v>
      </c>
      <c r="BB348" s="6"/>
      <c r="BC348" t="b">
        <v>0</v>
      </c>
      <c r="BD348" s="6"/>
      <c r="BE348" s="6"/>
      <c r="BF348" t="b">
        <v>0</v>
      </c>
      <c r="BG348" s="6"/>
      <c r="BH348" t="b">
        <v>0</v>
      </c>
      <c r="BI348" s="6"/>
      <c r="BJ348" t="b">
        <v>0</v>
      </c>
      <c r="BL348" t="b">
        <v>0</v>
      </c>
      <c r="BM348" t="b">
        <v>0</v>
      </c>
      <c r="BN348" t="b">
        <v>0</v>
      </c>
      <c r="BO348" t="b">
        <v>1</v>
      </c>
      <c r="BQ348" t="b">
        <v>0</v>
      </c>
      <c r="BR348" s="6"/>
      <c r="BT348" t="b">
        <v>0</v>
      </c>
      <c r="BU348" t="s">
        <v>1933</v>
      </c>
      <c r="BV348" t="s">
        <v>504</v>
      </c>
      <c r="BW348" t="s">
        <v>171</v>
      </c>
      <c r="BY348" s="6" t="s">
        <v>529</v>
      </c>
      <c r="BZ348">
        <v>1</v>
      </c>
      <c r="CB348" s="7">
        <v>46315.0537962963</v>
      </c>
    </row>
    <row r="349" spans="1:80">
      <c r="A349" s="6" t="s">
        <v>2003</v>
      </c>
      <c r="B349" t="s">
        <v>491</v>
      </c>
      <c r="C349" s="6" t="s">
        <v>1931</v>
      </c>
      <c r="D349" s="6"/>
      <c r="E349" t="s">
        <v>1932</v>
      </c>
      <c r="G349" s="6">
        <v>52</v>
      </c>
      <c r="H349" s="6"/>
      <c r="I349" t="s">
        <v>491</v>
      </c>
      <c r="J349" s="3"/>
      <c r="K349" t="s">
        <v>421</v>
      </c>
      <c r="L349" t="s">
        <v>139</v>
      </c>
      <c r="N349" t="s">
        <v>832</v>
      </c>
      <c r="O349" t="s">
        <v>224</v>
      </c>
      <c r="P349" t="s">
        <v>224</v>
      </c>
      <c r="Q349" t="s">
        <v>601</v>
      </c>
      <c r="S349" t="s">
        <v>249</v>
      </c>
      <c r="T349" t="s">
        <v>1278</v>
      </c>
      <c r="V349" t="s">
        <v>1279</v>
      </c>
      <c r="W349" t="s">
        <v>34</v>
      </c>
      <c r="X349" s="6" t="s">
        <v>1280</v>
      </c>
      <c r="Y349" s="6"/>
      <c r="Z349" t="s">
        <v>148</v>
      </c>
      <c r="AA349" t="s">
        <v>149</v>
      </c>
      <c r="AC349" t="s">
        <v>150</v>
      </c>
      <c r="AD349" s="6"/>
      <c r="AF349" s="3"/>
      <c r="AH349" t="b">
        <v>0</v>
      </c>
      <c r="AI349" t="b">
        <v>1</v>
      </c>
      <c r="AJ349" s="6" t="s">
        <v>1283</v>
      </c>
      <c r="AK349" s="6" t="s">
        <v>1935</v>
      </c>
      <c r="AL349" t="b">
        <v>0</v>
      </c>
      <c r="AM349" s="6"/>
      <c r="AN349" s="6"/>
      <c r="AP349" t="b">
        <v>0</v>
      </c>
      <c r="AQ349" s="6"/>
      <c r="AR349" s="6"/>
      <c r="AT349" t="b">
        <v>0</v>
      </c>
      <c r="AU349" s="6"/>
      <c r="AV349" s="6"/>
      <c r="AX349" t="b">
        <v>0</v>
      </c>
      <c r="AY349" s="6"/>
      <c r="AZ349" s="6"/>
      <c r="BA349" t="b">
        <v>0</v>
      </c>
      <c r="BB349" s="6"/>
      <c r="BC349" t="b">
        <v>0</v>
      </c>
      <c r="BD349" s="6"/>
      <c r="BE349" s="6"/>
      <c r="BF349" t="b">
        <v>0</v>
      </c>
      <c r="BG349" s="6"/>
      <c r="BH349" t="b">
        <v>0</v>
      </c>
      <c r="BI349" s="6"/>
      <c r="BJ349" t="b">
        <v>0</v>
      </c>
      <c r="BL349" t="b">
        <v>0</v>
      </c>
      <c r="BM349" t="b">
        <v>0</v>
      </c>
      <c r="BN349" t="b">
        <v>0</v>
      </c>
      <c r="BO349" t="b">
        <v>1</v>
      </c>
      <c r="BQ349" t="b">
        <v>0</v>
      </c>
      <c r="BR349" s="6"/>
      <c r="BT349" t="b">
        <v>0</v>
      </c>
      <c r="BU349" t="s">
        <v>1933</v>
      </c>
      <c r="BV349" t="s">
        <v>504</v>
      </c>
      <c r="BW349" t="s">
        <v>154</v>
      </c>
      <c r="BX349" t="s">
        <v>1935</v>
      </c>
      <c r="BY349" s="6" t="s">
        <v>1284</v>
      </c>
      <c r="BZ349">
        <v>1</v>
      </c>
      <c r="CA349" t="s">
        <v>157</v>
      </c>
      <c r="CB349" s="7">
        <v>46315.0537962963</v>
      </c>
    </row>
    <row r="350" spans="1:80">
      <c r="A350" s="6" t="s">
        <v>2004</v>
      </c>
      <c r="B350" t="s">
        <v>491</v>
      </c>
      <c r="C350" s="6" t="s">
        <v>1931</v>
      </c>
      <c r="D350" s="6"/>
      <c r="E350" t="s">
        <v>1932</v>
      </c>
      <c r="G350" s="6">
        <v>53</v>
      </c>
      <c r="H350" s="6"/>
      <c r="I350" t="s">
        <v>491</v>
      </c>
      <c r="J350" s="3"/>
      <c r="K350" t="s">
        <v>421</v>
      </c>
      <c r="L350" t="s">
        <v>139</v>
      </c>
      <c r="N350" t="s">
        <v>223</v>
      </c>
      <c r="O350" t="s">
        <v>224</v>
      </c>
      <c r="P350" t="s">
        <v>224</v>
      </c>
      <c r="Q350" t="s">
        <v>225</v>
      </c>
      <c r="S350" t="s">
        <v>249</v>
      </c>
      <c r="T350" t="s">
        <v>226</v>
      </c>
      <c r="V350" t="s">
        <v>227</v>
      </c>
      <c r="W350" t="s">
        <v>37</v>
      </c>
      <c r="X350" s="6" t="s">
        <v>228</v>
      </c>
      <c r="Y350" s="6"/>
      <c r="Z350" t="s">
        <v>148</v>
      </c>
      <c r="AA350" t="s">
        <v>149</v>
      </c>
      <c r="AC350" t="s">
        <v>150</v>
      </c>
      <c r="AD350" s="6"/>
      <c r="AF350" s="3"/>
      <c r="AH350" t="b">
        <v>0</v>
      </c>
      <c r="AI350" t="b">
        <v>1</v>
      </c>
      <c r="AJ350" s="6" t="s">
        <v>588</v>
      </c>
      <c r="AK350" s="6" t="s">
        <v>171</v>
      </c>
      <c r="AL350" t="b">
        <v>0</v>
      </c>
      <c r="AM350" s="6"/>
      <c r="AN350" s="6"/>
      <c r="AP350" t="b">
        <v>0</v>
      </c>
      <c r="AQ350" s="6"/>
      <c r="AR350" s="6"/>
      <c r="AT350" t="b">
        <v>0</v>
      </c>
      <c r="AU350" s="6"/>
      <c r="AV350" s="6"/>
      <c r="AX350" t="b">
        <v>1</v>
      </c>
      <c r="AY350" s="6" t="s">
        <v>2005</v>
      </c>
      <c r="AZ350" s="6" t="s">
        <v>171</v>
      </c>
      <c r="BA350" t="b">
        <v>1</v>
      </c>
      <c r="BB350" s="6" t="s">
        <v>171</v>
      </c>
      <c r="BC350" t="b">
        <v>0</v>
      </c>
      <c r="BD350" s="6"/>
      <c r="BE350" s="6"/>
      <c r="BF350" t="b">
        <v>0</v>
      </c>
      <c r="BG350" s="6"/>
      <c r="BH350" t="b">
        <v>0</v>
      </c>
      <c r="BI350" s="6"/>
      <c r="BJ350" t="b">
        <v>0</v>
      </c>
      <c r="BL350" t="b">
        <v>0</v>
      </c>
      <c r="BM350" t="b">
        <v>0</v>
      </c>
      <c r="BN350" t="b">
        <v>0</v>
      </c>
      <c r="BO350" t="b">
        <v>1</v>
      </c>
      <c r="BQ350" t="b">
        <v>0</v>
      </c>
      <c r="BR350" s="6"/>
      <c r="BT350" t="b">
        <v>0</v>
      </c>
      <c r="BU350" t="s">
        <v>1933</v>
      </c>
      <c r="BV350" t="s">
        <v>504</v>
      </c>
      <c r="BW350" t="s">
        <v>171</v>
      </c>
      <c r="BY350" s="6" t="s">
        <v>230</v>
      </c>
      <c r="BZ350">
        <v>1</v>
      </c>
      <c r="CB350" s="7">
        <v>46315.0537962963</v>
      </c>
    </row>
    <row r="351" spans="1:80">
      <c r="A351" s="6" t="s">
        <v>2006</v>
      </c>
      <c r="B351" t="s">
        <v>491</v>
      </c>
      <c r="C351" s="6" t="s">
        <v>1931</v>
      </c>
      <c r="D351" s="6"/>
      <c r="E351" t="s">
        <v>1932</v>
      </c>
      <c r="G351" s="6">
        <v>54</v>
      </c>
      <c r="H351" s="6"/>
      <c r="I351" t="s">
        <v>491</v>
      </c>
      <c r="J351" s="3"/>
      <c r="K351" t="s">
        <v>421</v>
      </c>
      <c r="L351" t="s">
        <v>139</v>
      </c>
      <c r="N351" t="s">
        <v>247</v>
      </c>
      <c r="O351" t="s">
        <v>224</v>
      </c>
      <c r="P351" t="s">
        <v>224</v>
      </c>
      <c r="Q351" t="s">
        <v>248</v>
      </c>
      <c r="S351" t="s">
        <v>249</v>
      </c>
      <c r="T351" t="s">
        <v>250</v>
      </c>
      <c r="V351" t="s">
        <v>251</v>
      </c>
      <c r="W351" t="s">
        <v>39</v>
      </c>
      <c r="X351" s="6" t="s">
        <v>252</v>
      </c>
      <c r="Y351" s="6"/>
      <c r="Z351" t="s">
        <v>148</v>
      </c>
      <c r="AA351" t="s">
        <v>149</v>
      </c>
      <c r="AC351" t="s">
        <v>150</v>
      </c>
      <c r="AD351" s="6"/>
      <c r="AF351" s="3"/>
      <c r="AH351" t="b">
        <v>0</v>
      </c>
      <c r="AI351" t="b">
        <v>1</v>
      </c>
      <c r="AJ351" s="6" t="s">
        <v>582</v>
      </c>
      <c r="AK351" s="6" t="s">
        <v>171</v>
      </c>
      <c r="AL351" t="b">
        <v>0</v>
      </c>
      <c r="AM351" s="6"/>
      <c r="AN351" s="6"/>
      <c r="AP351" t="b">
        <v>0</v>
      </c>
      <c r="AQ351" s="6"/>
      <c r="AR351" s="6"/>
      <c r="AT351" t="b">
        <v>0</v>
      </c>
      <c r="AU351" s="6"/>
      <c r="AV351" s="6"/>
      <c r="AX351" t="b">
        <v>1</v>
      </c>
      <c r="AY351" s="6" t="s">
        <v>2007</v>
      </c>
      <c r="AZ351" s="6" t="s">
        <v>171</v>
      </c>
      <c r="BA351" t="b">
        <v>1</v>
      </c>
      <c r="BB351" s="6" t="s">
        <v>171</v>
      </c>
      <c r="BC351" t="b">
        <v>0</v>
      </c>
      <c r="BD351" s="6"/>
      <c r="BE351" s="6"/>
      <c r="BF351" t="b">
        <v>0</v>
      </c>
      <c r="BG351" s="6"/>
      <c r="BH351" t="b">
        <v>0</v>
      </c>
      <c r="BI351" s="6"/>
      <c r="BJ351" t="b">
        <v>0</v>
      </c>
      <c r="BL351" t="b">
        <v>0</v>
      </c>
      <c r="BM351" t="b">
        <v>0</v>
      </c>
      <c r="BN351" t="b">
        <v>0</v>
      </c>
      <c r="BO351" t="b">
        <v>1</v>
      </c>
      <c r="BQ351" t="b">
        <v>0</v>
      </c>
      <c r="BR351" s="6"/>
      <c r="BT351" t="b">
        <v>0</v>
      </c>
      <c r="BU351" t="s">
        <v>1933</v>
      </c>
      <c r="BV351" t="s">
        <v>504</v>
      </c>
      <c r="BW351" t="s">
        <v>154</v>
      </c>
      <c r="BX351" t="s">
        <v>44</v>
      </c>
      <c r="BY351" s="6" t="s">
        <v>256</v>
      </c>
      <c r="BZ351">
        <v>1</v>
      </c>
      <c r="CA351" t="s">
        <v>157</v>
      </c>
      <c r="CB351" s="7">
        <v>46315.0537962963</v>
      </c>
    </row>
    <row r="352" spans="1:80">
      <c r="A352" s="6" t="s">
        <v>2008</v>
      </c>
      <c r="B352" t="s">
        <v>491</v>
      </c>
      <c r="C352" s="6" t="s">
        <v>1931</v>
      </c>
      <c r="D352" s="6"/>
      <c r="E352" t="s">
        <v>1932</v>
      </c>
      <c r="G352" s="6">
        <v>55</v>
      </c>
      <c r="H352" s="6"/>
      <c r="I352" t="s">
        <v>491</v>
      </c>
      <c r="J352" s="3"/>
      <c r="K352" t="s">
        <v>421</v>
      </c>
      <c r="L352" t="s">
        <v>139</v>
      </c>
      <c r="N352" t="s">
        <v>444</v>
      </c>
      <c r="Q352" t="s">
        <v>445</v>
      </c>
      <c r="R352" t="s">
        <v>446</v>
      </c>
      <c r="S352" t="s">
        <v>249</v>
      </c>
      <c r="T352" t="s">
        <v>447</v>
      </c>
      <c r="V352" t="s">
        <v>203</v>
      </c>
      <c r="W352" t="s">
        <v>34</v>
      </c>
      <c r="X352" s="6" t="s">
        <v>448</v>
      </c>
      <c r="Y352" s="6"/>
      <c r="Z352" t="s">
        <v>148</v>
      </c>
      <c r="AA352" t="s">
        <v>149</v>
      </c>
      <c r="AC352" t="s">
        <v>150</v>
      </c>
      <c r="AD352" s="6"/>
      <c r="AF352" s="3"/>
      <c r="AH352" t="b">
        <v>0</v>
      </c>
      <c r="AI352" t="b">
        <v>1</v>
      </c>
      <c r="AJ352" s="6" t="s">
        <v>449</v>
      </c>
      <c r="AK352" s="6" t="s">
        <v>171</v>
      </c>
      <c r="AL352" t="b">
        <v>0</v>
      </c>
      <c r="AM352" s="6"/>
      <c r="AN352" s="6"/>
      <c r="AP352" t="b">
        <v>0</v>
      </c>
      <c r="AQ352" s="6"/>
      <c r="AR352" s="6"/>
      <c r="AT352" t="b">
        <v>0</v>
      </c>
      <c r="AU352" s="6"/>
      <c r="AV352" s="6"/>
      <c r="AX352" t="b">
        <v>0</v>
      </c>
      <c r="AY352" s="6"/>
      <c r="AZ352" s="6"/>
      <c r="BA352" t="b">
        <v>0</v>
      </c>
      <c r="BB352" s="6"/>
      <c r="BC352" t="b">
        <v>0</v>
      </c>
      <c r="BD352" s="6"/>
      <c r="BE352" s="6"/>
      <c r="BF352" t="b">
        <v>0</v>
      </c>
      <c r="BG352" s="6"/>
      <c r="BH352" t="b">
        <v>0</v>
      </c>
      <c r="BI352" s="6"/>
      <c r="BJ352" t="b">
        <v>0</v>
      </c>
      <c r="BL352" t="b">
        <v>0</v>
      </c>
      <c r="BM352" t="b">
        <v>0</v>
      </c>
      <c r="BN352" t="b">
        <v>0</v>
      </c>
      <c r="BO352" t="b">
        <v>1</v>
      </c>
      <c r="BQ352" t="b">
        <v>0</v>
      </c>
      <c r="BR352" s="6"/>
      <c r="BT352" t="b">
        <v>0</v>
      </c>
      <c r="BU352" t="s">
        <v>1933</v>
      </c>
      <c r="BV352" t="s">
        <v>504</v>
      </c>
      <c r="BW352" t="s">
        <v>171</v>
      </c>
      <c r="BY352" s="6" t="s">
        <v>451</v>
      </c>
      <c r="BZ352">
        <v>1</v>
      </c>
      <c r="CB352" s="7">
        <v>46315.0537962963</v>
      </c>
    </row>
    <row r="353" spans="1:80">
      <c r="A353" s="6" t="s">
        <v>2009</v>
      </c>
      <c r="B353" t="s">
        <v>491</v>
      </c>
      <c r="C353" s="6" t="s">
        <v>1931</v>
      </c>
      <c r="D353" s="6"/>
      <c r="E353" t="s">
        <v>1932</v>
      </c>
      <c r="G353" s="6">
        <v>56</v>
      </c>
      <c r="H353" s="6"/>
      <c r="I353" t="s">
        <v>491</v>
      </c>
      <c r="J353" s="3"/>
      <c r="K353" t="s">
        <v>421</v>
      </c>
      <c r="L353" t="s">
        <v>139</v>
      </c>
      <c r="N353" t="s">
        <v>1234</v>
      </c>
      <c r="O353" t="s">
        <v>142</v>
      </c>
      <c r="P353" t="s">
        <v>142</v>
      </c>
      <c r="Q353" t="s">
        <v>1236</v>
      </c>
      <c r="S353" t="s">
        <v>249</v>
      </c>
      <c r="T353" t="s">
        <v>660</v>
      </c>
      <c r="V353" t="s">
        <v>661</v>
      </c>
      <c r="W353" t="s">
        <v>34</v>
      </c>
      <c r="X353" s="6" t="s">
        <v>662</v>
      </c>
      <c r="Y353" s="6"/>
      <c r="Z353" t="s">
        <v>148</v>
      </c>
      <c r="AA353" t="s">
        <v>149</v>
      </c>
      <c r="AC353" t="s">
        <v>150</v>
      </c>
      <c r="AD353" s="6"/>
      <c r="AF353" s="3"/>
      <c r="AH353" t="b">
        <v>0</v>
      </c>
      <c r="AI353" t="b">
        <v>1</v>
      </c>
      <c r="AJ353" s="6" t="s">
        <v>1239</v>
      </c>
      <c r="AK353" s="6" t="s">
        <v>171</v>
      </c>
      <c r="AL353" t="b">
        <v>0</v>
      </c>
      <c r="AM353" s="6"/>
      <c r="AN353" s="6"/>
      <c r="AP353" t="b">
        <v>0</v>
      </c>
      <c r="AQ353" s="6"/>
      <c r="AR353" s="6"/>
      <c r="AT353" t="b">
        <v>0</v>
      </c>
      <c r="AU353" s="6"/>
      <c r="AV353" s="6"/>
      <c r="AX353" t="b">
        <v>1</v>
      </c>
      <c r="AY353" s="6" t="s">
        <v>1954</v>
      </c>
      <c r="AZ353" s="6" t="s">
        <v>171</v>
      </c>
      <c r="BA353" t="b">
        <v>1</v>
      </c>
      <c r="BB353" s="6" t="s">
        <v>171</v>
      </c>
      <c r="BC353" t="b">
        <v>0</v>
      </c>
      <c r="BD353" s="6"/>
      <c r="BE353" s="6"/>
      <c r="BF353" t="b">
        <v>0</v>
      </c>
      <c r="BG353" s="6"/>
      <c r="BH353" t="b">
        <v>0</v>
      </c>
      <c r="BI353" s="6"/>
      <c r="BJ353" t="b">
        <v>0</v>
      </c>
      <c r="BL353" t="b">
        <v>0</v>
      </c>
      <c r="BM353" t="b">
        <v>0</v>
      </c>
      <c r="BN353" t="b">
        <v>0</v>
      </c>
      <c r="BO353" t="b">
        <v>1</v>
      </c>
      <c r="BQ353" t="b">
        <v>0</v>
      </c>
      <c r="BR353" s="6"/>
      <c r="BT353" t="b">
        <v>0</v>
      </c>
      <c r="BU353" t="s">
        <v>1933</v>
      </c>
      <c r="BV353" t="s">
        <v>504</v>
      </c>
      <c r="BW353" t="s">
        <v>171</v>
      </c>
      <c r="BY353" s="6" t="s">
        <v>1240</v>
      </c>
      <c r="BZ353">
        <v>1</v>
      </c>
      <c r="CB353" s="7">
        <v>46315.0537962963</v>
      </c>
    </row>
    <row r="354" spans="1:80">
      <c r="A354" s="6" t="s">
        <v>2010</v>
      </c>
      <c r="B354" t="s">
        <v>491</v>
      </c>
      <c r="C354" s="6" t="s">
        <v>1931</v>
      </c>
      <c r="D354" s="6"/>
      <c r="E354" t="s">
        <v>1932</v>
      </c>
      <c r="G354" s="6">
        <v>57</v>
      </c>
      <c r="H354" s="6"/>
      <c r="I354" t="s">
        <v>491</v>
      </c>
      <c r="J354" s="3"/>
      <c r="K354" t="s">
        <v>421</v>
      </c>
      <c r="L354" t="s">
        <v>139</v>
      </c>
      <c r="N354" t="s">
        <v>141</v>
      </c>
      <c r="O354" t="s">
        <v>142</v>
      </c>
      <c r="P354" t="s">
        <v>142</v>
      </c>
      <c r="Q354" t="s">
        <v>143</v>
      </c>
      <c r="S354" t="s">
        <v>249</v>
      </c>
      <c r="T354" t="s">
        <v>145</v>
      </c>
      <c r="V354" t="s">
        <v>146</v>
      </c>
      <c r="W354" t="s">
        <v>33</v>
      </c>
      <c r="X354" s="6" t="s">
        <v>147</v>
      </c>
      <c r="Y354" s="6"/>
      <c r="Z354" t="s">
        <v>148</v>
      </c>
      <c r="AA354" t="s">
        <v>149</v>
      </c>
      <c r="AC354" t="s">
        <v>150</v>
      </c>
      <c r="AD354" s="6"/>
      <c r="AF354" s="3"/>
      <c r="AH354" t="b">
        <v>0</v>
      </c>
      <c r="AI354" t="b">
        <v>1</v>
      </c>
      <c r="AJ354" s="6" t="s">
        <v>590</v>
      </c>
      <c r="AK354" s="6" t="s">
        <v>171</v>
      </c>
      <c r="AL354" t="b">
        <v>0</v>
      </c>
      <c r="AM354" s="6"/>
      <c r="AN354" s="6"/>
      <c r="AP354" t="b">
        <v>0</v>
      </c>
      <c r="AQ354" s="6"/>
      <c r="AR354" s="6"/>
      <c r="AT354" t="b">
        <v>0</v>
      </c>
      <c r="AU354" s="6"/>
      <c r="AV354" s="6"/>
      <c r="AX354" t="b">
        <v>0</v>
      </c>
      <c r="AY354" s="6"/>
      <c r="AZ354" s="6"/>
      <c r="BA354" t="b">
        <v>0</v>
      </c>
      <c r="BB354" s="6"/>
      <c r="BC354" t="b">
        <v>0</v>
      </c>
      <c r="BD354" s="6"/>
      <c r="BE354" s="6"/>
      <c r="BF354" t="b">
        <v>0</v>
      </c>
      <c r="BG354" s="6"/>
      <c r="BH354" t="b">
        <v>0</v>
      </c>
      <c r="BI354" s="6"/>
      <c r="BJ354" t="b">
        <v>0</v>
      </c>
      <c r="BL354" t="b">
        <v>0</v>
      </c>
      <c r="BM354" t="b">
        <v>0</v>
      </c>
      <c r="BN354" t="b">
        <v>0</v>
      </c>
      <c r="BO354" t="b">
        <v>1</v>
      </c>
      <c r="BQ354" t="b">
        <v>0</v>
      </c>
      <c r="BR354" s="6"/>
      <c r="BT354" t="b">
        <v>0</v>
      </c>
      <c r="BU354" t="s">
        <v>1933</v>
      </c>
      <c r="BV354" t="s">
        <v>504</v>
      </c>
      <c r="BW354" t="s">
        <v>154</v>
      </c>
      <c r="BX354" t="s">
        <v>44</v>
      </c>
      <c r="BY354" s="6" t="s">
        <v>156</v>
      </c>
      <c r="BZ354">
        <v>1</v>
      </c>
      <c r="CA354" t="s">
        <v>157</v>
      </c>
      <c r="CB354" s="7">
        <v>46315.0537962963</v>
      </c>
    </row>
    <row r="355" spans="1:80">
      <c r="A355" s="6" t="s">
        <v>2011</v>
      </c>
      <c r="B355" t="s">
        <v>491</v>
      </c>
      <c r="C355" s="6" t="s">
        <v>1931</v>
      </c>
      <c r="D355" s="6"/>
      <c r="E355" t="s">
        <v>1932</v>
      </c>
      <c r="G355" s="6">
        <v>58</v>
      </c>
      <c r="H355" s="6"/>
      <c r="I355" t="s">
        <v>491</v>
      </c>
      <c r="J355" s="3"/>
      <c r="K355" t="s">
        <v>421</v>
      </c>
      <c r="L355" t="s">
        <v>139</v>
      </c>
      <c r="N355" t="s">
        <v>678</v>
      </c>
      <c r="Q355" t="s">
        <v>469</v>
      </c>
      <c r="S355" t="s">
        <v>249</v>
      </c>
      <c r="T355" t="s">
        <v>470</v>
      </c>
      <c r="V355" t="s">
        <v>471</v>
      </c>
      <c r="W355" t="s">
        <v>38</v>
      </c>
      <c r="X355" s="6" t="s">
        <v>472</v>
      </c>
      <c r="Y355" s="6"/>
      <c r="Z355" t="s">
        <v>148</v>
      </c>
      <c r="AA355" t="s">
        <v>149</v>
      </c>
      <c r="AC355" t="s">
        <v>150</v>
      </c>
      <c r="AD355" s="6"/>
      <c r="AF355" s="3"/>
      <c r="AH355" t="b">
        <v>0</v>
      </c>
      <c r="AI355" t="b">
        <v>1</v>
      </c>
      <c r="AJ355" s="6" t="s">
        <v>679</v>
      </c>
      <c r="AK355" s="6" t="s">
        <v>171</v>
      </c>
      <c r="AL355" t="b">
        <v>0</v>
      </c>
      <c r="AM355" s="6"/>
      <c r="AN355" s="6"/>
      <c r="AP355" t="b">
        <v>0</v>
      </c>
      <c r="AQ355" s="6"/>
      <c r="AR355" s="6"/>
      <c r="AT355" t="b">
        <v>0</v>
      </c>
      <c r="AU355" s="6"/>
      <c r="AV355" s="6"/>
      <c r="AX355" t="b">
        <v>1</v>
      </c>
      <c r="AY355" s="6" t="s">
        <v>1957</v>
      </c>
      <c r="AZ355" s="6" t="s">
        <v>171</v>
      </c>
      <c r="BA355" t="b">
        <v>1</v>
      </c>
      <c r="BB355" s="6" t="s">
        <v>171</v>
      </c>
      <c r="BC355" t="b">
        <v>0</v>
      </c>
      <c r="BD355" s="6"/>
      <c r="BE355" s="6"/>
      <c r="BF355" t="b">
        <v>0</v>
      </c>
      <c r="BG355" s="6"/>
      <c r="BH355" t="b">
        <v>0</v>
      </c>
      <c r="BI355" s="6"/>
      <c r="BJ355" t="b">
        <v>0</v>
      </c>
      <c r="BL355" t="b">
        <v>0</v>
      </c>
      <c r="BM355" t="b">
        <v>0</v>
      </c>
      <c r="BN355" t="b">
        <v>0</v>
      </c>
      <c r="BO355" t="b">
        <v>1</v>
      </c>
      <c r="BQ355" t="b">
        <v>0</v>
      </c>
      <c r="BR355" s="6"/>
      <c r="BT355" t="b">
        <v>0</v>
      </c>
      <c r="BU355" t="s">
        <v>1933</v>
      </c>
      <c r="BV355" t="s">
        <v>504</v>
      </c>
      <c r="BW355" t="s">
        <v>154</v>
      </c>
      <c r="BX355" t="s">
        <v>44</v>
      </c>
      <c r="BY355" s="6" t="s">
        <v>681</v>
      </c>
      <c r="BZ355">
        <v>1</v>
      </c>
      <c r="CA355" t="s">
        <v>157</v>
      </c>
      <c r="CB355" s="7">
        <v>46315.0537962963</v>
      </c>
    </row>
    <row r="356" spans="1:80">
      <c r="A356" s="6" t="s">
        <v>2012</v>
      </c>
      <c r="B356" t="s">
        <v>491</v>
      </c>
      <c r="C356" s="6" t="s">
        <v>1931</v>
      </c>
      <c r="D356" s="6"/>
      <c r="E356" t="s">
        <v>1932</v>
      </c>
      <c r="G356" s="6">
        <v>59</v>
      </c>
      <c r="H356" s="6"/>
      <c r="I356" t="s">
        <v>491</v>
      </c>
      <c r="J356" s="3"/>
      <c r="K356" t="s">
        <v>421</v>
      </c>
      <c r="L356" t="s">
        <v>139</v>
      </c>
      <c r="N356" t="s">
        <v>496</v>
      </c>
      <c r="O356" t="s">
        <v>324</v>
      </c>
      <c r="P356" t="s">
        <v>324</v>
      </c>
      <c r="Q356" t="s">
        <v>497</v>
      </c>
      <c r="S356" t="s">
        <v>249</v>
      </c>
      <c r="T356" t="s">
        <v>498</v>
      </c>
      <c r="V356" t="s">
        <v>499</v>
      </c>
      <c r="W356" t="s">
        <v>35</v>
      </c>
      <c r="X356" s="6" t="s">
        <v>500</v>
      </c>
      <c r="Y356" s="6"/>
      <c r="Z356" t="s">
        <v>148</v>
      </c>
      <c r="AA356" t="s">
        <v>149</v>
      </c>
      <c r="AC356" t="s">
        <v>150</v>
      </c>
      <c r="AD356" s="6"/>
      <c r="AF356" s="3"/>
      <c r="AH356" t="b">
        <v>0</v>
      </c>
      <c r="AI356" t="b">
        <v>1</v>
      </c>
      <c r="AJ356" s="6" t="s">
        <v>501</v>
      </c>
      <c r="AK356" s="6" t="s">
        <v>171</v>
      </c>
      <c r="AL356" t="b">
        <v>0</v>
      </c>
      <c r="AM356" s="6"/>
      <c r="AN356" s="6"/>
      <c r="AP356" t="b">
        <v>0</v>
      </c>
      <c r="AQ356" s="6"/>
      <c r="AR356" s="6"/>
      <c r="AT356" t="b">
        <v>0</v>
      </c>
      <c r="AU356" s="6"/>
      <c r="AV356" s="6"/>
      <c r="AX356" t="b">
        <v>0</v>
      </c>
      <c r="AY356" s="6"/>
      <c r="AZ356" s="6"/>
      <c r="BA356" t="b">
        <v>0</v>
      </c>
      <c r="BB356" s="6"/>
      <c r="BC356" t="b">
        <v>0</v>
      </c>
      <c r="BD356" s="6"/>
      <c r="BE356" s="6"/>
      <c r="BF356" t="b">
        <v>0</v>
      </c>
      <c r="BG356" s="6"/>
      <c r="BH356" t="b">
        <v>0</v>
      </c>
      <c r="BI356" s="6"/>
      <c r="BJ356" t="b">
        <v>0</v>
      </c>
      <c r="BL356" t="b">
        <v>0</v>
      </c>
      <c r="BM356" t="b">
        <v>0</v>
      </c>
      <c r="BN356" t="b">
        <v>0</v>
      </c>
      <c r="BO356" t="b">
        <v>1</v>
      </c>
      <c r="BQ356" t="b">
        <v>0</v>
      </c>
      <c r="BR356" s="6"/>
      <c r="BT356" t="b">
        <v>0</v>
      </c>
      <c r="BU356" t="s">
        <v>1933</v>
      </c>
      <c r="BV356" t="s">
        <v>504</v>
      </c>
      <c r="BW356" t="s">
        <v>154</v>
      </c>
      <c r="BX356" t="s">
        <v>47</v>
      </c>
      <c r="BY356" s="6" t="s">
        <v>505</v>
      </c>
      <c r="BZ356">
        <v>1</v>
      </c>
      <c r="CA356" t="s">
        <v>157</v>
      </c>
      <c r="CB356" s="7">
        <v>46315.0537962963</v>
      </c>
    </row>
    <row r="357" spans="1:80">
      <c r="A357" s="6" t="s">
        <v>2013</v>
      </c>
      <c r="B357" t="s">
        <v>491</v>
      </c>
      <c r="C357" s="6" t="s">
        <v>1931</v>
      </c>
      <c r="D357" s="6"/>
      <c r="E357" t="s">
        <v>1932</v>
      </c>
      <c r="G357" s="6">
        <v>60</v>
      </c>
      <c r="H357" s="6"/>
      <c r="I357" t="s">
        <v>491</v>
      </c>
      <c r="J357" s="3"/>
      <c r="K357" t="s">
        <v>421</v>
      </c>
      <c r="L357" t="s">
        <v>139</v>
      </c>
      <c r="N357" t="s">
        <v>331</v>
      </c>
      <c r="O357" t="s">
        <v>142</v>
      </c>
      <c r="P357" t="s">
        <v>142</v>
      </c>
      <c r="Q357" t="s">
        <v>332</v>
      </c>
      <c r="S357" t="s">
        <v>249</v>
      </c>
      <c r="T357" t="s">
        <v>333</v>
      </c>
      <c r="V357" t="s">
        <v>334</v>
      </c>
      <c r="W357" t="s">
        <v>33</v>
      </c>
      <c r="X357" s="6" t="s">
        <v>335</v>
      </c>
      <c r="Y357" s="6"/>
      <c r="Z357" t="s">
        <v>148</v>
      </c>
      <c r="AA357" t="s">
        <v>149</v>
      </c>
      <c r="AC357" t="s">
        <v>150</v>
      </c>
      <c r="AD357" s="6"/>
      <c r="AF357" s="3"/>
      <c r="AH357" t="b">
        <v>0</v>
      </c>
      <c r="AI357" t="b">
        <v>1</v>
      </c>
      <c r="AJ357" s="6" t="s">
        <v>348</v>
      </c>
      <c r="AK357" s="6" t="s">
        <v>171</v>
      </c>
      <c r="AL357" t="b">
        <v>0</v>
      </c>
      <c r="AM357" s="6"/>
      <c r="AN357" s="6"/>
      <c r="AP357" t="b">
        <v>0</v>
      </c>
      <c r="AQ357" s="6"/>
      <c r="AR357" s="6"/>
      <c r="AT357" t="b">
        <v>0</v>
      </c>
      <c r="AU357" s="6"/>
      <c r="AV357" s="6"/>
      <c r="AX357" t="b">
        <v>0</v>
      </c>
      <c r="AY357" s="6"/>
      <c r="AZ357" s="6"/>
      <c r="BA357" t="b">
        <v>0</v>
      </c>
      <c r="BB357" s="6"/>
      <c r="BC357" t="b">
        <v>0</v>
      </c>
      <c r="BD357" s="6"/>
      <c r="BE357" s="6"/>
      <c r="BF357" t="b">
        <v>0</v>
      </c>
      <c r="BG357" s="6"/>
      <c r="BH357" t="b">
        <v>0</v>
      </c>
      <c r="BI357" s="6"/>
      <c r="BJ357" t="b">
        <v>0</v>
      </c>
      <c r="BL357" t="b">
        <v>0</v>
      </c>
      <c r="BM357" t="b">
        <v>0</v>
      </c>
      <c r="BN357" t="b">
        <v>0</v>
      </c>
      <c r="BO357" t="b">
        <v>1</v>
      </c>
      <c r="BQ357" t="b">
        <v>0</v>
      </c>
      <c r="BR357" s="6"/>
      <c r="BT357" t="b">
        <v>0</v>
      </c>
      <c r="BU357" t="s">
        <v>1933</v>
      </c>
      <c r="BV357" t="s">
        <v>504</v>
      </c>
      <c r="BW357" t="s">
        <v>171</v>
      </c>
      <c r="BY357" s="6" t="s">
        <v>336</v>
      </c>
      <c r="BZ357">
        <v>1</v>
      </c>
      <c r="CB357" s="7">
        <v>46315.0537962963</v>
      </c>
    </row>
    <row r="358" spans="1:80">
      <c r="A358" s="6" t="s">
        <v>2014</v>
      </c>
      <c r="B358" t="s">
        <v>491</v>
      </c>
      <c r="C358" s="6" t="s">
        <v>1931</v>
      </c>
      <c r="D358" s="6"/>
      <c r="E358" t="s">
        <v>1932</v>
      </c>
      <c r="G358" s="6">
        <v>61</v>
      </c>
      <c r="H358" s="6"/>
      <c r="I358" t="s">
        <v>491</v>
      </c>
      <c r="J358" s="3"/>
      <c r="K358" t="s">
        <v>421</v>
      </c>
      <c r="L358" t="s">
        <v>139</v>
      </c>
      <c r="N358" t="s">
        <v>694</v>
      </c>
      <c r="O358" t="s">
        <v>1200</v>
      </c>
      <c r="P358" t="s">
        <v>1200</v>
      </c>
      <c r="Q358" t="s">
        <v>695</v>
      </c>
      <c r="S358" t="s">
        <v>249</v>
      </c>
      <c r="T358" t="s">
        <v>696</v>
      </c>
      <c r="V358" t="s">
        <v>697</v>
      </c>
      <c r="W358" t="s">
        <v>40</v>
      </c>
      <c r="X358" s="6" t="s">
        <v>698</v>
      </c>
      <c r="Y358" s="6"/>
      <c r="Z358" t="s">
        <v>148</v>
      </c>
      <c r="AA358" t="s">
        <v>149</v>
      </c>
      <c r="AC358" t="s">
        <v>150</v>
      </c>
      <c r="AD358" s="6"/>
      <c r="AF358" s="3"/>
      <c r="AH358" t="b">
        <v>0</v>
      </c>
      <c r="AI358" t="b">
        <v>1</v>
      </c>
      <c r="AJ358" s="6" t="s">
        <v>699</v>
      </c>
      <c r="AK358" s="6" t="s">
        <v>171</v>
      </c>
      <c r="AL358" t="b">
        <v>0</v>
      </c>
      <c r="AM358" s="6"/>
      <c r="AN358" s="6"/>
      <c r="AP358" t="b">
        <v>0</v>
      </c>
      <c r="AQ358" s="6"/>
      <c r="AR358" s="6"/>
      <c r="AT358" t="b">
        <v>0</v>
      </c>
      <c r="AU358" s="6"/>
      <c r="AV358" s="6"/>
      <c r="AX358" t="b">
        <v>0</v>
      </c>
      <c r="AY358" s="6"/>
      <c r="AZ358" s="6"/>
      <c r="BA358" t="b">
        <v>1</v>
      </c>
      <c r="BB358" s="6" t="s">
        <v>171</v>
      </c>
      <c r="BC358" t="b">
        <v>0</v>
      </c>
      <c r="BD358" s="6"/>
      <c r="BE358" s="6"/>
      <c r="BF358" t="b">
        <v>0</v>
      </c>
      <c r="BG358" s="6"/>
      <c r="BH358" t="b">
        <v>0</v>
      </c>
      <c r="BI358" s="6"/>
      <c r="BJ358" t="b">
        <v>0</v>
      </c>
      <c r="BL358" t="b">
        <v>0</v>
      </c>
      <c r="BM358" t="b">
        <v>0</v>
      </c>
      <c r="BN358" t="b">
        <v>0</v>
      </c>
      <c r="BO358" t="b">
        <v>1</v>
      </c>
      <c r="BQ358" t="b">
        <v>0</v>
      </c>
      <c r="BR358" s="6"/>
      <c r="BT358" t="b">
        <v>0</v>
      </c>
      <c r="BU358" t="s">
        <v>1933</v>
      </c>
      <c r="BV358" t="s">
        <v>504</v>
      </c>
      <c r="BW358" t="s">
        <v>171</v>
      </c>
      <c r="BX358" t="s">
        <v>1948</v>
      </c>
      <c r="BY358" s="6" t="s">
        <v>701</v>
      </c>
      <c r="BZ358">
        <v>1</v>
      </c>
      <c r="CB358" s="7">
        <v>46315.0537962963</v>
      </c>
    </row>
    <row r="359" spans="1:80">
      <c r="A359" s="6" t="s">
        <v>2015</v>
      </c>
      <c r="B359" t="s">
        <v>491</v>
      </c>
      <c r="C359" s="6" t="s">
        <v>1931</v>
      </c>
      <c r="D359" s="6"/>
      <c r="E359" t="s">
        <v>1932</v>
      </c>
      <c r="G359" s="6">
        <v>62</v>
      </c>
      <c r="H359" s="6"/>
      <c r="I359" t="s">
        <v>491</v>
      </c>
      <c r="J359" s="3"/>
      <c r="K359" t="s">
        <v>421</v>
      </c>
      <c r="L359" t="s">
        <v>139</v>
      </c>
      <c r="N359" t="s">
        <v>177</v>
      </c>
      <c r="O359" t="s">
        <v>178</v>
      </c>
      <c r="P359" t="s">
        <v>178</v>
      </c>
      <c r="Q359" t="s">
        <v>179</v>
      </c>
      <c r="S359" t="s">
        <v>249</v>
      </c>
      <c r="T359" t="s">
        <v>180</v>
      </c>
      <c r="V359" t="s">
        <v>181</v>
      </c>
      <c r="W359" t="s">
        <v>40</v>
      </c>
      <c r="X359" s="6" t="s">
        <v>182</v>
      </c>
      <c r="Y359" s="6"/>
      <c r="Z359" t="s">
        <v>148</v>
      </c>
      <c r="AA359" t="s">
        <v>149</v>
      </c>
      <c r="AC359" t="s">
        <v>150</v>
      </c>
      <c r="AD359" s="6"/>
      <c r="AF359" s="3"/>
      <c r="AH359" t="b">
        <v>0</v>
      </c>
      <c r="AI359" t="b">
        <v>1</v>
      </c>
      <c r="AJ359" s="6" t="s">
        <v>387</v>
      </c>
      <c r="AK359" s="6" t="s">
        <v>171</v>
      </c>
      <c r="AL359" t="b">
        <v>0</v>
      </c>
      <c r="AM359" s="6"/>
      <c r="AN359" s="6"/>
      <c r="AP359" t="b">
        <v>0</v>
      </c>
      <c r="AQ359" s="6"/>
      <c r="AR359" s="6"/>
      <c r="AT359" t="b">
        <v>0</v>
      </c>
      <c r="AU359" s="6"/>
      <c r="AV359" s="6"/>
      <c r="AX359" t="b">
        <v>0</v>
      </c>
      <c r="AY359" s="6"/>
      <c r="AZ359" s="6"/>
      <c r="BA359" t="b">
        <v>0</v>
      </c>
      <c r="BB359" s="6"/>
      <c r="BC359" t="b">
        <v>0</v>
      </c>
      <c r="BD359" s="6"/>
      <c r="BE359" s="6"/>
      <c r="BF359" t="b">
        <v>0</v>
      </c>
      <c r="BG359" s="6"/>
      <c r="BH359" t="b">
        <v>0</v>
      </c>
      <c r="BI359" s="6"/>
      <c r="BJ359" t="b">
        <v>0</v>
      </c>
      <c r="BL359" t="b">
        <v>0</v>
      </c>
      <c r="BM359" t="b">
        <v>0</v>
      </c>
      <c r="BN359" t="b">
        <v>0</v>
      </c>
      <c r="BO359" t="b">
        <v>1</v>
      </c>
      <c r="BQ359" t="b">
        <v>0</v>
      </c>
      <c r="BR359" s="6"/>
      <c r="BT359" t="b">
        <v>0</v>
      </c>
      <c r="BU359" t="s">
        <v>1933</v>
      </c>
      <c r="BV359" t="s">
        <v>504</v>
      </c>
      <c r="BW359" t="s">
        <v>171</v>
      </c>
      <c r="BY359" s="6" t="s">
        <v>184</v>
      </c>
      <c r="BZ359">
        <v>1</v>
      </c>
      <c r="CB359" s="7">
        <v>46315.0537962963</v>
      </c>
    </row>
    <row r="360" spans="1:80">
      <c r="A360" s="6" t="s">
        <v>2016</v>
      </c>
      <c r="B360" t="s">
        <v>491</v>
      </c>
      <c r="C360" s="6" t="s">
        <v>1931</v>
      </c>
      <c r="D360" s="6"/>
      <c r="E360" t="s">
        <v>1932</v>
      </c>
      <c r="G360" s="6">
        <v>63</v>
      </c>
      <c r="H360" s="6"/>
      <c r="I360" t="s">
        <v>491</v>
      </c>
      <c r="J360" s="3"/>
      <c r="K360" t="s">
        <v>421</v>
      </c>
      <c r="L360" t="s">
        <v>139</v>
      </c>
      <c r="N360" t="s">
        <v>211</v>
      </c>
      <c r="O360" t="s">
        <v>212</v>
      </c>
      <c r="P360" t="s">
        <v>212</v>
      </c>
      <c r="Q360" t="s">
        <v>213</v>
      </c>
      <c r="R360" t="s">
        <v>214</v>
      </c>
      <c r="S360" t="s">
        <v>249</v>
      </c>
      <c r="T360" t="s">
        <v>215</v>
      </c>
      <c r="V360" t="s">
        <v>216</v>
      </c>
      <c r="W360" t="s">
        <v>37</v>
      </c>
      <c r="X360" s="6" t="s">
        <v>217</v>
      </c>
      <c r="Y360" s="6"/>
      <c r="Z360" t="s">
        <v>148</v>
      </c>
      <c r="AA360" t="s">
        <v>149</v>
      </c>
      <c r="AC360" t="s">
        <v>150</v>
      </c>
      <c r="AD360" s="6"/>
      <c r="AF360" s="3"/>
      <c r="AH360" t="b">
        <v>0</v>
      </c>
      <c r="AI360" t="b">
        <v>1</v>
      </c>
      <c r="AJ360" s="6" t="s">
        <v>531</v>
      </c>
      <c r="AK360" s="6" t="s">
        <v>171</v>
      </c>
      <c r="AL360" t="b">
        <v>0</v>
      </c>
      <c r="AM360" s="6"/>
      <c r="AN360" s="6"/>
      <c r="AP360" t="b">
        <v>0</v>
      </c>
      <c r="AQ360" s="6"/>
      <c r="AR360" s="6"/>
      <c r="AT360" t="b">
        <v>0</v>
      </c>
      <c r="AU360" s="6"/>
      <c r="AV360" s="6"/>
      <c r="AX360" t="b">
        <v>1</v>
      </c>
      <c r="AY360" s="6" t="s">
        <v>1964</v>
      </c>
      <c r="AZ360" s="6" t="s">
        <v>171</v>
      </c>
      <c r="BA360" t="b">
        <v>1</v>
      </c>
      <c r="BB360" s="6" t="s">
        <v>171</v>
      </c>
      <c r="BC360" t="b">
        <v>0</v>
      </c>
      <c r="BD360" s="6"/>
      <c r="BE360" s="6"/>
      <c r="BF360" t="b">
        <v>0</v>
      </c>
      <c r="BG360" s="6"/>
      <c r="BH360" t="b">
        <v>0</v>
      </c>
      <c r="BI360" s="6"/>
      <c r="BJ360" t="b">
        <v>0</v>
      </c>
      <c r="BL360" t="b">
        <v>0</v>
      </c>
      <c r="BM360" t="b">
        <v>0</v>
      </c>
      <c r="BN360" t="b">
        <v>0</v>
      </c>
      <c r="BO360" t="b">
        <v>1</v>
      </c>
      <c r="BQ360" t="b">
        <v>0</v>
      </c>
      <c r="BR360" s="6"/>
      <c r="BT360" t="b">
        <v>0</v>
      </c>
      <c r="BU360" t="s">
        <v>1933</v>
      </c>
      <c r="BV360" t="s">
        <v>504</v>
      </c>
      <c r="BW360" t="s">
        <v>171</v>
      </c>
      <c r="BY360" s="6" t="s">
        <v>219</v>
      </c>
      <c r="BZ360">
        <v>1</v>
      </c>
      <c r="CB360" s="7">
        <v>46315.0537962963</v>
      </c>
    </row>
    <row r="361" spans="1:80">
      <c r="A361" s="6" t="s">
        <v>2017</v>
      </c>
      <c r="B361" t="s">
        <v>491</v>
      </c>
      <c r="C361" s="6" t="s">
        <v>1931</v>
      </c>
      <c r="D361" s="6"/>
      <c r="E361" t="s">
        <v>1932</v>
      </c>
      <c r="G361" s="6">
        <v>64</v>
      </c>
      <c r="H361" s="6"/>
      <c r="I361" t="s">
        <v>491</v>
      </c>
      <c r="J361" s="3"/>
      <c r="K361" t="s">
        <v>421</v>
      </c>
      <c r="L361" t="s">
        <v>139</v>
      </c>
      <c r="N361" t="s">
        <v>422</v>
      </c>
      <c r="O361" t="s">
        <v>163</v>
      </c>
      <c r="P361" t="s">
        <v>163</v>
      </c>
      <c r="Q361" t="s">
        <v>423</v>
      </c>
      <c r="S361" t="s">
        <v>249</v>
      </c>
      <c r="T361" t="s">
        <v>645</v>
      </c>
      <c r="V361" t="s">
        <v>646</v>
      </c>
      <c r="W361" t="s">
        <v>40</v>
      </c>
      <c r="X361" s="6" t="s">
        <v>647</v>
      </c>
      <c r="Y361" s="6"/>
      <c r="Z361" t="s">
        <v>148</v>
      </c>
      <c r="AA361" t="s">
        <v>149</v>
      </c>
      <c r="AC361" t="s">
        <v>150</v>
      </c>
      <c r="AD361" s="6"/>
      <c r="AF361" s="3"/>
      <c r="AH361" t="b">
        <v>0</v>
      </c>
      <c r="AI361" t="b">
        <v>1</v>
      </c>
      <c r="AJ361" s="6" t="s">
        <v>427</v>
      </c>
      <c r="AK361" s="6" t="s">
        <v>171</v>
      </c>
      <c r="AL361" t="b">
        <v>0</v>
      </c>
      <c r="AM361" s="6"/>
      <c r="AN361" s="6"/>
      <c r="AP361" t="b">
        <v>0</v>
      </c>
      <c r="AQ361" s="6"/>
      <c r="AR361" s="6"/>
      <c r="AT361" t="b">
        <v>0</v>
      </c>
      <c r="AU361" s="6"/>
      <c r="AV361" s="6"/>
      <c r="AX361" t="b">
        <v>1</v>
      </c>
      <c r="AY361" s="6" t="s">
        <v>1966</v>
      </c>
      <c r="AZ361" s="6" t="s">
        <v>171</v>
      </c>
      <c r="BA361" t="b">
        <v>1</v>
      </c>
      <c r="BB361" s="6" t="s">
        <v>171</v>
      </c>
      <c r="BC361" t="b">
        <v>0</v>
      </c>
      <c r="BD361" s="6"/>
      <c r="BE361" s="6"/>
      <c r="BF361" t="b">
        <v>0</v>
      </c>
      <c r="BG361" s="6"/>
      <c r="BH361" t="b">
        <v>0</v>
      </c>
      <c r="BI361" s="6"/>
      <c r="BJ361" t="b">
        <v>0</v>
      </c>
      <c r="BL361" t="b">
        <v>0</v>
      </c>
      <c r="BM361" t="b">
        <v>0</v>
      </c>
      <c r="BN361" t="b">
        <v>0</v>
      </c>
      <c r="BO361" t="b">
        <v>1</v>
      </c>
      <c r="BQ361" t="b">
        <v>0</v>
      </c>
      <c r="BR361" s="6"/>
      <c r="BT361" t="b">
        <v>0</v>
      </c>
      <c r="BU361" t="s">
        <v>1933</v>
      </c>
      <c r="BV361" t="s">
        <v>504</v>
      </c>
      <c r="BW361" t="s">
        <v>171</v>
      </c>
      <c r="BY361" s="6" t="s">
        <v>429</v>
      </c>
      <c r="BZ361">
        <v>1</v>
      </c>
      <c r="CB361" s="7">
        <v>46315.0537962963</v>
      </c>
    </row>
    <row r="362" spans="1:80">
      <c r="A362" s="6" t="s">
        <v>2018</v>
      </c>
      <c r="B362" t="s">
        <v>491</v>
      </c>
      <c r="C362" s="6" t="s">
        <v>1931</v>
      </c>
      <c r="D362" s="6"/>
      <c r="E362" t="s">
        <v>1932</v>
      </c>
      <c r="G362" s="6">
        <v>65</v>
      </c>
      <c r="H362" s="6"/>
      <c r="I362" t="s">
        <v>491</v>
      </c>
      <c r="J362" s="3"/>
      <c r="K362" t="s">
        <v>421</v>
      </c>
      <c r="L362" t="s">
        <v>139</v>
      </c>
      <c r="N362" t="s">
        <v>393</v>
      </c>
      <c r="O362" t="s">
        <v>299</v>
      </c>
      <c r="P362" t="s">
        <v>299</v>
      </c>
      <c r="Q362" t="s">
        <v>394</v>
      </c>
      <c r="S362" t="s">
        <v>249</v>
      </c>
      <c r="T362" t="s">
        <v>395</v>
      </c>
      <c r="V362" t="s">
        <v>396</v>
      </c>
      <c r="W362" t="s">
        <v>38</v>
      </c>
      <c r="X362" s="6" t="s">
        <v>397</v>
      </c>
      <c r="Y362" s="6"/>
      <c r="Z362" t="s">
        <v>148</v>
      </c>
      <c r="AA362" t="s">
        <v>149</v>
      </c>
      <c r="AC362" t="s">
        <v>150</v>
      </c>
      <c r="AD362" s="6"/>
      <c r="AF362" s="3"/>
      <c r="AH362" t="b">
        <v>0</v>
      </c>
      <c r="AI362" t="b">
        <v>1</v>
      </c>
      <c r="AJ362" s="6" t="s">
        <v>400</v>
      </c>
      <c r="AK362" s="6" t="s">
        <v>171</v>
      </c>
      <c r="AL362" t="b">
        <v>0</v>
      </c>
      <c r="AM362" s="6"/>
      <c r="AN362" s="6"/>
      <c r="AP362" t="b">
        <v>0</v>
      </c>
      <c r="AQ362" s="6"/>
      <c r="AR362" s="6"/>
      <c r="AT362" t="b">
        <v>0</v>
      </c>
      <c r="AU362" s="6"/>
      <c r="AV362" s="6"/>
      <c r="AX362" t="b">
        <v>0</v>
      </c>
      <c r="AY362" s="6"/>
      <c r="AZ362" s="6"/>
      <c r="BA362" t="b">
        <v>0</v>
      </c>
      <c r="BB362" s="6"/>
      <c r="BC362" t="b">
        <v>0</v>
      </c>
      <c r="BD362" s="6"/>
      <c r="BE362" s="6"/>
      <c r="BF362" t="b">
        <v>0</v>
      </c>
      <c r="BG362" s="6"/>
      <c r="BH362" t="b">
        <v>0</v>
      </c>
      <c r="BI362" s="6"/>
      <c r="BJ362" t="b">
        <v>0</v>
      </c>
      <c r="BL362" t="b">
        <v>0</v>
      </c>
      <c r="BM362" t="b">
        <v>0</v>
      </c>
      <c r="BN362" t="b">
        <v>0</v>
      </c>
      <c r="BO362" t="b">
        <v>1</v>
      </c>
      <c r="BQ362" t="b">
        <v>0</v>
      </c>
      <c r="BR362" s="6"/>
      <c r="BT362" t="b">
        <v>0</v>
      </c>
      <c r="BU362" t="s">
        <v>1933</v>
      </c>
      <c r="BV362" t="s">
        <v>504</v>
      </c>
      <c r="BW362" t="s">
        <v>171</v>
      </c>
      <c r="BY362" s="6" t="s">
        <v>403</v>
      </c>
      <c r="BZ362">
        <v>1</v>
      </c>
      <c r="CB362" s="7">
        <v>46315.0537962963</v>
      </c>
    </row>
    <row r="363" spans="1:80">
      <c r="A363" s="6" t="s">
        <v>2019</v>
      </c>
      <c r="B363" t="s">
        <v>491</v>
      </c>
      <c r="C363" s="6" t="s">
        <v>1931</v>
      </c>
      <c r="D363" s="6"/>
      <c r="E363" t="s">
        <v>1932</v>
      </c>
      <c r="G363" s="6">
        <v>66</v>
      </c>
      <c r="H363" s="6"/>
      <c r="I363" t="s">
        <v>491</v>
      </c>
      <c r="J363" s="3"/>
      <c r="K363" t="s">
        <v>421</v>
      </c>
      <c r="L363" t="s">
        <v>139</v>
      </c>
      <c r="N363" t="s">
        <v>1324</v>
      </c>
      <c r="Q363" t="s">
        <v>547</v>
      </c>
      <c r="S363" t="s">
        <v>249</v>
      </c>
      <c r="T363" t="s">
        <v>1325</v>
      </c>
      <c r="V363" t="s">
        <v>1326</v>
      </c>
      <c r="W363" t="s">
        <v>36</v>
      </c>
      <c r="X363" s="6" t="s">
        <v>1327</v>
      </c>
      <c r="Y363" s="6"/>
      <c r="Z363" t="s">
        <v>148</v>
      </c>
      <c r="AA363" t="s">
        <v>149</v>
      </c>
      <c r="AC363" t="s">
        <v>150</v>
      </c>
      <c r="AD363" s="6"/>
      <c r="AF363" s="3"/>
      <c r="AH363" t="b">
        <v>0</v>
      </c>
      <c r="AI363" t="b">
        <v>1</v>
      </c>
      <c r="AJ363" s="6" t="s">
        <v>1330</v>
      </c>
      <c r="AK363" s="6" t="s">
        <v>171</v>
      </c>
      <c r="AL363" t="b">
        <v>0</v>
      </c>
      <c r="AM363" s="6"/>
      <c r="AN363" s="6"/>
      <c r="AP363" t="b">
        <v>0</v>
      </c>
      <c r="AQ363" s="6"/>
      <c r="AR363" s="6"/>
      <c r="AT363" t="b">
        <v>0</v>
      </c>
      <c r="AU363" s="6"/>
      <c r="AV363" s="6"/>
      <c r="AX363" t="b">
        <v>0</v>
      </c>
      <c r="AY363" s="6"/>
      <c r="AZ363" s="6"/>
      <c r="BA363" t="b">
        <v>0</v>
      </c>
      <c r="BB363" s="6"/>
      <c r="BC363" t="b">
        <v>0</v>
      </c>
      <c r="BD363" s="6"/>
      <c r="BE363" s="6"/>
      <c r="BF363" t="b">
        <v>0</v>
      </c>
      <c r="BG363" s="6"/>
      <c r="BH363" t="b">
        <v>0</v>
      </c>
      <c r="BI363" s="6"/>
      <c r="BJ363" t="b">
        <v>0</v>
      </c>
      <c r="BL363" t="b">
        <v>0</v>
      </c>
      <c r="BM363" t="b">
        <v>0</v>
      </c>
      <c r="BN363" t="b">
        <v>0</v>
      </c>
      <c r="BO363" t="b">
        <v>1</v>
      </c>
      <c r="BQ363" t="b">
        <v>0</v>
      </c>
      <c r="BR363" s="6"/>
      <c r="BT363" t="b">
        <v>0</v>
      </c>
      <c r="BU363" t="s">
        <v>1933</v>
      </c>
      <c r="BV363" t="s">
        <v>504</v>
      </c>
      <c r="BW363" t="s">
        <v>154</v>
      </c>
      <c r="BX363" t="s">
        <v>305</v>
      </c>
      <c r="BY363" s="6" t="s">
        <v>1331</v>
      </c>
      <c r="BZ363">
        <v>1</v>
      </c>
      <c r="CA363" t="s">
        <v>157</v>
      </c>
      <c r="CB363" s="7">
        <v>46315.0537962963</v>
      </c>
    </row>
    <row r="364" spans="1:80">
      <c r="A364" s="6" t="s">
        <v>2020</v>
      </c>
      <c r="B364" t="s">
        <v>491</v>
      </c>
      <c r="C364" s="6" t="s">
        <v>1931</v>
      </c>
      <c r="D364" s="6"/>
      <c r="E364" t="s">
        <v>1932</v>
      </c>
      <c r="G364" s="6">
        <v>67</v>
      </c>
      <c r="H364" s="6"/>
      <c r="I364" t="s">
        <v>491</v>
      </c>
      <c r="J364" s="3"/>
      <c r="K364" t="s">
        <v>421</v>
      </c>
      <c r="L364" t="s">
        <v>139</v>
      </c>
      <c r="N364" t="s">
        <v>479</v>
      </c>
      <c r="Q364" t="s">
        <v>423</v>
      </c>
      <c r="S364" t="s">
        <v>249</v>
      </c>
      <c r="T364" t="s">
        <v>480</v>
      </c>
      <c r="V364" t="s">
        <v>481</v>
      </c>
      <c r="W364" t="s">
        <v>39</v>
      </c>
      <c r="X364" s="6" t="s">
        <v>482</v>
      </c>
      <c r="Y364" s="6"/>
      <c r="Z364" t="s">
        <v>148</v>
      </c>
      <c r="AA364" t="s">
        <v>149</v>
      </c>
      <c r="AC364" t="s">
        <v>150</v>
      </c>
      <c r="AD364" s="6"/>
      <c r="AF364" s="3"/>
      <c r="AH364" t="b">
        <v>0</v>
      </c>
      <c r="AI364" t="b">
        <v>1</v>
      </c>
      <c r="AJ364" s="6" t="s">
        <v>483</v>
      </c>
      <c r="AK364" s="6" t="s">
        <v>171</v>
      </c>
      <c r="AL364" t="b">
        <v>0</v>
      </c>
      <c r="AM364" s="6"/>
      <c r="AN364" s="6"/>
      <c r="AP364" t="b">
        <v>0</v>
      </c>
      <c r="AQ364" s="6"/>
      <c r="AR364" s="6"/>
      <c r="AT364" t="b">
        <v>0</v>
      </c>
      <c r="AU364" s="6"/>
      <c r="AV364" s="6"/>
      <c r="AX364" t="b">
        <v>1</v>
      </c>
      <c r="AY364" s="6" t="s">
        <v>1971</v>
      </c>
      <c r="AZ364" s="6" t="s">
        <v>171</v>
      </c>
      <c r="BA364" t="b">
        <v>1</v>
      </c>
      <c r="BB364" s="6" t="s">
        <v>171</v>
      </c>
      <c r="BC364" t="b">
        <v>0</v>
      </c>
      <c r="BD364" s="6"/>
      <c r="BE364" s="6"/>
      <c r="BF364" t="b">
        <v>0</v>
      </c>
      <c r="BG364" s="6"/>
      <c r="BH364" t="b">
        <v>0</v>
      </c>
      <c r="BI364" s="6"/>
      <c r="BJ364" t="b">
        <v>0</v>
      </c>
      <c r="BL364" t="b">
        <v>0</v>
      </c>
      <c r="BM364" t="b">
        <v>0</v>
      </c>
      <c r="BN364" t="b">
        <v>0</v>
      </c>
      <c r="BO364" t="b">
        <v>1</v>
      </c>
      <c r="BQ364" t="b">
        <v>0</v>
      </c>
      <c r="BR364" s="6"/>
      <c r="BT364" t="b">
        <v>0</v>
      </c>
      <c r="BU364" t="s">
        <v>1933</v>
      </c>
      <c r="BV364" t="s">
        <v>504</v>
      </c>
      <c r="BW364" t="s">
        <v>171</v>
      </c>
      <c r="BY364" s="6" t="s">
        <v>485</v>
      </c>
      <c r="BZ364">
        <v>1</v>
      </c>
      <c r="CB364" s="7">
        <v>46315.0537962963</v>
      </c>
    </row>
    <row r="365" spans="1:80">
      <c r="A365" s="6" t="s">
        <v>2021</v>
      </c>
      <c r="B365" t="s">
        <v>491</v>
      </c>
      <c r="C365" s="6" t="s">
        <v>1931</v>
      </c>
      <c r="D365" s="6"/>
      <c r="E365" t="s">
        <v>1932</v>
      </c>
      <c r="G365" s="6">
        <v>68</v>
      </c>
      <c r="H365" s="6"/>
      <c r="I365" t="s">
        <v>491</v>
      </c>
      <c r="J365" s="3"/>
      <c r="K365" t="s">
        <v>421</v>
      </c>
      <c r="L365" t="s">
        <v>139</v>
      </c>
      <c r="N365" t="s">
        <v>371</v>
      </c>
      <c r="Q365" t="s">
        <v>372</v>
      </c>
      <c r="S365" t="s">
        <v>249</v>
      </c>
      <c r="T365" t="s">
        <v>373</v>
      </c>
      <c r="U365" t="s">
        <v>374</v>
      </c>
      <c r="V365" t="s">
        <v>375</v>
      </c>
      <c r="W365" t="s">
        <v>33</v>
      </c>
      <c r="X365" s="6" t="s">
        <v>376</v>
      </c>
      <c r="Y365" s="6"/>
      <c r="Z365" t="s">
        <v>148</v>
      </c>
      <c r="AA365" t="s">
        <v>149</v>
      </c>
      <c r="AC365" t="s">
        <v>150</v>
      </c>
      <c r="AD365" s="6"/>
      <c r="AF365" s="3"/>
      <c r="AH365" t="b">
        <v>0</v>
      </c>
      <c r="AI365" t="b">
        <v>1</v>
      </c>
      <c r="AJ365" s="6" t="s">
        <v>379</v>
      </c>
      <c r="AK365" s="6" t="s">
        <v>171</v>
      </c>
      <c r="AL365" t="b">
        <v>0</v>
      </c>
      <c r="AM365" s="6"/>
      <c r="AN365" s="6"/>
      <c r="AP365" t="b">
        <v>0</v>
      </c>
      <c r="AQ365" s="6"/>
      <c r="AR365" s="6"/>
      <c r="AT365" t="b">
        <v>0</v>
      </c>
      <c r="AU365" s="6"/>
      <c r="AV365" s="6"/>
      <c r="AX365" t="b">
        <v>1</v>
      </c>
      <c r="AY365" s="6" t="s">
        <v>1973</v>
      </c>
      <c r="AZ365" s="6" t="s">
        <v>171</v>
      </c>
      <c r="BA365" t="b">
        <v>1</v>
      </c>
      <c r="BB365" s="6" t="s">
        <v>171</v>
      </c>
      <c r="BC365" t="b">
        <v>0</v>
      </c>
      <c r="BD365" s="6"/>
      <c r="BE365" s="6"/>
      <c r="BF365" t="b">
        <v>0</v>
      </c>
      <c r="BG365" s="6"/>
      <c r="BH365" t="b">
        <v>0</v>
      </c>
      <c r="BI365" s="6"/>
      <c r="BJ365" t="b">
        <v>0</v>
      </c>
      <c r="BL365" t="b">
        <v>0</v>
      </c>
      <c r="BM365" t="b">
        <v>0</v>
      </c>
      <c r="BN365" t="b">
        <v>0</v>
      </c>
      <c r="BO365" t="b">
        <v>1</v>
      </c>
      <c r="BQ365" t="b">
        <v>0</v>
      </c>
      <c r="BR365" s="6"/>
      <c r="BT365" t="b">
        <v>0</v>
      </c>
      <c r="BU365" t="s">
        <v>1933</v>
      </c>
      <c r="BV365" t="s">
        <v>504</v>
      </c>
      <c r="BW365" t="s">
        <v>171</v>
      </c>
      <c r="BX365" t="s">
        <v>50</v>
      </c>
      <c r="BY365" s="6" t="s">
        <v>382</v>
      </c>
      <c r="BZ365">
        <v>1</v>
      </c>
      <c r="CB365" s="7">
        <v>46315.0537962963</v>
      </c>
    </row>
    <row r="366" spans="1:80">
      <c r="A366" s="6" t="s">
        <v>2022</v>
      </c>
      <c r="B366" t="s">
        <v>491</v>
      </c>
      <c r="C366" s="6" t="s">
        <v>1931</v>
      </c>
      <c r="D366" s="6"/>
      <c r="E366" t="s">
        <v>1932</v>
      </c>
      <c r="G366" s="6">
        <v>69</v>
      </c>
      <c r="H366" s="6"/>
      <c r="I366" t="s">
        <v>491</v>
      </c>
      <c r="J366" s="3"/>
      <c r="K366" t="s">
        <v>421</v>
      </c>
      <c r="L366" t="s">
        <v>139</v>
      </c>
      <c r="N366" t="s">
        <v>281</v>
      </c>
      <c r="O366" t="s">
        <v>142</v>
      </c>
      <c r="P366" t="s">
        <v>142</v>
      </c>
      <c r="Q366" t="s">
        <v>282</v>
      </c>
      <c r="S366" t="s">
        <v>249</v>
      </c>
      <c r="T366" t="s">
        <v>283</v>
      </c>
      <c r="V366" t="s">
        <v>284</v>
      </c>
      <c r="W366" t="s">
        <v>39</v>
      </c>
      <c r="X366" s="6" t="s">
        <v>627</v>
      </c>
      <c r="Y366" s="6"/>
      <c r="Z366" t="s">
        <v>148</v>
      </c>
      <c r="AA366" t="s">
        <v>149</v>
      </c>
      <c r="AC366" t="s">
        <v>150</v>
      </c>
      <c r="AD366" s="6"/>
      <c r="AF366" s="3"/>
      <c r="AH366" t="b">
        <v>0</v>
      </c>
      <c r="AI366" t="b">
        <v>1</v>
      </c>
      <c r="AJ366" s="6" t="s">
        <v>628</v>
      </c>
      <c r="AK366" s="6" t="s">
        <v>171</v>
      </c>
      <c r="AL366" t="b">
        <v>0</v>
      </c>
      <c r="AM366" s="6"/>
      <c r="AN366" s="6"/>
      <c r="AP366" t="b">
        <v>0</v>
      </c>
      <c r="AQ366" s="6"/>
      <c r="AR366" s="6"/>
      <c r="AT366" t="b">
        <v>0</v>
      </c>
      <c r="AU366" s="6"/>
      <c r="AV366" s="6"/>
      <c r="AX366" t="b">
        <v>0</v>
      </c>
      <c r="AY366" s="6"/>
      <c r="AZ366" s="6"/>
      <c r="BA366" t="b">
        <v>0</v>
      </c>
      <c r="BB366" s="6"/>
      <c r="BC366" t="b">
        <v>0</v>
      </c>
      <c r="BD366" s="6"/>
      <c r="BE366" s="6"/>
      <c r="BF366" t="b">
        <v>0</v>
      </c>
      <c r="BG366" s="6"/>
      <c r="BH366" t="b">
        <v>0</v>
      </c>
      <c r="BI366" s="6"/>
      <c r="BJ366" t="b">
        <v>0</v>
      </c>
      <c r="BL366" t="b">
        <v>0</v>
      </c>
      <c r="BM366" t="b">
        <v>0</v>
      </c>
      <c r="BN366" t="b">
        <v>0</v>
      </c>
      <c r="BO366" t="b">
        <v>1</v>
      </c>
      <c r="BQ366" t="b">
        <v>0</v>
      </c>
      <c r="BR366" s="6"/>
      <c r="BT366" t="b">
        <v>0</v>
      </c>
      <c r="BU366" t="s">
        <v>1933</v>
      </c>
      <c r="BV366" t="s">
        <v>504</v>
      </c>
      <c r="BW366" t="s">
        <v>171</v>
      </c>
      <c r="BY366" s="6" t="s">
        <v>291</v>
      </c>
      <c r="BZ366">
        <v>0.9</v>
      </c>
      <c r="CB366" s="7">
        <v>46315.0537962963</v>
      </c>
    </row>
    <row r="367" spans="1:80">
      <c r="A367" s="6" t="s">
        <v>2023</v>
      </c>
      <c r="B367" t="s">
        <v>491</v>
      </c>
      <c r="C367" s="6" t="s">
        <v>1931</v>
      </c>
      <c r="D367" s="6"/>
      <c r="E367" t="s">
        <v>1932</v>
      </c>
      <c r="G367" s="6">
        <v>70</v>
      </c>
      <c r="H367" s="6"/>
      <c r="I367" t="s">
        <v>491</v>
      </c>
      <c r="J367" s="3"/>
      <c r="K367" t="s">
        <v>421</v>
      </c>
      <c r="L367" t="s">
        <v>139</v>
      </c>
      <c r="N367" t="s">
        <v>610</v>
      </c>
      <c r="Q367" t="s">
        <v>611</v>
      </c>
      <c r="S367" t="s">
        <v>249</v>
      </c>
      <c r="T367" t="s">
        <v>612</v>
      </c>
      <c r="U367" t="s">
        <v>613</v>
      </c>
      <c r="V367" t="s">
        <v>614</v>
      </c>
      <c r="W367" t="s">
        <v>39</v>
      </c>
      <c r="X367" s="6" t="s">
        <v>615</v>
      </c>
      <c r="Y367" s="6"/>
      <c r="Z367" t="s">
        <v>148</v>
      </c>
      <c r="AA367" t="s">
        <v>205</v>
      </c>
      <c r="AC367" t="s">
        <v>150</v>
      </c>
      <c r="AD367" s="6"/>
      <c r="AF367" s="3"/>
      <c r="AH367" t="b">
        <v>0</v>
      </c>
      <c r="AI367" t="b">
        <v>1</v>
      </c>
      <c r="AJ367" s="6" t="s">
        <v>616</v>
      </c>
      <c r="AK367" s="6" t="s">
        <v>171</v>
      </c>
      <c r="AL367" t="b">
        <v>0</v>
      </c>
      <c r="AM367" s="6"/>
      <c r="AN367" s="6"/>
      <c r="AP367" t="b">
        <v>0</v>
      </c>
      <c r="AQ367" s="6"/>
      <c r="AR367" s="6"/>
      <c r="AT367" t="b">
        <v>0</v>
      </c>
      <c r="AU367" s="6"/>
      <c r="AV367" s="6"/>
      <c r="AX367" t="b">
        <v>0</v>
      </c>
      <c r="AY367" s="6"/>
      <c r="AZ367" s="6"/>
      <c r="BA367" t="b">
        <v>0</v>
      </c>
      <c r="BB367" s="6"/>
      <c r="BC367" t="b">
        <v>0</v>
      </c>
      <c r="BD367" s="6"/>
      <c r="BE367" s="6"/>
      <c r="BF367" t="b">
        <v>0</v>
      </c>
      <c r="BG367" s="6"/>
      <c r="BH367" t="b">
        <v>0</v>
      </c>
      <c r="BI367" s="6"/>
      <c r="BJ367" t="b">
        <v>0</v>
      </c>
      <c r="BL367" t="b">
        <v>0</v>
      </c>
      <c r="BM367" t="b">
        <v>0</v>
      </c>
      <c r="BN367" t="b">
        <v>0</v>
      </c>
      <c r="BO367" t="b">
        <v>1</v>
      </c>
      <c r="BQ367" t="b">
        <v>0</v>
      </c>
      <c r="BR367" s="6"/>
      <c r="BT367" t="b">
        <v>0</v>
      </c>
      <c r="BU367" t="s">
        <v>1933</v>
      </c>
      <c r="BV367" t="s">
        <v>504</v>
      </c>
      <c r="BW367" t="s">
        <v>154</v>
      </c>
      <c r="BX367" t="s">
        <v>618</v>
      </c>
      <c r="BY367" s="6" t="s">
        <v>619</v>
      </c>
      <c r="BZ367">
        <v>1</v>
      </c>
      <c r="CA367" t="s">
        <v>157</v>
      </c>
      <c r="CB367" s="7">
        <v>46315.0537962963</v>
      </c>
    </row>
    <row r="368" spans="1:80">
      <c r="A368" s="6" t="s">
        <v>2024</v>
      </c>
      <c r="B368" t="s">
        <v>491</v>
      </c>
      <c r="C368" s="6" t="s">
        <v>1931</v>
      </c>
      <c r="D368" s="6"/>
      <c r="E368" t="s">
        <v>1932</v>
      </c>
      <c r="G368" s="6">
        <v>71</v>
      </c>
      <c r="H368" s="6"/>
      <c r="I368" t="s">
        <v>491</v>
      </c>
      <c r="J368" s="3"/>
      <c r="K368" t="s">
        <v>421</v>
      </c>
      <c r="L368" t="s">
        <v>139</v>
      </c>
      <c r="N368" t="s">
        <v>298</v>
      </c>
      <c r="O368" t="s">
        <v>299</v>
      </c>
      <c r="P368" t="s">
        <v>299</v>
      </c>
      <c r="Q368" t="s">
        <v>300</v>
      </c>
      <c r="S368" t="s">
        <v>249</v>
      </c>
      <c r="T368" t="s">
        <v>301</v>
      </c>
      <c r="V368" t="s">
        <v>302</v>
      </c>
      <c r="W368" t="s">
        <v>35</v>
      </c>
      <c r="X368" s="6" t="s">
        <v>303</v>
      </c>
      <c r="Y368" s="6"/>
      <c r="Z368" t="s">
        <v>148</v>
      </c>
      <c r="AA368" t="s">
        <v>149</v>
      </c>
      <c r="AC368" t="s">
        <v>150</v>
      </c>
      <c r="AD368" s="6"/>
      <c r="AF368" s="3"/>
      <c r="AH368" t="b">
        <v>0</v>
      </c>
      <c r="AI368" t="b">
        <v>1</v>
      </c>
      <c r="AJ368" s="6" t="s">
        <v>573</v>
      </c>
      <c r="AK368" s="6" t="s">
        <v>1935</v>
      </c>
      <c r="AL368" t="b">
        <v>0</v>
      </c>
      <c r="AM368" s="6"/>
      <c r="AN368" s="6"/>
      <c r="AP368" t="b">
        <v>0</v>
      </c>
      <c r="AQ368" s="6"/>
      <c r="AR368" s="6"/>
      <c r="AT368" t="b">
        <v>0</v>
      </c>
      <c r="AU368" s="6"/>
      <c r="AV368" s="6"/>
      <c r="AX368" t="b">
        <v>0</v>
      </c>
      <c r="AY368" s="6"/>
      <c r="AZ368" s="6"/>
      <c r="BA368" t="b">
        <v>0</v>
      </c>
      <c r="BB368" s="6"/>
      <c r="BC368" t="b">
        <v>0</v>
      </c>
      <c r="BD368" s="6"/>
      <c r="BE368" s="6"/>
      <c r="BF368" t="b">
        <v>0</v>
      </c>
      <c r="BG368" s="6"/>
      <c r="BH368" t="b">
        <v>0</v>
      </c>
      <c r="BI368" s="6"/>
      <c r="BJ368" t="b">
        <v>0</v>
      </c>
      <c r="BL368" t="b">
        <v>0</v>
      </c>
      <c r="BM368" t="b">
        <v>0</v>
      </c>
      <c r="BN368" t="b">
        <v>0</v>
      </c>
      <c r="BO368" t="b">
        <v>1</v>
      </c>
      <c r="BQ368" t="b">
        <v>0</v>
      </c>
      <c r="BR368" s="6"/>
      <c r="BT368" t="b">
        <v>0</v>
      </c>
      <c r="BU368" t="s">
        <v>1933</v>
      </c>
      <c r="BV368" t="s">
        <v>504</v>
      </c>
      <c r="BW368" t="s">
        <v>154</v>
      </c>
      <c r="BX368" t="s">
        <v>1977</v>
      </c>
      <c r="BY368" s="6" t="s">
        <v>306</v>
      </c>
      <c r="BZ368">
        <v>1</v>
      </c>
      <c r="CA368" t="s">
        <v>157</v>
      </c>
      <c r="CB368" s="7">
        <v>46315.0537962963</v>
      </c>
    </row>
    <row r="369" spans="1:80">
      <c r="A369" s="6" t="s">
        <v>2025</v>
      </c>
      <c r="B369" t="s">
        <v>491</v>
      </c>
      <c r="C369" s="6" t="s">
        <v>1931</v>
      </c>
      <c r="D369" s="6"/>
      <c r="E369" t="s">
        <v>1932</v>
      </c>
      <c r="G369" s="6">
        <v>72</v>
      </c>
      <c r="H369" s="6"/>
      <c r="I369" t="s">
        <v>491</v>
      </c>
      <c r="J369" s="3"/>
      <c r="K369" t="s">
        <v>421</v>
      </c>
      <c r="L369" t="s">
        <v>139</v>
      </c>
      <c r="N369" t="s">
        <v>314</v>
      </c>
      <c r="O369" t="s">
        <v>163</v>
      </c>
      <c r="P369" t="s">
        <v>163</v>
      </c>
      <c r="Q369" t="s">
        <v>315</v>
      </c>
      <c r="S369" t="s">
        <v>249</v>
      </c>
      <c r="T369" t="s">
        <v>316</v>
      </c>
      <c r="V369" t="s">
        <v>317</v>
      </c>
      <c r="W369" t="s">
        <v>34</v>
      </c>
      <c r="X369" s="6" t="s">
        <v>318</v>
      </c>
      <c r="Y369" s="6"/>
      <c r="Z369" t="s">
        <v>148</v>
      </c>
      <c r="AA369" t="s">
        <v>149</v>
      </c>
      <c r="AC369" t="s">
        <v>150</v>
      </c>
      <c r="AD369" s="6"/>
      <c r="AF369" s="3"/>
      <c r="AH369" t="b">
        <v>0</v>
      </c>
      <c r="AI369" t="b">
        <v>1</v>
      </c>
      <c r="AJ369" s="6" t="s">
        <v>555</v>
      </c>
      <c r="AK369" s="6" t="s">
        <v>171</v>
      </c>
      <c r="AL369" t="b">
        <v>0</v>
      </c>
      <c r="AM369" s="6"/>
      <c r="AN369" s="6"/>
      <c r="AP369" t="b">
        <v>0</v>
      </c>
      <c r="AQ369" s="6"/>
      <c r="AR369" s="6"/>
      <c r="AT369" t="b">
        <v>0</v>
      </c>
      <c r="AU369" s="6"/>
      <c r="AV369" s="6"/>
      <c r="AX369" t="b">
        <v>1</v>
      </c>
      <c r="AY369" s="6" t="s">
        <v>1979</v>
      </c>
      <c r="AZ369" s="6" t="s">
        <v>171</v>
      </c>
      <c r="BA369" t="b">
        <v>1</v>
      </c>
      <c r="BB369" s="6" t="s">
        <v>171</v>
      </c>
      <c r="BC369" t="b">
        <v>0</v>
      </c>
      <c r="BD369" s="6"/>
      <c r="BE369" s="6"/>
      <c r="BF369" t="b">
        <v>0</v>
      </c>
      <c r="BG369" s="6"/>
      <c r="BH369" t="b">
        <v>0</v>
      </c>
      <c r="BI369" s="6"/>
      <c r="BJ369" t="b">
        <v>0</v>
      </c>
      <c r="BL369" t="b">
        <v>0</v>
      </c>
      <c r="BM369" t="b">
        <v>0</v>
      </c>
      <c r="BN369" t="b">
        <v>0</v>
      </c>
      <c r="BO369" t="b">
        <v>1</v>
      </c>
      <c r="BQ369" t="b">
        <v>0</v>
      </c>
      <c r="BR369" s="6"/>
      <c r="BT369" t="b">
        <v>0</v>
      </c>
      <c r="BU369" t="s">
        <v>1933</v>
      </c>
      <c r="BV369" t="s">
        <v>504</v>
      </c>
      <c r="BW369" t="s">
        <v>154</v>
      </c>
      <c r="BX369" t="s">
        <v>44</v>
      </c>
      <c r="BY369" s="6" t="s">
        <v>321</v>
      </c>
      <c r="BZ369">
        <v>1</v>
      </c>
      <c r="CA369" t="s">
        <v>157</v>
      </c>
      <c r="CB369" s="7">
        <v>46315.0537962963</v>
      </c>
    </row>
    <row r="370" spans="1:80">
      <c r="A370" s="6" t="s">
        <v>2026</v>
      </c>
      <c r="B370" t="s">
        <v>491</v>
      </c>
      <c r="C370" s="6" t="s">
        <v>1931</v>
      </c>
      <c r="D370" s="6"/>
      <c r="E370" t="s">
        <v>1932</v>
      </c>
      <c r="G370" s="6">
        <v>73</v>
      </c>
      <c r="H370" s="6"/>
      <c r="I370" t="s">
        <v>491</v>
      </c>
      <c r="J370" s="3"/>
      <c r="K370" t="s">
        <v>421</v>
      </c>
      <c r="L370" t="s">
        <v>139</v>
      </c>
      <c r="N370" t="s">
        <v>199</v>
      </c>
      <c r="Q370" t="s">
        <v>200</v>
      </c>
      <c r="R370" t="s">
        <v>201</v>
      </c>
      <c r="S370" t="s">
        <v>249</v>
      </c>
      <c r="T370" t="s">
        <v>202</v>
      </c>
      <c r="V370" t="s">
        <v>203</v>
      </c>
      <c r="W370" t="s">
        <v>34</v>
      </c>
      <c r="X370" s="6" t="s">
        <v>204</v>
      </c>
      <c r="Y370" s="6"/>
      <c r="Z370" t="s">
        <v>148</v>
      </c>
      <c r="AA370" t="s">
        <v>205</v>
      </c>
      <c r="AC370" t="s">
        <v>150</v>
      </c>
      <c r="AD370" s="6"/>
      <c r="AF370" s="3"/>
      <c r="AH370" t="b">
        <v>0</v>
      </c>
      <c r="AI370" t="b">
        <v>1</v>
      </c>
      <c r="AJ370" s="6" t="s">
        <v>632</v>
      </c>
      <c r="AK370" s="6" t="s">
        <v>171</v>
      </c>
      <c r="AL370" t="b">
        <v>0</v>
      </c>
      <c r="AM370" s="6"/>
      <c r="AN370" s="6"/>
      <c r="AP370" t="b">
        <v>0</v>
      </c>
      <c r="AQ370" s="6"/>
      <c r="AR370" s="6"/>
      <c r="AT370" t="b">
        <v>0</v>
      </c>
      <c r="AU370" s="6"/>
      <c r="AV370" s="6"/>
      <c r="AX370" t="b">
        <v>0</v>
      </c>
      <c r="AY370" s="6"/>
      <c r="AZ370" s="6"/>
      <c r="BA370" t="b">
        <v>0</v>
      </c>
      <c r="BB370" s="6"/>
      <c r="BC370" t="b">
        <v>0</v>
      </c>
      <c r="BD370" s="6"/>
      <c r="BE370" s="6"/>
      <c r="BF370" t="b">
        <v>0</v>
      </c>
      <c r="BG370" s="6"/>
      <c r="BH370" t="b">
        <v>0</v>
      </c>
      <c r="BI370" s="6"/>
      <c r="BJ370" t="b">
        <v>0</v>
      </c>
      <c r="BL370" t="b">
        <v>0</v>
      </c>
      <c r="BM370" t="b">
        <v>0</v>
      </c>
      <c r="BN370" t="b">
        <v>0</v>
      </c>
      <c r="BO370" t="b">
        <v>1</v>
      </c>
      <c r="BQ370" t="b">
        <v>0</v>
      </c>
      <c r="BR370" s="6"/>
      <c r="BT370" t="b">
        <v>0</v>
      </c>
      <c r="BU370" t="s">
        <v>1933</v>
      </c>
      <c r="BV370" t="s">
        <v>504</v>
      </c>
      <c r="BW370" t="s">
        <v>154</v>
      </c>
      <c r="BX370" t="s">
        <v>43</v>
      </c>
      <c r="BY370" s="6" t="s">
        <v>207</v>
      </c>
      <c r="BZ370">
        <v>1</v>
      </c>
      <c r="CA370" t="s">
        <v>157</v>
      </c>
      <c r="CB370" s="7">
        <v>46315.0537962963</v>
      </c>
    </row>
    <row r="371" spans="1:80">
      <c r="A371" s="6" t="s">
        <v>2027</v>
      </c>
      <c r="B371" t="s">
        <v>491</v>
      </c>
      <c r="C371" s="6" t="s">
        <v>1931</v>
      </c>
      <c r="D371" s="6"/>
      <c r="E371" t="s">
        <v>1932</v>
      </c>
      <c r="G371" s="6">
        <v>74</v>
      </c>
      <c r="H371" s="6"/>
      <c r="I371" t="s">
        <v>491</v>
      </c>
      <c r="J371" s="3"/>
      <c r="K371" t="s">
        <v>421</v>
      </c>
      <c r="L371" t="s">
        <v>139</v>
      </c>
      <c r="N371" t="s">
        <v>188</v>
      </c>
      <c r="O371" t="s">
        <v>299</v>
      </c>
      <c r="P371" t="s">
        <v>299</v>
      </c>
      <c r="Q371" t="s">
        <v>601</v>
      </c>
      <c r="S371" t="s">
        <v>249</v>
      </c>
      <c r="T371" t="s">
        <v>602</v>
      </c>
      <c r="V371" t="s">
        <v>603</v>
      </c>
      <c r="W371" t="s">
        <v>40</v>
      </c>
      <c r="X371" s="6" t="s">
        <v>604</v>
      </c>
      <c r="Y371" s="6"/>
      <c r="Z371" t="s">
        <v>148</v>
      </c>
      <c r="AA371" t="s">
        <v>149</v>
      </c>
      <c r="AC371" t="s">
        <v>150</v>
      </c>
      <c r="AD371" s="6"/>
      <c r="AF371" s="3"/>
      <c r="AH371" t="b">
        <v>0</v>
      </c>
      <c r="AI371" t="b">
        <v>1</v>
      </c>
      <c r="AJ371" s="6" t="s">
        <v>605</v>
      </c>
      <c r="AK371" s="6" t="s">
        <v>1935</v>
      </c>
      <c r="AL371" t="b">
        <v>0</v>
      </c>
      <c r="AM371" s="6"/>
      <c r="AN371" s="6"/>
      <c r="AP371" t="b">
        <v>0</v>
      </c>
      <c r="AQ371" s="6"/>
      <c r="AR371" s="6"/>
      <c r="AT371" t="b">
        <v>0</v>
      </c>
      <c r="AU371" s="6"/>
      <c r="AV371" s="6"/>
      <c r="AX371" t="b">
        <v>1</v>
      </c>
      <c r="AY371" s="6" t="s">
        <v>1982</v>
      </c>
      <c r="AZ371" s="6" t="s">
        <v>171</v>
      </c>
      <c r="BA371" t="b">
        <v>1</v>
      </c>
      <c r="BB371" s="6" t="s">
        <v>171</v>
      </c>
      <c r="BC371" t="b">
        <v>0</v>
      </c>
      <c r="BD371" s="6"/>
      <c r="BE371" s="6"/>
      <c r="BF371" t="b">
        <v>0</v>
      </c>
      <c r="BG371" s="6"/>
      <c r="BH371" t="b">
        <v>0</v>
      </c>
      <c r="BI371" s="6"/>
      <c r="BJ371" t="b">
        <v>0</v>
      </c>
      <c r="BL371" t="b">
        <v>0</v>
      </c>
      <c r="BM371" t="b">
        <v>0</v>
      </c>
      <c r="BN371" t="b">
        <v>0</v>
      </c>
      <c r="BO371" t="b">
        <v>1</v>
      </c>
      <c r="BQ371" t="b">
        <v>0</v>
      </c>
      <c r="BR371" s="6"/>
      <c r="BT371" t="b">
        <v>0</v>
      </c>
      <c r="BU371" t="s">
        <v>1933</v>
      </c>
      <c r="BV371" t="s">
        <v>504</v>
      </c>
      <c r="BW371" t="s">
        <v>154</v>
      </c>
      <c r="BX371" t="s">
        <v>1935</v>
      </c>
      <c r="BY371" s="6" t="s">
        <v>607</v>
      </c>
      <c r="BZ371">
        <v>1</v>
      </c>
      <c r="CA371" t="s">
        <v>157</v>
      </c>
      <c r="CB371" s="7">
        <v>46315.0537962963</v>
      </c>
    </row>
    <row r="372" spans="1:80">
      <c r="A372" s="6" t="s">
        <v>2028</v>
      </c>
      <c r="B372" t="s">
        <v>491</v>
      </c>
      <c r="C372" s="6" t="s">
        <v>1931</v>
      </c>
      <c r="D372" s="6"/>
      <c r="E372" t="s">
        <v>1932</v>
      </c>
      <c r="G372" s="6">
        <v>75</v>
      </c>
      <c r="H372" s="6"/>
      <c r="I372" t="s">
        <v>491</v>
      </c>
      <c r="J372" s="3"/>
      <c r="K372" t="s">
        <v>421</v>
      </c>
      <c r="L372" t="s">
        <v>139</v>
      </c>
      <c r="N372" t="s">
        <v>468</v>
      </c>
      <c r="O372" t="s">
        <v>163</v>
      </c>
      <c r="P372" t="s">
        <v>163</v>
      </c>
      <c r="Q372" t="s">
        <v>469</v>
      </c>
      <c r="S372" t="s">
        <v>249</v>
      </c>
      <c r="T372" t="s">
        <v>470</v>
      </c>
      <c r="V372" t="s">
        <v>471</v>
      </c>
      <c r="W372" t="s">
        <v>38</v>
      </c>
      <c r="X372" s="6" t="s">
        <v>472</v>
      </c>
      <c r="Y372" s="6"/>
      <c r="Z372" t="s">
        <v>148</v>
      </c>
      <c r="AA372" t="s">
        <v>149</v>
      </c>
      <c r="AC372" t="s">
        <v>150</v>
      </c>
      <c r="AD372" s="6"/>
      <c r="AF372" s="3"/>
      <c r="AH372" t="b">
        <v>0</v>
      </c>
      <c r="AI372" t="b">
        <v>1</v>
      </c>
      <c r="AJ372" s="6" t="s">
        <v>473</v>
      </c>
      <c r="AK372" s="6" t="s">
        <v>171</v>
      </c>
      <c r="AL372" t="b">
        <v>0</v>
      </c>
      <c r="AM372" s="6"/>
      <c r="AN372" s="6"/>
      <c r="AP372" t="b">
        <v>0</v>
      </c>
      <c r="AQ372" s="6"/>
      <c r="AR372" s="6"/>
      <c r="AT372" t="b">
        <v>0</v>
      </c>
      <c r="AU372" s="6"/>
      <c r="AV372" s="6"/>
      <c r="AX372" t="b">
        <v>0</v>
      </c>
      <c r="AY372" s="6"/>
      <c r="AZ372" s="6"/>
      <c r="BA372" t="b">
        <v>0</v>
      </c>
      <c r="BB372" s="6"/>
      <c r="BC372" t="b">
        <v>0</v>
      </c>
      <c r="BD372" s="6"/>
      <c r="BE372" s="6"/>
      <c r="BF372" t="b">
        <v>0</v>
      </c>
      <c r="BG372" s="6"/>
      <c r="BH372" t="b">
        <v>0</v>
      </c>
      <c r="BI372" s="6"/>
      <c r="BJ372" t="b">
        <v>0</v>
      </c>
      <c r="BL372" t="b">
        <v>0</v>
      </c>
      <c r="BM372" t="b">
        <v>0</v>
      </c>
      <c r="BN372" t="b">
        <v>0</v>
      </c>
      <c r="BO372" t="b">
        <v>1</v>
      </c>
      <c r="BQ372" t="b">
        <v>0</v>
      </c>
      <c r="BR372" s="6"/>
      <c r="BT372" t="b">
        <v>0</v>
      </c>
      <c r="BU372" t="s">
        <v>1933</v>
      </c>
      <c r="BV372" t="s">
        <v>504</v>
      </c>
      <c r="BW372" t="s">
        <v>171</v>
      </c>
      <c r="BY372" s="6" t="s">
        <v>475</v>
      </c>
      <c r="BZ372">
        <v>1</v>
      </c>
      <c r="CB372" s="7">
        <v>46315.0537962963</v>
      </c>
    </row>
    <row r="373" spans="1:80">
      <c r="A373" s="6" t="s">
        <v>2029</v>
      </c>
      <c r="B373" t="s">
        <v>491</v>
      </c>
      <c r="C373" s="6" t="s">
        <v>1931</v>
      </c>
      <c r="D373" s="6"/>
      <c r="E373" t="s">
        <v>1932</v>
      </c>
      <c r="G373" s="6">
        <v>76</v>
      </c>
      <c r="H373" s="6"/>
      <c r="I373" t="s">
        <v>491</v>
      </c>
      <c r="J373" s="3"/>
      <c r="K373" t="s">
        <v>421</v>
      </c>
      <c r="L373" t="s">
        <v>139</v>
      </c>
      <c r="N373" t="s">
        <v>458</v>
      </c>
      <c r="O373" t="s">
        <v>163</v>
      </c>
      <c r="P373" t="s">
        <v>163</v>
      </c>
      <c r="Q373" t="s">
        <v>459</v>
      </c>
      <c r="S373" t="s">
        <v>249</v>
      </c>
      <c r="T373" t="s">
        <v>460</v>
      </c>
      <c r="V373" t="s">
        <v>461</v>
      </c>
      <c r="W373" t="s">
        <v>37</v>
      </c>
      <c r="X373" s="6" t="s">
        <v>462</v>
      </c>
      <c r="Y373" s="6"/>
      <c r="Z373" t="s">
        <v>148</v>
      </c>
      <c r="AA373" t="s">
        <v>149</v>
      </c>
      <c r="AC373" t="s">
        <v>150</v>
      </c>
      <c r="AD373" s="6"/>
      <c r="AF373" s="3"/>
      <c r="AH373" t="b">
        <v>0</v>
      </c>
      <c r="AI373" t="b">
        <v>1</v>
      </c>
      <c r="AJ373" s="6" t="s">
        <v>463</v>
      </c>
      <c r="AK373" s="6" t="s">
        <v>171</v>
      </c>
      <c r="AL373" t="b">
        <v>0</v>
      </c>
      <c r="AM373" s="6"/>
      <c r="AN373" s="6"/>
      <c r="AP373" t="b">
        <v>0</v>
      </c>
      <c r="AQ373" s="6"/>
      <c r="AR373" s="6"/>
      <c r="AT373" t="b">
        <v>0</v>
      </c>
      <c r="AU373" s="6"/>
      <c r="AV373" s="6"/>
      <c r="AX373" t="b">
        <v>0</v>
      </c>
      <c r="AY373" s="6"/>
      <c r="AZ373" s="6"/>
      <c r="BA373" t="b">
        <v>0</v>
      </c>
      <c r="BB373" s="6"/>
      <c r="BC373" t="b">
        <v>0</v>
      </c>
      <c r="BD373" s="6"/>
      <c r="BE373" s="6"/>
      <c r="BF373" t="b">
        <v>0</v>
      </c>
      <c r="BG373" s="6"/>
      <c r="BH373" t="b">
        <v>0</v>
      </c>
      <c r="BI373" s="6"/>
      <c r="BJ373" t="b">
        <v>0</v>
      </c>
      <c r="BL373" t="b">
        <v>0</v>
      </c>
      <c r="BM373" t="b">
        <v>0</v>
      </c>
      <c r="BN373" t="b">
        <v>0</v>
      </c>
      <c r="BO373" t="b">
        <v>1</v>
      </c>
      <c r="BQ373" t="b">
        <v>0</v>
      </c>
      <c r="BR373" s="6"/>
      <c r="BT373" t="b">
        <v>0</v>
      </c>
      <c r="BU373" t="s">
        <v>1933</v>
      </c>
      <c r="BV373" t="s">
        <v>504</v>
      </c>
      <c r="BW373" t="s">
        <v>171</v>
      </c>
      <c r="BY373" s="6" t="s">
        <v>464</v>
      </c>
      <c r="BZ373">
        <v>1</v>
      </c>
      <c r="CB373" s="7">
        <v>46315.0537962963</v>
      </c>
    </row>
    <row r="374" spans="1:80">
      <c r="A374" s="6" t="s">
        <v>2030</v>
      </c>
      <c r="B374" t="s">
        <v>491</v>
      </c>
      <c r="C374" s="6" t="s">
        <v>1931</v>
      </c>
      <c r="D374" s="6"/>
      <c r="E374" t="s">
        <v>1932</v>
      </c>
      <c r="G374" s="6">
        <v>77</v>
      </c>
      <c r="H374" s="6"/>
      <c r="I374" t="s">
        <v>491</v>
      </c>
      <c r="J374" s="3"/>
      <c r="K374" t="s">
        <v>421</v>
      </c>
      <c r="L374" t="s">
        <v>139</v>
      </c>
      <c r="N374" t="s">
        <v>667</v>
      </c>
      <c r="Q374" t="s">
        <v>668</v>
      </c>
      <c r="S374" t="s">
        <v>249</v>
      </c>
      <c r="T374" t="s">
        <v>669</v>
      </c>
      <c r="U374" t="s">
        <v>670</v>
      </c>
      <c r="V374" t="s">
        <v>671</v>
      </c>
      <c r="W374" t="s">
        <v>39</v>
      </c>
      <c r="X374" s="6" t="s">
        <v>672</v>
      </c>
      <c r="Y374" s="6"/>
      <c r="Z374" t="s">
        <v>148</v>
      </c>
      <c r="AA374" t="s">
        <v>149</v>
      </c>
      <c r="AC374" t="s">
        <v>150</v>
      </c>
      <c r="AD374" s="6"/>
      <c r="AF374" s="3"/>
      <c r="AH374" t="b">
        <v>0</v>
      </c>
      <c r="AI374" t="b">
        <v>1</v>
      </c>
      <c r="AJ374" s="6" t="s">
        <v>673</v>
      </c>
      <c r="AK374" s="6" t="s">
        <v>171</v>
      </c>
      <c r="AL374" t="b">
        <v>0</v>
      </c>
      <c r="AM374" s="6"/>
      <c r="AN374" s="6"/>
      <c r="AP374" t="b">
        <v>0</v>
      </c>
      <c r="AQ374" s="6"/>
      <c r="AR374" s="6"/>
      <c r="AT374" t="b">
        <v>0</v>
      </c>
      <c r="AU374" s="6"/>
      <c r="AV374" s="6"/>
      <c r="AX374" t="b">
        <v>1</v>
      </c>
      <c r="AY374" s="6" t="s">
        <v>1986</v>
      </c>
      <c r="AZ374" s="6" t="s">
        <v>171</v>
      </c>
      <c r="BA374" t="b">
        <v>1</v>
      </c>
      <c r="BB374" s="6" t="s">
        <v>171</v>
      </c>
      <c r="BC374" t="b">
        <v>0</v>
      </c>
      <c r="BD374" s="6"/>
      <c r="BE374" s="6"/>
      <c r="BF374" t="b">
        <v>0</v>
      </c>
      <c r="BG374" s="6"/>
      <c r="BH374" t="b">
        <v>0</v>
      </c>
      <c r="BI374" s="6"/>
      <c r="BJ374" t="b">
        <v>0</v>
      </c>
      <c r="BL374" t="b">
        <v>0</v>
      </c>
      <c r="BM374" t="b">
        <v>0</v>
      </c>
      <c r="BN374" t="b">
        <v>0</v>
      </c>
      <c r="BO374" t="b">
        <v>1</v>
      </c>
      <c r="BQ374" t="b">
        <v>0</v>
      </c>
      <c r="BR374" s="6"/>
      <c r="BT374" t="b">
        <v>0</v>
      </c>
      <c r="BU374" t="s">
        <v>1933</v>
      </c>
      <c r="BV374" t="s">
        <v>504</v>
      </c>
      <c r="BW374" t="s">
        <v>171</v>
      </c>
      <c r="BX374" t="s">
        <v>50</v>
      </c>
      <c r="BY374" s="6" t="s">
        <v>676</v>
      </c>
      <c r="BZ374">
        <v>1</v>
      </c>
      <c r="CB374" s="7">
        <v>46315.0537962963</v>
      </c>
    </row>
    <row r="375" spans="1:80">
      <c r="A375" s="6" t="s">
        <v>2031</v>
      </c>
      <c r="B375" t="s">
        <v>491</v>
      </c>
      <c r="C375" s="6" t="s">
        <v>1931</v>
      </c>
      <c r="D375" s="6"/>
      <c r="E375" t="s">
        <v>1932</v>
      </c>
      <c r="G375" s="6">
        <v>78</v>
      </c>
      <c r="H375" s="6"/>
      <c r="I375" t="s">
        <v>491</v>
      </c>
      <c r="J375" s="3"/>
      <c r="K375" t="s">
        <v>421</v>
      </c>
      <c r="L375" t="s">
        <v>139</v>
      </c>
      <c r="N375" t="s">
        <v>592</v>
      </c>
      <c r="Q375" t="s">
        <v>593</v>
      </c>
      <c r="S375" t="s">
        <v>249</v>
      </c>
      <c r="T375" t="s">
        <v>594</v>
      </c>
      <c r="V375" t="s">
        <v>595</v>
      </c>
      <c r="W375" t="s">
        <v>37</v>
      </c>
      <c r="X375" s="6" t="s">
        <v>596</v>
      </c>
      <c r="Y375" s="6"/>
      <c r="Z375" t="s">
        <v>148</v>
      </c>
      <c r="AA375" t="s">
        <v>205</v>
      </c>
      <c r="AC375" t="s">
        <v>150</v>
      </c>
      <c r="AD375" s="6"/>
      <c r="AF375" s="3"/>
      <c r="AH375" t="b">
        <v>0</v>
      </c>
      <c r="AI375" t="b">
        <v>1</v>
      </c>
      <c r="AJ375" s="6" t="s">
        <v>597</v>
      </c>
      <c r="AK375" s="6" t="s">
        <v>171</v>
      </c>
      <c r="AL375" t="b">
        <v>0</v>
      </c>
      <c r="AM375" s="6"/>
      <c r="AN375" s="6"/>
      <c r="AP375" t="b">
        <v>0</v>
      </c>
      <c r="AQ375" s="6"/>
      <c r="AR375" s="6"/>
      <c r="AT375" t="b">
        <v>0</v>
      </c>
      <c r="AU375" s="6"/>
      <c r="AV375" s="6"/>
      <c r="AX375" t="b">
        <v>0</v>
      </c>
      <c r="AY375" s="6"/>
      <c r="AZ375" s="6"/>
      <c r="BA375" t="b">
        <v>0</v>
      </c>
      <c r="BB375" s="6"/>
      <c r="BC375" t="b">
        <v>0</v>
      </c>
      <c r="BD375" s="6"/>
      <c r="BE375" s="6"/>
      <c r="BF375" t="b">
        <v>0</v>
      </c>
      <c r="BG375" s="6"/>
      <c r="BH375" t="b">
        <v>0</v>
      </c>
      <c r="BI375" s="6"/>
      <c r="BJ375" t="b">
        <v>0</v>
      </c>
      <c r="BL375" t="b">
        <v>0</v>
      </c>
      <c r="BM375" t="b">
        <v>0</v>
      </c>
      <c r="BN375" t="b">
        <v>0</v>
      </c>
      <c r="BO375" t="b">
        <v>1</v>
      </c>
      <c r="BQ375" t="b">
        <v>0</v>
      </c>
      <c r="BR375" s="6"/>
      <c r="BT375" t="b">
        <v>0</v>
      </c>
      <c r="BU375" t="s">
        <v>1933</v>
      </c>
      <c r="BV375" t="s">
        <v>504</v>
      </c>
      <c r="BW375" t="s">
        <v>154</v>
      </c>
      <c r="BX375" t="s">
        <v>43</v>
      </c>
      <c r="BY375" s="6" t="s">
        <v>599</v>
      </c>
      <c r="BZ375">
        <v>1</v>
      </c>
      <c r="CA375" t="s">
        <v>157</v>
      </c>
      <c r="CB375" s="7">
        <v>46315.0537962963</v>
      </c>
    </row>
    <row r="376" spans="1:80">
      <c r="A376" s="6" t="s">
        <v>2032</v>
      </c>
      <c r="B376" t="s">
        <v>491</v>
      </c>
      <c r="C376" s="6" t="s">
        <v>1931</v>
      </c>
      <c r="D376" s="6"/>
      <c r="E376" t="s">
        <v>1932</v>
      </c>
      <c r="G376" s="6">
        <v>79</v>
      </c>
      <c r="H376" s="6"/>
      <c r="I376" t="s">
        <v>491</v>
      </c>
      <c r="J376" s="3"/>
      <c r="K376" t="s">
        <v>421</v>
      </c>
      <c r="L376" t="s">
        <v>139</v>
      </c>
      <c r="N376" t="s">
        <v>234</v>
      </c>
      <c r="O376" t="s">
        <v>235</v>
      </c>
      <c r="P376" t="s">
        <v>235</v>
      </c>
      <c r="Q376" t="s">
        <v>236</v>
      </c>
      <c r="S376" t="s">
        <v>249</v>
      </c>
      <c r="T376" t="s">
        <v>237</v>
      </c>
      <c r="V376" t="s">
        <v>238</v>
      </c>
      <c r="W376" t="s">
        <v>37</v>
      </c>
      <c r="X376" s="6" t="s">
        <v>239</v>
      </c>
      <c r="Y376" s="6"/>
      <c r="Z376" t="s">
        <v>148</v>
      </c>
      <c r="AA376" t="s">
        <v>149</v>
      </c>
      <c r="AC376" t="s">
        <v>150</v>
      </c>
      <c r="AD376" s="6"/>
      <c r="AF376" s="3"/>
      <c r="AH376" t="b">
        <v>0</v>
      </c>
      <c r="AI376" t="b">
        <v>1</v>
      </c>
      <c r="AJ376" s="6" t="s">
        <v>713</v>
      </c>
      <c r="AK376" s="6" t="s">
        <v>171</v>
      </c>
      <c r="AL376" t="b">
        <v>0</v>
      </c>
      <c r="AM376" s="6"/>
      <c r="AN376" s="6"/>
      <c r="AP376" t="b">
        <v>0</v>
      </c>
      <c r="AQ376" s="6"/>
      <c r="AR376" s="6"/>
      <c r="AT376" t="b">
        <v>0</v>
      </c>
      <c r="AU376" s="6"/>
      <c r="AV376" s="6"/>
      <c r="AX376" t="b">
        <v>1</v>
      </c>
      <c r="AY376" s="6" t="s">
        <v>1989</v>
      </c>
      <c r="AZ376" s="6" t="s">
        <v>171</v>
      </c>
      <c r="BA376" t="b">
        <v>1</v>
      </c>
      <c r="BB376" s="6" t="s">
        <v>171</v>
      </c>
      <c r="BC376" t="b">
        <v>0</v>
      </c>
      <c r="BD376" s="6"/>
      <c r="BE376" s="6"/>
      <c r="BF376" t="b">
        <v>0</v>
      </c>
      <c r="BG376" s="6"/>
      <c r="BH376" t="b">
        <v>0</v>
      </c>
      <c r="BI376" s="6"/>
      <c r="BJ376" t="b">
        <v>0</v>
      </c>
      <c r="BL376" t="b">
        <v>0</v>
      </c>
      <c r="BM376" t="b">
        <v>0</v>
      </c>
      <c r="BN376" t="b">
        <v>0</v>
      </c>
      <c r="BO376" t="b">
        <v>1</v>
      </c>
      <c r="BQ376" t="b">
        <v>0</v>
      </c>
      <c r="BR376" s="6"/>
      <c r="BT376" t="b">
        <v>0</v>
      </c>
      <c r="BU376" t="s">
        <v>1933</v>
      </c>
      <c r="BV376" t="s">
        <v>504</v>
      </c>
      <c r="BW376" t="s">
        <v>154</v>
      </c>
      <c r="BX376" t="s">
        <v>44</v>
      </c>
      <c r="BY376" s="6" t="s">
        <v>241</v>
      </c>
      <c r="BZ376">
        <v>1</v>
      </c>
      <c r="CA376" t="s">
        <v>157</v>
      </c>
      <c r="CB376" s="7">
        <v>46315.0537962963</v>
      </c>
    </row>
    <row r="377" spans="1:80">
      <c r="A377" s="6" t="s">
        <v>2033</v>
      </c>
      <c r="B377" t="s">
        <v>491</v>
      </c>
      <c r="C377" s="6" t="s">
        <v>1931</v>
      </c>
      <c r="D377" s="6"/>
      <c r="E377" t="s">
        <v>1932</v>
      </c>
      <c r="G377" s="6">
        <v>80</v>
      </c>
      <c r="H377" s="6"/>
      <c r="I377" t="s">
        <v>491</v>
      </c>
      <c r="J377" s="3"/>
      <c r="K377" t="s">
        <v>421</v>
      </c>
      <c r="L377" t="s">
        <v>139</v>
      </c>
      <c r="N377" t="s">
        <v>685</v>
      </c>
      <c r="O377" t="s">
        <v>212</v>
      </c>
      <c r="P377" t="s">
        <v>212</v>
      </c>
      <c r="Q377" t="s">
        <v>686</v>
      </c>
      <c r="S377" t="s">
        <v>249</v>
      </c>
      <c r="T377" t="s">
        <v>687</v>
      </c>
      <c r="V377" t="s">
        <v>688</v>
      </c>
      <c r="W377" t="s">
        <v>38</v>
      </c>
      <c r="X377" s="6" t="s">
        <v>689</v>
      </c>
      <c r="Y377" s="6"/>
      <c r="Z377" t="s">
        <v>148</v>
      </c>
      <c r="AA377" t="s">
        <v>205</v>
      </c>
      <c r="AC377" t="s">
        <v>150</v>
      </c>
      <c r="AD377" s="6"/>
      <c r="AF377" s="3"/>
      <c r="AH377" t="b">
        <v>0</v>
      </c>
      <c r="AI377" t="b">
        <v>1</v>
      </c>
      <c r="AJ377" s="6" t="s">
        <v>690</v>
      </c>
      <c r="AK377" s="6" t="s">
        <v>171</v>
      </c>
      <c r="AL377" t="b">
        <v>0</v>
      </c>
      <c r="AM377" s="6"/>
      <c r="AN377" s="6"/>
      <c r="AP377" t="b">
        <v>0</v>
      </c>
      <c r="AQ377" s="6"/>
      <c r="AR377" s="6"/>
      <c r="AT377" t="b">
        <v>0</v>
      </c>
      <c r="AU377" s="6"/>
      <c r="AV377" s="6"/>
      <c r="AX377" t="b">
        <v>0</v>
      </c>
      <c r="AY377" s="6"/>
      <c r="AZ377" s="6"/>
      <c r="BA377" t="b">
        <v>0</v>
      </c>
      <c r="BB377" s="6"/>
      <c r="BC377" t="b">
        <v>0</v>
      </c>
      <c r="BD377" s="6"/>
      <c r="BE377" s="6"/>
      <c r="BF377" t="b">
        <v>0</v>
      </c>
      <c r="BG377" s="6"/>
      <c r="BH377" t="b">
        <v>0</v>
      </c>
      <c r="BI377" s="6"/>
      <c r="BJ377" t="b">
        <v>0</v>
      </c>
      <c r="BL377" t="b">
        <v>0</v>
      </c>
      <c r="BM377" t="b">
        <v>0</v>
      </c>
      <c r="BN377" t="b">
        <v>0</v>
      </c>
      <c r="BO377" t="b">
        <v>1</v>
      </c>
      <c r="BQ377" t="b">
        <v>0</v>
      </c>
      <c r="BR377" s="6"/>
      <c r="BT377" t="b">
        <v>0</v>
      </c>
      <c r="BU377" t="s">
        <v>1933</v>
      </c>
      <c r="BV377" t="s">
        <v>504</v>
      </c>
      <c r="BW377" t="s">
        <v>154</v>
      </c>
      <c r="BX377" t="s">
        <v>2034</v>
      </c>
      <c r="BY377" s="6" t="s">
        <v>692</v>
      </c>
      <c r="BZ377">
        <v>1</v>
      </c>
      <c r="CA377" t="s">
        <v>157</v>
      </c>
      <c r="CB377" s="7">
        <v>46315.0537962963</v>
      </c>
    </row>
    <row r="378" spans="1:80">
      <c r="A378" s="6" t="s">
        <v>2035</v>
      </c>
      <c r="B378" t="s">
        <v>491</v>
      </c>
      <c r="C378" s="6" t="s">
        <v>1931</v>
      </c>
      <c r="D378" s="6"/>
      <c r="E378" t="s">
        <v>1932</v>
      </c>
      <c r="G378" s="6">
        <v>81</v>
      </c>
      <c r="H378" s="6"/>
      <c r="I378" t="s">
        <v>491</v>
      </c>
      <c r="J378" s="3"/>
      <c r="K378" t="s">
        <v>421</v>
      </c>
      <c r="L378" t="s">
        <v>139</v>
      </c>
      <c r="N378" t="s">
        <v>535</v>
      </c>
      <c r="O378" t="s">
        <v>1180</v>
      </c>
      <c r="P378" t="s">
        <v>1180</v>
      </c>
      <c r="Q378" t="s">
        <v>536</v>
      </c>
      <c r="S378" t="s">
        <v>249</v>
      </c>
      <c r="T378" t="s">
        <v>537</v>
      </c>
      <c r="V378" t="s">
        <v>538</v>
      </c>
      <c r="W378" t="s">
        <v>40</v>
      </c>
      <c r="X378" s="6" t="s">
        <v>539</v>
      </c>
      <c r="Y378" s="6"/>
      <c r="Z378" t="s">
        <v>148</v>
      </c>
      <c r="AA378" t="s">
        <v>205</v>
      </c>
      <c r="AC378" t="s">
        <v>150</v>
      </c>
      <c r="AD378" s="6"/>
      <c r="AF378" s="3"/>
      <c r="AH378" t="b">
        <v>0</v>
      </c>
      <c r="AI378" t="b">
        <v>1</v>
      </c>
      <c r="AJ378" s="6" t="s">
        <v>540</v>
      </c>
      <c r="AK378" s="6" t="s">
        <v>171</v>
      </c>
      <c r="AL378" t="b">
        <v>0</v>
      </c>
      <c r="AM378" s="6"/>
      <c r="AN378" s="6"/>
      <c r="AP378" t="b">
        <v>0</v>
      </c>
      <c r="AQ378" s="6"/>
      <c r="AR378" s="6"/>
      <c r="AT378" t="b">
        <v>0</v>
      </c>
      <c r="AU378" s="6"/>
      <c r="AV378" s="6"/>
      <c r="AX378" t="b">
        <v>0</v>
      </c>
      <c r="AY378" s="6"/>
      <c r="AZ378" s="6"/>
      <c r="BA378" t="b">
        <v>0</v>
      </c>
      <c r="BB378" s="6"/>
      <c r="BC378" t="b">
        <v>0</v>
      </c>
      <c r="BD378" s="6"/>
      <c r="BE378" s="6"/>
      <c r="BF378" t="b">
        <v>0</v>
      </c>
      <c r="BG378" s="6"/>
      <c r="BH378" t="b">
        <v>0</v>
      </c>
      <c r="BI378" s="6"/>
      <c r="BJ378" t="b">
        <v>0</v>
      </c>
      <c r="BL378" t="b">
        <v>0</v>
      </c>
      <c r="BM378" t="b">
        <v>0</v>
      </c>
      <c r="BN378" t="b">
        <v>0</v>
      </c>
      <c r="BO378" t="b">
        <v>1</v>
      </c>
      <c r="BQ378" t="b">
        <v>0</v>
      </c>
      <c r="BR378" s="6"/>
      <c r="BT378" t="b">
        <v>0</v>
      </c>
      <c r="BU378" t="s">
        <v>1933</v>
      </c>
      <c r="BV378" t="s">
        <v>504</v>
      </c>
      <c r="BW378" t="s">
        <v>154</v>
      </c>
      <c r="BX378" t="s">
        <v>43</v>
      </c>
      <c r="BY378" s="6" t="s">
        <v>542</v>
      </c>
      <c r="BZ378">
        <v>1</v>
      </c>
      <c r="CA378" t="s">
        <v>157</v>
      </c>
      <c r="CB378" s="7">
        <v>46315.0537962963</v>
      </c>
    </row>
    <row r="379" spans="1:80">
      <c r="A379" s="6" t="s">
        <v>2036</v>
      </c>
      <c r="B379" t="s">
        <v>491</v>
      </c>
      <c r="C379" s="6" t="s">
        <v>1931</v>
      </c>
      <c r="D379" s="6"/>
      <c r="E379" t="s">
        <v>1932</v>
      </c>
      <c r="G379" s="6">
        <v>82</v>
      </c>
      <c r="H379" s="6"/>
      <c r="I379" t="s">
        <v>491</v>
      </c>
      <c r="J379" s="3"/>
      <c r="K379" t="s">
        <v>421</v>
      </c>
      <c r="L379" t="s">
        <v>139</v>
      </c>
      <c r="N379" t="s">
        <v>407</v>
      </c>
      <c r="Q379" t="s">
        <v>408</v>
      </c>
      <c r="S379" t="s">
        <v>249</v>
      </c>
      <c r="T379" t="s">
        <v>409</v>
      </c>
      <c r="V379" t="s">
        <v>410</v>
      </c>
      <c r="W379" t="s">
        <v>39</v>
      </c>
      <c r="X379" s="6" t="s">
        <v>411</v>
      </c>
      <c r="Y379" s="6"/>
      <c r="Z379" t="s">
        <v>148</v>
      </c>
      <c r="AA379" t="s">
        <v>149</v>
      </c>
      <c r="AC379" t="s">
        <v>150</v>
      </c>
      <c r="AD379" s="6"/>
      <c r="AF379" s="3"/>
      <c r="AH379" t="b">
        <v>0</v>
      </c>
      <c r="AI379" t="b">
        <v>1</v>
      </c>
      <c r="AJ379" s="6" t="s">
        <v>413</v>
      </c>
      <c r="AK379" s="6" t="s">
        <v>171</v>
      </c>
      <c r="AL379" t="b">
        <v>0</v>
      </c>
      <c r="AM379" s="6"/>
      <c r="AN379" s="6"/>
      <c r="AP379" t="b">
        <v>0</v>
      </c>
      <c r="AQ379" s="6"/>
      <c r="AR379" s="6"/>
      <c r="AT379" t="b">
        <v>0</v>
      </c>
      <c r="AU379" s="6"/>
      <c r="AV379" s="6"/>
      <c r="AX379" t="b">
        <v>1</v>
      </c>
      <c r="AY379" s="6" t="s">
        <v>1993</v>
      </c>
      <c r="AZ379" s="6" t="s">
        <v>171</v>
      </c>
      <c r="BA379" t="b">
        <v>1</v>
      </c>
      <c r="BB379" s="6" t="s">
        <v>171</v>
      </c>
      <c r="BC379" t="b">
        <v>0</v>
      </c>
      <c r="BD379" s="6"/>
      <c r="BE379" s="6"/>
      <c r="BF379" t="b">
        <v>0</v>
      </c>
      <c r="BG379" s="6"/>
      <c r="BH379" t="b">
        <v>0</v>
      </c>
      <c r="BI379" s="6"/>
      <c r="BJ379" t="b">
        <v>0</v>
      </c>
      <c r="BL379" t="b">
        <v>0</v>
      </c>
      <c r="BM379" t="b">
        <v>0</v>
      </c>
      <c r="BN379" t="b">
        <v>0</v>
      </c>
      <c r="BO379" t="b">
        <v>1</v>
      </c>
      <c r="BQ379" t="b">
        <v>0</v>
      </c>
      <c r="BR379" s="6"/>
      <c r="BT379" t="b">
        <v>0</v>
      </c>
      <c r="BU379" t="s">
        <v>1933</v>
      </c>
      <c r="BV379" t="s">
        <v>504</v>
      </c>
      <c r="BW379" t="s">
        <v>171</v>
      </c>
      <c r="BY379" s="6" t="s">
        <v>416</v>
      </c>
      <c r="BZ379">
        <v>1</v>
      </c>
      <c r="CB379" s="7">
        <v>46315.0537962963</v>
      </c>
    </row>
    <row r="380" spans="1:80">
      <c r="A380" s="6" t="s">
        <v>2037</v>
      </c>
      <c r="B380" t="s">
        <v>491</v>
      </c>
      <c r="C380" s="6" t="s">
        <v>2038</v>
      </c>
      <c r="D380" s="6"/>
      <c r="E380" t="s">
        <v>2039</v>
      </c>
      <c r="F380" t="s">
        <v>2040</v>
      </c>
      <c r="G380" s="6">
        <v>2</v>
      </c>
      <c r="H380" s="6"/>
      <c r="I380" t="s">
        <v>491</v>
      </c>
      <c r="J380" s="3">
        <v>46270</v>
      </c>
      <c r="K380" t="s">
        <v>2041</v>
      </c>
      <c r="L380" t="s">
        <v>139</v>
      </c>
      <c r="N380" t="s">
        <v>678</v>
      </c>
      <c r="O380" t="s">
        <v>212</v>
      </c>
      <c r="P380" t="s">
        <v>212</v>
      </c>
      <c r="Q380" t="s">
        <v>2042</v>
      </c>
      <c r="S380" t="s">
        <v>249</v>
      </c>
      <c r="T380" t="s">
        <v>2043</v>
      </c>
      <c r="V380" t="s">
        <v>2044</v>
      </c>
      <c r="W380" t="s">
        <v>37</v>
      </c>
      <c r="X380" s="6" t="s">
        <v>2045</v>
      </c>
      <c r="Y380" s="6"/>
      <c r="Z380" t="s">
        <v>148</v>
      </c>
      <c r="AA380" t="s">
        <v>205</v>
      </c>
      <c r="AC380" t="s">
        <v>150</v>
      </c>
      <c r="AD380" s="6"/>
      <c r="AF380" s="3">
        <v>40571</v>
      </c>
      <c r="AG380">
        <v>15</v>
      </c>
      <c r="AH380" t="b">
        <v>1</v>
      </c>
      <c r="AI380" t="b">
        <v>0</v>
      </c>
      <c r="AJ380" s="6"/>
      <c r="AK380" s="6"/>
      <c r="AL380" t="b">
        <v>0</v>
      </c>
      <c r="AM380" s="6"/>
      <c r="AN380" s="6"/>
      <c r="AP380" t="b">
        <v>0</v>
      </c>
      <c r="AQ380" s="6"/>
      <c r="AR380" s="6"/>
      <c r="AT380" t="b">
        <v>0</v>
      </c>
      <c r="AU380" s="6"/>
      <c r="AV380" s="6"/>
      <c r="AX380" t="b">
        <v>0</v>
      </c>
      <c r="AY380" s="6"/>
      <c r="AZ380" s="6"/>
      <c r="BA380" t="b">
        <v>0</v>
      </c>
      <c r="BB380" s="6"/>
      <c r="BC380" t="b">
        <v>0</v>
      </c>
      <c r="BD380" s="6"/>
      <c r="BE380" s="6"/>
      <c r="BF380" t="b">
        <v>0</v>
      </c>
      <c r="BG380" s="6"/>
      <c r="BH380" t="b">
        <v>0</v>
      </c>
      <c r="BI380" s="6"/>
      <c r="BJ380" t="b">
        <v>0</v>
      </c>
      <c r="BL380" t="b">
        <v>0</v>
      </c>
      <c r="BM380" t="b">
        <v>0</v>
      </c>
      <c r="BN380" t="b">
        <v>0</v>
      </c>
      <c r="BO380" t="b">
        <v>0</v>
      </c>
      <c r="BQ380" t="b">
        <v>1</v>
      </c>
      <c r="BR380" s="6" t="s">
        <v>2046</v>
      </c>
      <c r="BS380" t="s">
        <v>2047</v>
      </c>
      <c r="BT380" t="b">
        <v>1</v>
      </c>
      <c r="BU380" t="s">
        <v>2048</v>
      </c>
      <c r="BV380" t="s">
        <v>504</v>
      </c>
      <c r="BW380" t="s">
        <v>154</v>
      </c>
      <c r="BX380" t="s">
        <v>2049</v>
      </c>
      <c r="BY380" s="6" t="s">
        <v>2050</v>
      </c>
      <c r="BZ380">
        <v>1</v>
      </c>
      <c r="CA380" t="s">
        <v>157</v>
      </c>
      <c r="CB380" s="7">
        <v>46315.0537962963</v>
      </c>
    </row>
    <row r="381" spans="1:80">
      <c r="A381" s="6" t="s">
        <v>2051</v>
      </c>
      <c r="B381" t="s">
        <v>491</v>
      </c>
      <c r="C381" s="6" t="s">
        <v>2038</v>
      </c>
      <c r="D381" s="6"/>
      <c r="E381" t="s">
        <v>2039</v>
      </c>
      <c r="F381" t="s">
        <v>2040</v>
      </c>
      <c r="G381" s="6">
        <v>2</v>
      </c>
      <c r="H381" s="6" t="s">
        <v>2037</v>
      </c>
      <c r="I381" t="s">
        <v>491</v>
      </c>
      <c r="J381" s="3">
        <v>46270</v>
      </c>
      <c r="K381" t="s">
        <v>2052</v>
      </c>
      <c r="L381" t="s">
        <v>139</v>
      </c>
      <c r="N381" t="s">
        <v>2053</v>
      </c>
      <c r="Q381" t="s">
        <v>2042</v>
      </c>
      <c r="S381" t="s">
        <v>144</v>
      </c>
      <c r="X381" s="6"/>
      <c r="Y381" s="6"/>
      <c r="Z381" t="s">
        <v>148</v>
      </c>
      <c r="AD381" s="6" t="s">
        <v>2054</v>
      </c>
      <c r="AF381" s="3"/>
      <c r="AH381" t="b">
        <v>0</v>
      </c>
      <c r="AI381" t="b">
        <v>0</v>
      </c>
      <c r="AJ381" s="6"/>
      <c r="AK381" s="6"/>
      <c r="AL381" t="b">
        <v>0</v>
      </c>
      <c r="AM381" s="6"/>
      <c r="AN381" s="6"/>
      <c r="AP381" t="b">
        <v>0</v>
      </c>
      <c r="AQ381" s="6"/>
      <c r="AR381" s="6"/>
      <c r="AT381" t="b">
        <v>0</v>
      </c>
      <c r="AU381" s="6"/>
      <c r="AV381" s="6"/>
      <c r="AX381" t="b">
        <v>0</v>
      </c>
      <c r="AY381" s="6"/>
      <c r="AZ381" s="6"/>
      <c r="BA381" t="b">
        <v>0</v>
      </c>
      <c r="BB381" s="6"/>
      <c r="BC381" t="b">
        <v>0</v>
      </c>
      <c r="BD381" s="6"/>
      <c r="BE381" s="6"/>
      <c r="BF381" t="b">
        <v>0</v>
      </c>
      <c r="BG381" s="6"/>
      <c r="BH381" t="b">
        <v>0</v>
      </c>
      <c r="BI381" s="6"/>
      <c r="BJ381" t="b">
        <v>0</v>
      </c>
      <c r="BL381" t="b">
        <v>0</v>
      </c>
      <c r="BM381" t="b">
        <v>0</v>
      </c>
      <c r="BN381" t="b">
        <v>0</v>
      </c>
      <c r="BO381" t="b">
        <v>0</v>
      </c>
      <c r="BQ381" t="b">
        <v>0</v>
      </c>
      <c r="BR381" s="6"/>
      <c r="BT381" t="b">
        <v>0</v>
      </c>
      <c r="BV381" t="s">
        <v>504</v>
      </c>
      <c r="BW381" t="s">
        <v>154</v>
      </c>
      <c r="BX381" t="s">
        <v>2055</v>
      </c>
      <c r="BY381" s="6" t="s">
        <v>2056</v>
      </c>
      <c r="BZ381">
        <v>1</v>
      </c>
      <c r="CA381" t="s">
        <v>157</v>
      </c>
      <c r="CB381" s="7">
        <v>46315.0537962963</v>
      </c>
    </row>
    <row r="382" spans="1:80">
      <c r="A382" s="6" t="s">
        <v>2057</v>
      </c>
      <c r="B382" t="s">
        <v>491</v>
      </c>
      <c r="C382" s="6" t="s">
        <v>2038</v>
      </c>
      <c r="D382" s="6"/>
      <c r="E382" t="s">
        <v>2039</v>
      </c>
      <c r="F382" t="s">
        <v>2040</v>
      </c>
      <c r="G382" s="6">
        <v>3</v>
      </c>
      <c r="H382" s="6"/>
      <c r="I382" t="s">
        <v>491</v>
      </c>
      <c r="J382" s="3">
        <v>46270</v>
      </c>
      <c r="K382" t="s">
        <v>2041</v>
      </c>
      <c r="L382" t="s">
        <v>139</v>
      </c>
      <c r="N382" t="s">
        <v>356</v>
      </c>
      <c r="O382" t="s">
        <v>1639</v>
      </c>
      <c r="P382" t="s">
        <v>1639</v>
      </c>
      <c r="Q382" t="s">
        <v>2058</v>
      </c>
      <c r="S382" t="s">
        <v>249</v>
      </c>
      <c r="T382" t="s">
        <v>2059</v>
      </c>
      <c r="V382" t="s">
        <v>471</v>
      </c>
      <c r="W382" t="s">
        <v>38</v>
      </c>
      <c r="X382" s="6" t="s">
        <v>2060</v>
      </c>
      <c r="Y382" s="6"/>
      <c r="Z382" t="s">
        <v>148</v>
      </c>
      <c r="AA382" t="s">
        <v>205</v>
      </c>
      <c r="AC382" t="s">
        <v>150</v>
      </c>
      <c r="AD382" s="6"/>
      <c r="AF382" s="3">
        <v>41303</v>
      </c>
      <c r="AG382">
        <v>13</v>
      </c>
      <c r="AH382" t="b">
        <v>1</v>
      </c>
      <c r="AI382" t="b">
        <v>0</v>
      </c>
      <c r="AJ382" s="6"/>
      <c r="AK382" s="6"/>
      <c r="AL382" t="b">
        <v>0</v>
      </c>
      <c r="AM382" s="6"/>
      <c r="AN382" s="6"/>
      <c r="AP382" t="b">
        <v>0</v>
      </c>
      <c r="AQ382" s="6"/>
      <c r="AR382" s="6"/>
      <c r="AT382" t="b">
        <v>0</v>
      </c>
      <c r="AU382" s="6"/>
      <c r="AV382" s="6"/>
      <c r="AX382" t="b">
        <v>0</v>
      </c>
      <c r="AY382" s="6"/>
      <c r="AZ382" s="6"/>
      <c r="BA382" t="b">
        <v>0</v>
      </c>
      <c r="BB382" s="6"/>
      <c r="BC382" t="b">
        <v>0</v>
      </c>
      <c r="BD382" s="6"/>
      <c r="BE382" s="6"/>
      <c r="BF382" t="b">
        <v>0</v>
      </c>
      <c r="BG382" s="6"/>
      <c r="BH382" t="b">
        <v>0</v>
      </c>
      <c r="BI382" s="6"/>
      <c r="BJ382" t="b">
        <v>0</v>
      </c>
      <c r="BL382" t="b">
        <v>0</v>
      </c>
      <c r="BM382" t="b">
        <v>0</v>
      </c>
      <c r="BN382" t="b">
        <v>0</v>
      </c>
      <c r="BO382" t="b">
        <v>0</v>
      </c>
      <c r="BQ382" t="b">
        <v>1</v>
      </c>
      <c r="BR382" s="6" t="s">
        <v>2061</v>
      </c>
      <c r="BS382" t="s">
        <v>2047</v>
      </c>
      <c r="BT382" t="b">
        <v>1</v>
      </c>
      <c r="BU382" t="s">
        <v>2048</v>
      </c>
      <c r="BV382" t="s">
        <v>504</v>
      </c>
      <c r="BW382" t="s">
        <v>154</v>
      </c>
      <c r="BX382" t="s">
        <v>2049</v>
      </c>
      <c r="BY382" s="6" t="s">
        <v>2062</v>
      </c>
      <c r="BZ382">
        <v>1</v>
      </c>
      <c r="CA382" t="s">
        <v>157</v>
      </c>
      <c r="CB382" s="7">
        <v>46315.0537962963</v>
      </c>
    </row>
    <row r="383" spans="1:80">
      <c r="A383" s="6" t="s">
        <v>2063</v>
      </c>
      <c r="B383" t="s">
        <v>491</v>
      </c>
      <c r="C383" s="6" t="s">
        <v>2038</v>
      </c>
      <c r="D383" s="6"/>
      <c r="E383" t="s">
        <v>2039</v>
      </c>
      <c r="F383" t="s">
        <v>2040</v>
      </c>
      <c r="G383" s="6">
        <v>3</v>
      </c>
      <c r="H383" s="6" t="s">
        <v>2057</v>
      </c>
      <c r="I383" t="s">
        <v>491</v>
      </c>
      <c r="J383" s="3">
        <v>46270</v>
      </c>
      <c r="K383" t="s">
        <v>2052</v>
      </c>
      <c r="L383" t="s">
        <v>139</v>
      </c>
      <c r="N383" t="s">
        <v>2064</v>
      </c>
      <c r="Q383" t="s">
        <v>2058</v>
      </c>
      <c r="S383" t="s">
        <v>144</v>
      </c>
      <c r="X383" s="6"/>
      <c r="Y383" s="6"/>
      <c r="Z383" t="s">
        <v>148</v>
      </c>
      <c r="AD383" s="6" t="s">
        <v>2065</v>
      </c>
      <c r="AF383" s="3"/>
      <c r="AH383" t="b">
        <v>0</v>
      </c>
      <c r="AI383" t="b">
        <v>0</v>
      </c>
      <c r="AJ383" s="6"/>
      <c r="AK383" s="6"/>
      <c r="AL383" t="b">
        <v>0</v>
      </c>
      <c r="AM383" s="6"/>
      <c r="AN383" s="6"/>
      <c r="AP383" t="b">
        <v>0</v>
      </c>
      <c r="AQ383" s="6"/>
      <c r="AR383" s="6"/>
      <c r="AT383" t="b">
        <v>0</v>
      </c>
      <c r="AU383" s="6"/>
      <c r="AV383" s="6"/>
      <c r="AX383" t="b">
        <v>0</v>
      </c>
      <c r="AY383" s="6"/>
      <c r="AZ383" s="6"/>
      <c r="BA383" t="b">
        <v>0</v>
      </c>
      <c r="BB383" s="6"/>
      <c r="BC383" t="b">
        <v>0</v>
      </c>
      <c r="BD383" s="6"/>
      <c r="BE383" s="6"/>
      <c r="BF383" t="b">
        <v>0</v>
      </c>
      <c r="BG383" s="6"/>
      <c r="BH383" t="b">
        <v>0</v>
      </c>
      <c r="BI383" s="6"/>
      <c r="BJ383" t="b">
        <v>0</v>
      </c>
      <c r="BL383" t="b">
        <v>0</v>
      </c>
      <c r="BM383" t="b">
        <v>0</v>
      </c>
      <c r="BN383" t="b">
        <v>0</v>
      </c>
      <c r="BO383" t="b">
        <v>0</v>
      </c>
      <c r="BQ383" t="b">
        <v>0</v>
      </c>
      <c r="BR383" s="6"/>
      <c r="BT383" t="b">
        <v>0</v>
      </c>
      <c r="BV383" t="s">
        <v>504</v>
      </c>
      <c r="BW383" t="s">
        <v>154</v>
      </c>
      <c r="BX383" t="s">
        <v>2055</v>
      </c>
      <c r="BY383" s="6" t="s">
        <v>2066</v>
      </c>
      <c r="BZ383">
        <v>1</v>
      </c>
      <c r="CA383" t="s">
        <v>157</v>
      </c>
      <c r="CB383" s="7">
        <v>46315.0537962963</v>
      </c>
    </row>
    <row r="384" spans="1:80">
      <c r="A384" s="6" t="s">
        <v>2067</v>
      </c>
      <c r="B384" t="s">
        <v>491</v>
      </c>
      <c r="C384" s="6" t="s">
        <v>2038</v>
      </c>
      <c r="D384" s="6"/>
      <c r="E384" t="s">
        <v>2039</v>
      </c>
      <c r="F384" t="s">
        <v>2040</v>
      </c>
      <c r="G384" s="6">
        <v>4</v>
      </c>
      <c r="H384" s="6"/>
      <c r="I384" t="s">
        <v>491</v>
      </c>
      <c r="J384" s="3">
        <v>46270</v>
      </c>
      <c r="K384" t="s">
        <v>2041</v>
      </c>
      <c r="L384" t="s">
        <v>139</v>
      </c>
      <c r="N384" t="s">
        <v>1359</v>
      </c>
      <c r="O384" t="s">
        <v>163</v>
      </c>
      <c r="P384" t="s">
        <v>163</v>
      </c>
      <c r="Q384" t="s">
        <v>508</v>
      </c>
      <c r="S384" t="s">
        <v>249</v>
      </c>
      <c r="T384" t="s">
        <v>509</v>
      </c>
      <c r="V384" t="s">
        <v>510</v>
      </c>
      <c r="W384" t="s">
        <v>37</v>
      </c>
      <c r="X384" s="6" t="s">
        <v>511</v>
      </c>
      <c r="Y384" s="6"/>
      <c r="Z384" t="s">
        <v>148</v>
      </c>
      <c r="AA384" t="s">
        <v>149</v>
      </c>
      <c r="AC384" t="s">
        <v>150</v>
      </c>
      <c r="AD384" s="6"/>
      <c r="AF384" s="3">
        <v>38529</v>
      </c>
      <c r="AG384">
        <v>21</v>
      </c>
      <c r="AH384" t="b">
        <v>0</v>
      </c>
      <c r="AI384" t="b">
        <v>0</v>
      </c>
      <c r="AJ384" s="6"/>
      <c r="AK384" s="6"/>
      <c r="AL384" t="b">
        <v>0</v>
      </c>
      <c r="AM384" s="6"/>
      <c r="AN384" s="6"/>
      <c r="AP384" t="b">
        <v>0</v>
      </c>
      <c r="AQ384" s="6"/>
      <c r="AR384" s="6"/>
      <c r="AT384" t="b">
        <v>0</v>
      </c>
      <c r="AU384" s="6"/>
      <c r="AV384" s="6"/>
      <c r="AX384" t="b">
        <v>0</v>
      </c>
      <c r="AY384" s="6"/>
      <c r="AZ384" s="6"/>
      <c r="BA384" t="b">
        <v>0</v>
      </c>
      <c r="BB384" s="6"/>
      <c r="BC384" t="b">
        <v>0</v>
      </c>
      <c r="BD384" s="6"/>
      <c r="BE384" s="6"/>
      <c r="BF384" t="b">
        <v>0</v>
      </c>
      <c r="BG384" s="6"/>
      <c r="BH384" t="b">
        <v>0</v>
      </c>
      <c r="BI384" s="6"/>
      <c r="BJ384" t="b">
        <v>0</v>
      </c>
      <c r="BL384" t="b">
        <v>0</v>
      </c>
      <c r="BM384" t="b">
        <v>0</v>
      </c>
      <c r="BN384" t="b">
        <v>0</v>
      </c>
      <c r="BO384" t="b">
        <v>0</v>
      </c>
      <c r="BQ384" t="b">
        <v>1</v>
      </c>
      <c r="BR384" s="6" t="s">
        <v>2068</v>
      </c>
      <c r="BS384" t="s">
        <v>2069</v>
      </c>
      <c r="BT384" t="b">
        <v>1</v>
      </c>
      <c r="BU384" t="s">
        <v>2048</v>
      </c>
      <c r="BV384" t="s">
        <v>504</v>
      </c>
      <c r="BW384" t="s">
        <v>154</v>
      </c>
      <c r="BX384" t="s">
        <v>2070</v>
      </c>
      <c r="BY384" s="6" t="s">
        <v>1632</v>
      </c>
      <c r="BZ384">
        <v>1</v>
      </c>
      <c r="CA384" t="s">
        <v>157</v>
      </c>
      <c r="CB384" s="7">
        <v>46315.0537962963</v>
      </c>
    </row>
    <row r="385" spans="1:80">
      <c r="A385" s="6" t="s">
        <v>2071</v>
      </c>
      <c r="B385" t="s">
        <v>491</v>
      </c>
      <c r="C385" s="6" t="s">
        <v>2038</v>
      </c>
      <c r="D385" s="6"/>
      <c r="E385" t="s">
        <v>2039</v>
      </c>
      <c r="F385" t="s">
        <v>2040</v>
      </c>
      <c r="G385" s="6">
        <v>4</v>
      </c>
      <c r="H385" s="6" t="s">
        <v>2067</v>
      </c>
      <c r="I385" t="s">
        <v>491</v>
      </c>
      <c r="J385" s="3">
        <v>46270</v>
      </c>
      <c r="K385" t="s">
        <v>2052</v>
      </c>
      <c r="L385" t="s">
        <v>139</v>
      </c>
      <c r="N385" t="s">
        <v>507</v>
      </c>
      <c r="Q385" t="s">
        <v>508</v>
      </c>
      <c r="S385" t="s">
        <v>144</v>
      </c>
      <c r="X385" s="6"/>
      <c r="Y385" s="6"/>
      <c r="Z385" t="s">
        <v>148</v>
      </c>
      <c r="AD385" s="6" t="s">
        <v>1210</v>
      </c>
      <c r="AF385" s="3"/>
      <c r="AH385" t="b">
        <v>0</v>
      </c>
      <c r="AI385" t="b">
        <v>0</v>
      </c>
      <c r="AJ385" s="6"/>
      <c r="AK385" s="6"/>
      <c r="AL385" t="b">
        <v>0</v>
      </c>
      <c r="AM385" s="6"/>
      <c r="AN385" s="6"/>
      <c r="AP385" t="b">
        <v>0</v>
      </c>
      <c r="AQ385" s="6"/>
      <c r="AR385" s="6"/>
      <c r="AT385" t="b">
        <v>0</v>
      </c>
      <c r="AU385" s="6"/>
      <c r="AV385" s="6"/>
      <c r="AX385" t="b">
        <v>0</v>
      </c>
      <c r="AY385" s="6"/>
      <c r="AZ385" s="6"/>
      <c r="BA385" t="b">
        <v>0</v>
      </c>
      <c r="BB385" s="6"/>
      <c r="BC385" t="b">
        <v>0</v>
      </c>
      <c r="BD385" s="6"/>
      <c r="BE385" s="6"/>
      <c r="BF385" t="b">
        <v>0</v>
      </c>
      <c r="BG385" s="6"/>
      <c r="BH385" t="b">
        <v>0</v>
      </c>
      <c r="BI385" s="6"/>
      <c r="BJ385" t="b">
        <v>0</v>
      </c>
      <c r="BL385" t="b">
        <v>0</v>
      </c>
      <c r="BM385" t="b">
        <v>0</v>
      </c>
      <c r="BN385" t="b">
        <v>0</v>
      </c>
      <c r="BO385" t="b">
        <v>0</v>
      </c>
      <c r="BQ385" t="b">
        <v>0</v>
      </c>
      <c r="BR385" s="6"/>
      <c r="BT385" t="b">
        <v>0</v>
      </c>
      <c r="BV385" t="s">
        <v>504</v>
      </c>
      <c r="BW385" t="s">
        <v>154</v>
      </c>
      <c r="BX385" t="s">
        <v>2072</v>
      </c>
      <c r="BY385" s="6" t="s">
        <v>2073</v>
      </c>
      <c r="BZ385">
        <v>1</v>
      </c>
      <c r="CA385" t="s">
        <v>157</v>
      </c>
      <c r="CB385" s="7">
        <v>46315.0537962963</v>
      </c>
    </row>
    <row r="386" spans="1:80">
      <c r="A386" s="6" t="s">
        <v>2074</v>
      </c>
      <c r="B386" t="s">
        <v>491</v>
      </c>
      <c r="C386" s="6" t="s">
        <v>2038</v>
      </c>
      <c r="D386" s="6"/>
      <c r="E386" t="s">
        <v>2039</v>
      </c>
      <c r="F386" t="s">
        <v>2040</v>
      </c>
      <c r="G386" s="6">
        <v>5</v>
      </c>
      <c r="H386" s="6"/>
      <c r="I386" t="s">
        <v>491</v>
      </c>
      <c r="J386" s="3">
        <v>46270</v>
      </c>
      <c r="K386" t="s">
        <v>2041</v>
      </c>
      <c r="L386" t="s">
        <v>139</v>
      </c>
      <c r="N386" t="s">
        <v>2075</v>
      </c>
      <c r="O386" t="s">
        <v>235</v>
      </c>
      <c r="P386" t="s">
        <v>235</v>
      </c>
      <c r="Q386" t="s">
        <v>143</v>
      </c>
      <c r="S386" t="s">
        <v>249</v>
      </c>
      <c r="T386" t="s">
        <v>2076</v>
      </c>
      <c r="V386" t="s">
        <v>2077</v>
      </c>
      <c r="W386" t="s">
        <v>38</v>
      </c>
      <c r="X386" s="6" t="s">
        <v>2078</v>
      </c>
      <c r="Y386" s="6"/>
      <c r="Z386" t="s">
        <v>148</v>
      </c>
      <c r="AA386" t="s">
        <v>205</v>
      </c>
      <c r="AC386" t="s">
        <v>150</v>
      </c>
      <c r="AD386" s="6"/>
      <c r="AF386" s="3">
        <v>41144</v>
      </c>
      <c r="AG386">
        <v>14</v>
      </c>
      <c r="AH386" t="b">
        <v>1</v>
      </c>
      <c r="AI386" t="b">
        <v>0</v>
      </c>
      <c r="AJ386" s="6"/>
      <c r="AK386" s="6"/>
      <c r="AL386" t="b">
        <v>0</v>
      </c>
      <c r="AM386" s="6"/>
      <c r="AN386" s="6"/>
      <c r="AP386" t="b">
        <v>0</v>
      </c>
      <c r="AQ386" s="6"/>
      <c r="AR386" s="6"/>
      <c r="AT386" t="b">
        <v>0</v>
      </c>
      <c r="AU386" s="6"/>
      <c r="AV386" s="6"/>
      <c r="AX386" t="b">
        <v>0</v>
      </c>
      <c r="AY386" s="6"/>
      <c r="AZ386" s="6"/>
      <c r="BA386" t="b">
        <v>0</v>
      </c>
      <c r="BB386" s="6"/>
      <c r="BC386" t="b">
        <v>0</v>
      </c>
      <c r="BD386" s="6"/>
      <c r="BE386" s="6"/>
      <c r="BF386" t="b">
        <v>0</v>
      </c>
      <c r="BG386" s="6"/>
      <c r="BH386" t="b">
        <v>0</v>
      </c>
      <c r="BI386" s="6"/>
      <c r="BJ386" t="b">
        <v>0</v>
      </c>
      <c r="BL386" t="b">
        <v>0</v>
      </c>
      <c r="BM386" t="b">
        <v>0</v>
      </c>
      <c r="BN386" t="b">
        <v>0</v>
      </c>
      <c r="BO386" t="b">
        <v>0</v>
      </c>
      <c r="BQ386" t="b">
        <v>1</v>
      </c>
      <c r="BR386" s="6" t="s">
        <v>2079</v>
      </c>
      <c r="BS386" t="s">
        <v>2047</v>
      </c>
      <c r="BT386" t="b">
        <v>1</v>
      </c>
      <c r="BU386" t="s">
        <v>2048</v>
      </c>
      <c r="BV386" t="s">
        <v>504</v>
      </c>
      <c r="BW386" t="s">
        <v>154</v>
      </c>
      <c r="BX386" t="s">
        <v>2049</v>
      </c>
      <c r="BY386" s="6" t="s">
        <v>2080</v>
      </c>
      <c r="BZ386">
        <v>1</v>
      </c>
      <c r="CA386" t="s">
        <v>157</v>
      </c>
      <c r="CB386" s="7">
        <v>46315.0537962963</v>
      </c>
    </row>
    <row r="387" spans="1:80">
      <c r="A387" s="6" t="s">
        <v>2081</v>
      </c>
      <c r="B387" t="s">
        <v>491</v>
      </c>
      <c r="C387" s="6" t="s">
        <v>2038</v>
      </c>
      <c r="D387" s="6"/>
      <c r="E387" t="s">
        <v>2039</v>
      </c>
      <c r="F387" t="s">
        <v>2040</v>
      </c>
      <c r="G387" s="6">
        <v>5</v>
      </c>
      <c r="H387" s="6" t="s">
        <v>2074</v>
      </c>
      <c r="I387" t="s">
        <v>491</v>
      </c>
      <c r="J387" s="3">
        <v>46270</v>
      </c>
      <c r="K387" t="s">
        <v>2052</v>
      </c>
      <c r="L387" t="s">
        <v>139</v>
      </c>
      <c r="N387" t="s">
        <v>1007</v>
      </c>
      <c r="Q387" t="s">
        <v>143</v>
      </c>
      <c r="S387" t="s">
        <v>144</v>
      </c>
      <c r="X387" s="6"/>
      <c r="Y387" s="6"/>
      <c r="Z387" t="s">
        <v>148</v>
      </c>
      <c r="AD387" s="6" t="s">
        <v>2082</v>
      </c>
      <c r="AF387" s="3"/>
      <c r="AH387" t="b">
        <v>0</v>
      </c>
      <c r="AI387" t="b">
        <v>0</v>
      </c>
      <c r="AJ387" s="6"/>
      <c r="AK387" s="6"/>
      <c r="AL387" t="b">
        <v>0</v>
      </c>
      <c r="AM387" s="6"/>
      <c r="AN387" s="6"/>
      <c r="AP387" t="b">
        <v>0</v>
      </c>
      <c r="AQ387" s="6"/>
      <c r="AR387" s="6"/>
      <c r="AT387" t="b">
        <v>0</v>
      </c>
      <c r="AU387" s="6"/>
      <c r="AV387" s="6"/>
      <c r="AX387" t="b">
        <v>0</v>
      </c>
      <c r="AY387" s="6"/>
      <c r="AZ387" s="6"/>
      <c r="BA387" t="b">
        <v>0</v>
      </c>
      <c r="BB387" s="6"/>
      <c r="BC387" t="b">
        <v>0</v>
      </c>
      <c r="BD387" s="6"/>
      <c r="BE387" s="6"/>
      <c r="BF387" t="b">
        <v>0</v>
      </c>
      <c r="BG387" s="6"/>
      <c r="BH387" t="b">
        <v>0</v>
      </c>
      <c r="BI387" s="6"/>
      <c r="BJ387" t="b">
        <v>0</v>
      </c>
      <c r="BL387" t="b">
        <v>0</v>
      </c>
      <c r="BM387" t="b">
        <v>0</v>
      </c>
      <c r="BN387" t="b">
        <v>0</v>
      </c>
      <c r="BO387" t="b">
        <v>0</v>
      </c>
      <c r="BQ387" t="b">
        <v>0</v>
      </c>
      <c r="BR387" s="6"/>
      <c r="BT387" t="b">
        <v>0</v>
      </c>
      <c r="BV387" t="s">
        <v>504</v>
      </c>
      <c r="BW387" t="s">
        <v>154</v>
      </c>
      <c r="BX387" t="s">
        <v>2072</v>
      </c>
      <c r="BY387" s="6" t="s">
        <v>2083</v>
      </c>
      <c r="BZ387">
        <v>1</v>
      </c>
      <c r="CA387" t="s">
        <v>157</v>
      </c>
      <c r="CB387" s="7">
        <v>46315.0537962963</v>
      </c>
    </row>
    <row r="388" spans="1:80">
      <c r="A388" s="6" t="s">
        <v>2084</v>
      </c>
      <c r="B388" t="s">
        <v>491</v>
      </c>
      <c r="C388" s="6" t="s">
        <v>2038</v>
      </c>
      <c r="D388" s="6"/>
      <c r="E388" t="s">
        <v>2039</v>
      </c>
      <c r="F388" t="s">
        <v>2040</v>
      </c>
      <c r="G388" s="6">
        <v>6</v>
      </c>
      <c r="H388" s="6"/>
      <c r="I388" t="s">
        <v>491</v>
      </c>
      <c r="J388" s="3">
        <v>46270</v>
      </c>
      <c r="K388" t="s">
        <v>2041</v>
      </c>
      <c r="L388" t="s">
        <v>139</v>
      </c>
      <c r="N388" t="s">
        <v>1324</v>
      </c>
      <c r="O388" t="s">
        <v>142</v>
      </c>
      <c r="P388" t="s">
        <v>142</v>
      </c>
      <c r="Q388" t="s">
        <v>2085</v>
      </c>
      <c r="S388" t="s">
        <v>249</v>
      </c>
      <c r="T388" t="s">
        <v>333</v>
      </c>
      <c r="V388" t="s">
        <v>334</v>
      </c>
      <c r="W388" t="s">
        <v>33</v>
      </c>
      <c r="X388" s="6" t="s">
        <v>335</v>
      </c>
      <c r="Y388" s="6"/>
      <c r="Z388" t="s">
        <v>148</v>
      </c>
      <c r="AA388" t="s">
        <v>149</v>
      </c>
      <c r="AC388" t="s">
        <v>150</v>
      </c>
      <c r="AD388" s="6"/>
      <c r="AF388" s="3">
        <v>41651</v>
      </c>
      <c r="AG388">
        <v>12</v>
      </c>
      <c r="AH388" t="b">
        <v>1</v>
      </c>
      <c r="AI388" t="b">
        <v>0</v>
      </c>
      <c r="AJ388" s="6"/>
      <c r="AK388" s="6"/>
      <c r="AL388" t="b">
        <v>0</v>
      </c>
      <c r="AM388" s="6"/>
      <c r="AN388" s="6"/>
      <c r="AP388" t="b">
        <v>0</v>
      </c>
      <c r="AQ388" s="6"/>
      <c r="AR388" s="6"/>
      <c r="AT388" t="b">
        <v>0</v>
      </c>
      <c r="AU388" s="6"/>
      <c r="AV388" s="6"/>
      <c r="AX388" t="b">
        <v>0</v>
      </c>
      <c r="AY388" s="6"/>
      <c r="AZ388" s="6"/>
      <c r="BA388" t="b">
        <v>0</v>
      </c>
      <c r="BB388" s="6"/>
      <c r="BC388" t="b">
        <v>0</v>
      </c>
      <c r="BD388" s="6"/>
      <c r="BE388" s="6"/>
      <c r="BF388" t="b">
        <v>0</v>
      </c>
      <c r="BG388" s="6"/>
      <c r="BH388" t="b">
        <v>0</v>
      </c>
      <c r="BI388" s="6"/>
      <c r="BJ388" t="b">
        <v>0</v>
      </c>
      <c r="BL388" t="b">
        <v>0</v>
      </c>
      <c r="BM388" t="b">
        <v>0</v>
      </c>
      <c r="BN388" t="b">
        <v>0</v>
      </c>
      <c r="BO388" t="b">
        <v>0</v>
      </c>
      <c r="BQ388" t="b">
        <v>1</v>
      </c>
      <c r="BR388" s="6" t="s">
        <v>2086</v>
      </c>
      <c r="BS388" t="s">
        <v>2047</v>
      </c>
      <c r="BT388" t="b">
        <v>1</v>
      </c>
      <c r="BU388" t="s">
        <v>2048</v>
      </c>
      <c r="BV388" t="s">
        <v>504</v>
      </c>
      <c r="BW388" t="s">
        <v>171</v>
      </c>
      <c r="BX388" t="s">
        <v>2087</v>
      </c>
      <c r="BY388" s="6" t="s">
        <v>2088</v>
      </c>
      <c r="BZ388">
        <v>1</v>
      </c>
      <c r="CB388" s="7">
        <v>46315.0537962963</v>
      </c>
    </row>
    <row r="389" spans="1:80">
      <c r="A389" s="6" t="s">
        <v>2089</v>
      </c>
      <c r="B389" t="s">
        <v>491</v>
      </c>
      <c r="C389" s="6" t="s">
        <v>2038</v>
      </c>
      <c r="D389" s="6"/>
      <c r="E389" t="s">
        <v>2039</v>
      </c>
      <c r="F389" t="s">
        <v>2040</v>
      </c>
      <c r="G389" s="6">
        <v>6</v>
      </c>
      <c r="H389" s="6" t="s">
        <v>2084</v>
      </c>
      <c r="I389" t="s">
        <v>491</v>
      </c>
      <c r="J389" s="3">
        <v>46270</v>
      </c>
      <c r="K389" t="s">
        <v>2052</v>
      </c>
      <c r="L389" t="s">
        <v>139</v>
      </c>
      <c r="N389" t="s">
        <v>1390</v>
      </c>
      <c r="Q389" t="s">
        <v>2085</v>
      </c>
      <c r="S389" t="s">
        <v>144</v>
      </c>
      <c r="X389" s="6"/>
      <c r="Y389" s="6"/>
      <c r="Z389" t="s">
        <v>148</v>
      </c>
      <c r="AD389" s="6" t="s">
        <v>2090</v>
      </c>
      <c r="AF389" s="3"/>
      <c r="AH389" t="b">
        <v>0</v>
      </c>
      <c r="AI389" t="b">
        <v>0</v>
      </c>
      <c r="AJ389" s="6"/>
      <c r="AK389" s="6"/>
      <c r="AL389" t="b">
        <v>0</v>
      </c>
      <c r="AM389" s="6"/>
      <c r="AN389" s="6"/>
      <c r="AP389" t="b">
        <v>0</v>
      </c>
      <c r="AQ389" s="6"/>
      <c r="AR389" s="6"/>
      <c r="AT389" t="b">
        <v>0</v>
      </c>
      <c r="AU389" s="6"/>
      <c r="AV389" s="6"/>
      <c r="AX389" t="b">
        <v>0</v>
      </c>
      <c r="AY389" s="6"/>
      <c r="AZ389" s="6"/>
      <c r="BA389" t="b">
        <v>0</v>
      </c>
      <c r="BB389" s="6"/>
      <c r="BC389" t="b">
        <v>0</v>
      </c>
      <c r="BD389" s="6"/>
      <c r="BE389" s="6"/>
      <c r="BF389" t="b">
        <v>0</v>
      </c>
      <c r="BG389" s="6"/>
      <c r="BH389" t="b">
        <v>0</v>
      </c>
      <c r="BI389" s="6"/>
      <c r="BJ389" t="b">
        <v>0</v>
      </c>
      <c r="BL389" t="b">
        <v>0</v>
      </c>
      <c r="BM389" t="b">
        <v>0</v>
      </c>
      <c r="BN389" t="b">
        <v>0</v>
      </c>
      <c r="BO389" t="b">
        <v>0</v>
      </c>
      <c r="BQ389" t="b">
        <v>0</v>
      </c>
      <c r="BR389" s="6"/>
      <c r="BT389" t="b">
        <v>0</v>
      </c>
      <c r="BV389" t="s">
        <v>504</v>
      </c>
      <c r="BW389" t="s">
        <v>154</v>
      </c>
      <c r="BX389" t="s">
        <v>2055</v>
      </c>
      <c r="BY389" s="6" t="s">
        <v>2091</v>
      </c>
      <c r="BZ389">
        <v>1</v>
      </c>
      <c r="CA389" t="s">
        <v>157</v>
      </c>
      <c r="CB389" s="7">
        <v>46315.0537962963</v>
      </c>
    </row>
    <row r="390" spans="1:80">
      <c r="A390" s="6" t="s">
        <v>2092</v>
      </c>
      <c r="B390" t="s">
        <v>491</v>
      </c>
      <c r="C390" s="6" t="s">
        <v>2038</v>
      </c>
      <c r="D390" s="6"/>
      <c r="E390" t="s">
        <v>2039</v>
      </c>
      <c r="F390" t="s">
        <v>2040</v>
      </c>
      <c r="G390" s="6">
        <v>7</v>
      </c>
      <c r="H390" s="6"/>
      <c r="I390" t="s">
        <v>491</v>
      </c>
      <c r="J390" s="3">
        <v>46270</v>
      </c>
      <c r="K390" t="s">
        <v>2041</v>
      </c>
      <c r="L390" t="s">
        <v>139</v>
      </c>
      <c r="N390" t="s">
        <v>1818</v>
      </c>
      <c r="Q390" t="s">
        <v>268</v>
      </c>
      <c r="S390" t="s">
        <v>249</v>
      </c>
      <c r="T390" t="s">
        <v>269</v>
      </c>
      <c r="V390" t="s">
        <v>636</v>
      </c>
      <c r="W390" t="s">
        <v>33</v>
      </c>
      <c r="X390" s="6" t="s">
        <v>271</v>
      </c>
      <c r="Y390" s="6"/>
      <c r="Z390" t="s">
        <v>148</v>
      </c>
      <c r="AA390" t="s">
        <v>149</v>
      </c>
      <c r="AC390" t="s">
        <v>150</v>
      </c>
      <c r="AD390" s="6"/>
      <c r="AF390" s="3">
        <v>39476</v>
      </c>
      <c r="AG390">
        <v>18</v>
      </c>
      <c r="AH390" t="b">
        <v>0</v>
      </c>
      <c r="AI390" t="b">
        <v>0</v>
      </c>
      <c r="AJ390" s="6"/>
      <c r="AK390" s="6"/>
      <c r="AL390" t="b">
        <v>0</v>
      </c>
      <c r="AM390" s="6"/>
      <c r="AN390" s="6"/>
      <c r="AP390" t="b">
        <v>0</v>
      </c>
      <c r="AQ390" s="6"/>
      <c r="AR390" s="6"/>
      <c r="AT390" t="b">
        <v>0</v>
      </c>
      <c r="AU390" s="6"/>
      <c r="AV390" s="6"/>
      <c r="AX390" t="b">
        <v>0</v>
      </c>
      <c r="AY390" s="6"/>
      <c r="AZ390" s="6"/>
      <c r="BA390" t="b">
        <v>0</v>
      </c>
      <c r="BB390" s="6"/>
      <c r="BC390" t="b">
        <v>0</v>
      </c>
      <c r="BD390" s="6"/>
      <c r="BE390" s="6"/>
      <c r="BF390" t="b">
        <v>0</v>
      </c>
      <c r="BG390" s="6"/>
      <c r="BH390" t="b">
        <v>0</v>
      </c>
      <c r="BI390" s="6"/>
      <c r="BJ390" t="b">
        <v>0</v>
      </c>
      <c r="BL390" t="b">
        <v>0</v>
      </c>
      <c r="BM390" t="b">
        <v>0</v>
      </c>
      <c r="BN390" t="b">
        <v>0</v>
      </c>
      <c r="BO390" t="b">
        <v>0</v>
      </c>
      <c r="BQ390" t="b">
        <v>1</v>
      </c>
      <c r="BR390" s="6" t="s">
        <v>2093</v>
      </c>
      <c r="BS390" t="s">
        <v>2069</v>
      </c>
      <c r="BT390" t="b">
        <v>1</v>
      </c>
      <c r="BU390" t="s">
        <v>2048</v>
      </c>
      <c r="BV390" t="s">
        <v>504</v>
      </c>
      <c r="BW390" t="s">
        <v>171</v>
      </c>
      <c r="BX390" t="s">
        <v>49</v>
      </c>
      <c r="BY390" s="6" t="s">
        <v>1823</v>
      </c>
      <c r="BZ390">
        <v>1</v>
      </c>
      <c r="CB390" s="7">
        <v>46315.0537962963</v>
      </c>
    </row>
    <row r="391" spans="1:80">
      <c r="A391" s="6" t="s">
        <v>2094</v>
      </c>
      <c r="B391" t="s">
        <v>491</v>
      </c>
      <c r="C391" s="6" t="s">
        <v>2038</v>
      </c>
      <c r="D391" s="6"/>
      <c r="E391" t="s">
        <v>2039</v>
      </c>
      <c r="F391" t="s">
        <v>2040</v>
      </c>
      <c r="G391" s="6">
        <v>7</v>
      </c>
      <c r="H391" s="6" t="s">
        <v>2092</v>
      </c>
      <c r="I391" t="s">
        <v>491</v>
      </c>
      <c r="J391" s="3">
        <v>46270</v>
      </c>
      <c r="K391" t="s">
        <v>2052</v>
      </c>
      <c r="L391" t="s">
        <v>139</v>
      </c>
      <c r="N391" t="s">
        <v>266</v>
      </c>
      <c r="Q391" t="s">
        <v>268</v>
      </c>
      <c r="S391" t="s">
        <v>144</v>
      </c>
      <c r="X391" s="6"/>
      <c r="Y391" s="6"/>
      <c r="Z391" t="s">
        <v>148</v>
      </c>
      <c r="AD391" s="6" t="s">
        <v>1177</v>
      </c>
      <c r="AF391" s="3"/>
      <c r="AH391" t="b">
        <v>0</v>
      </c>
      <c r="AI391" t="b">
        <v>0</v>
      </c>
      <c r="AJ391" s="6"/>
      <c r="AK391" s="6"/>
      <c r="AL391" t="b">
        <v>0</v>
      </c>
      <c r="AM391" s="6"/>
      <c r="AN391" s="6"/>
      <c r="AP391" t="b">
        <v>0</v>
      </c>
      <c r="AQ391" s="6"/>
      <c r="AR391" s="6"/>
      <c r="AT391" t="b">
        <v>0</v>
      </c>
      <c r="AU391" s="6"/>
      <c r="AV391" s="6"/>
      <c r="AX391" t="b">
        <v>0</v>
      </c>
      <c r="AY391" s="6"/>
      <c r="AZ391" s="6"/>
      <c r="BA391" t="b">
        <v>0</v>
      </c>
      <c r="BB391" s="6"/>
      <c r="BC391" t="b">
        <v>0</v>
      </c>
      <c r="BD391" s="6"/>
      <c r="BE391" s="6"/>
      <c r="BF391" t="b">
        <v>0</v>
      </c>
      <c r="BG391" s="6"/>
      <c r="BH391" t="b">
        <v>0</v>
      </c>
      <c r="BI391" s="6"/>
      <c r="BJ391" t="b">
        <v>0</v>
      </c>
      <c r="BL391" t="b">
        <v>0</v>
      </c>
      <c r="BM391" t="b">
        <v>0</v>
      </c>
      <c r="BN391" t="b">
        <v>0</v>
      </c>
      <c r="BO391" t="b">
        <v>0</v>
      </c>
      <c r="BQ391" t="b">
        <v>0</v>
      </c>
      <c r="BR391" s="6"/>
      <c r="BT391" t="b">
        <v>0</v>
      </c>
      <c r="BV391" t="s">
        <v>504</v>
      </c>
      <c r="BW391" t="s">
        <v>154</v>
      </c>
      <c r="BX391" t="s">
        <v>2072</v>
      </c>
      <c r="BY391" s="6" t="s">
        <v>2095</v>
      </c>
      <c r="BZ391">
        <v>1</v>
      </c>
      <c r="CA391" t="s">
        <v>157</v>
      </c>
      <c r="CB391" s="7">
        <v>46315.0537962963</v>
      </c>
    </row>
    <row r="392" spans="1:80">
      <c r="A392" s="6" t="s">
        <v>2096</v>
      </c>
      <c r="B392" t="s">
        <v>491</v>
      </c>
      <c r="C392" s="6" t="s">
        <v>2038</v>
      </c>
      <c r="D392" s="6"/>
      <c r="E392" t="s">
        <v>2039</v>
      </c>
      <c r="F392" t="s">
        <v>2040</v>
      </c>
      <c r="G392" s="6">
        <v>8</v>
      </c>
      <c r="H392" s="6"/>
      <c r="I392" t="s">
        <v>491</v>
      </c>
      <c r="J392" s="3">
        <v>46270</v>
      </c>
      <c r="K392" t="s">
        <v>2041</v>
      </c>
      <c r="L392" t="s">
        <v>139</v>
      </c>
      <c r="N392" t="s">
        <v>1622</v>
      </c>
      <c r="O392" t="s">
        <v>324</v>
      </c>
      <c r="P392" t="s">
        <v>324</v>
      </c>
      <c r="Q392" t="s">
        <v>547</v>
      </c>
      <c r="S392" t="s">
        <v>249</v>
      </c>
      <c r="T392" t="s">
        <v>1325</v>
      </c>
      <c r="V392" t="s">
        <v>1326</v>
      </c>
      <c r="W392" t="s">
        <v>36</v>
      </c>
      <c r="X392" s="6" t="s">
        <v>1327</v>
      </c>
      <c r="Y392" s="6"/>
      <c r="Z392" t="s">
        <v>148</v>
      </c>
      <c r="AA392" t="s">
        <v>149</v>
      </c>
      <c r="AC392" t="s">
        <v>150</v>
      </c>
      <c r="AD392" s="6"/>
      <c r="AF392" s="3">
        <v>39859</v>
      </c>
      <c r="AG392">
        <v>17</v>
      </c>
      <c r="AH392" t="b">
        <v>1</v>
      </c>
      <c r="AI392" t="b">
        <v>0</v>
      </c>
      <c r="AJ392" s="6"/>
      <c r="AK392" s="6"/>
      <c r="AL392" t="b">
        <v>0</v>
      </c>
      <c r="AM392" s="6"/>
      <c r="AN392" s="6"/>
      <c r="AP392" t="b">
        <v>0</v>
      </c>
      <c r="AQ392" s="6"/>
      <c r="AR392" s="6"/>
      <c r="AT392" t="b">
        <v>0</v>
      </c>
      <c r="AU392" s="6"/>
      <c r="AV392" s="6"/>
      <c r="AX392" t="b">
        <v>0</v>
      </c>
      <c r="AY392" s="6"/>
      <c r="AZ392" s="6"/>
      <c r="BA392" t="b">
        <v>0</v>
      </c>
      <c r="BB392" s="6"/>
      <c r="BC392" t="b">
        <v>0</v>
      </c>
      <c r="BD392" s="6"/>
      <c r="BE392" s="6"/>
      <c r="BF392" t="b">
        <v>0</v>
      </c>
      <c r="BG392" s="6"/>
      <c r="BH392" t="b">
        <v>0</v>
      </c>
      <c r="BI392" s="6"/>
      <c r="BJ392" t="b">
        <v>0</v>
      </c>
      <c r="BL392" t="b">
        <v>0</v>
      </c>
      <c r="BM392" t="b">
        <v>0</v>
      </c>
      <c r="BN392" t="b">
        <v>0</v>
      </c>
      <c r="BO392" t="b">
        <v>0</v>
      </c>
      <c r="BQ392" t="b">
        <v>1</v>
      </c>
      <c r="BR392" s="6" t="s">
        <v>2097</v>
      </c>
      <c r="BS392" t="s">
        <v>2047</v>
      </c>
      <c r="BT392" t="b">
        <v>1</v>
      </c>
      <c r="BU392" t="s">
        <v>2048</v>
      </c>
      <c r="BV392" t="s">
        <v>504</v>
      </c>
      <c r="BW392" t="s">
        <v>154</v>
      </c>
      <c r="BX392" t="s">
        <v>2098</v>
      </c>
      <c r="BY392" s="6" t="s">
        <v>1626</v>
      </c>
      <c r="BZ392">
        <v>1</v>
      </c>
      <c r="CA392" t="s">
        <v>157</v>
      </c>
      <c r="CB392" s="7">
        <v>46315.0537962963</v>
      </c>
    </row>
    <row r="393" spans="1:80">
      <c r="A393" s="6" t="s">
        <v>2099</v>
      </c>
      <c r="B393" t="s">
        <v>491</v>
      </c>
      <c r="C393" s="6" t="s">
        <v>2038</v>
      </c>
      <c r="D393" s="6"/>
      <c r="E393" t="s">
        <v>2039</v>
      </c>
      <c r="F393" t="s">
        <v>2040</v>
      </c>
      <c r="G393" s="6">
        <v>8</v>
      </c>
      <c r="H393" s="6" t="s">
        <v>2096</v>
      </c>
      <c r="I393" t="s">
        <v>491</v>
      </c>
      <c r="J393" s="3">
        <v>46270</v>
      </c>
      <c r="K393" t="s">
        <v>2052</v>
      </c>
      <c r="L393" t="s">
        <v>139</v>
      </c>
      <c r="N393" t="s">
        <v>1324</v>
      </c>
      <c r="Q393" t="s">
        <v>547</v>
      </c>
      <c r="S393" t="s">
        <v>144</v>
      </c>
      <c r="X393" s="6"/>
      <c r="Y393" s="6"/>
      <c r="Z393" t="s">
        <v>148</v>
      </c>
      <c r="AD393" s="6" t="s">
        <v>1328</v>
      </c>
      <c r="AF393" s="3"/>
      <c r="AH393" t="b">
        <v>0</v>
      </c>
      <c r="AI393" t="b">
        <v>0</v>
      </c>
      <c r="AJ393" s="6"/>
      <c r="AK393" s="6"/>
      <c r="AL393" t="b">
        <v>0</v>
      </c>
      <c r="AM393" s="6"/>
      <c r="AN393" s="6"/>
      <c r="AP393" t="b">
        <v>0</v>
      </c>
      <c r="AQ393" s="6"/>
      <c r="AR393" s="6"/>
      <c r="AT393" t="b">
        <v>0</v>
      </c>
      <c r="AU393" s="6"/>
      <c r="AV393" s="6"/>
      <c r="AX393" t="b">
        <v>0</v>
      </c>
      <c r="AY393" s="6"/>
      <c r="AZ393" s="6"/>
      <c r="BA393" t="b">
        <v>0</v>
      </c>
      <c r="BB393" s="6"/>
      <c r="BC393" t="b">
        <v>0</v>
      </c>
      <c r="BD393" s="6"/>
      <c r="BE393" s="6"/>
      <c r="BF393" t="b">
        <v>0</v>
      </c>
      <c r="BG393" s="6"/>
      <c r="BH393" t="b">
        <v>0</v>
      </c>
      <c r="BI393" s="6"/>
      <c r="BJ393" t="b">
        <v>0</v>
      </c>
      <c r="BL393" t="b">
        <v>0</v>
      </c>
      <c r="BM393" t="b">
        <v>0</v>
      </c>
      <c r="BN393" t="b">
        <v>0</v>
      </c>
      <c r="BO393" t="b">
        <v>0</v>
      </c>
      <c r="BQ393" t="b">
        <v>0</v>
      </c>
      <c r="BR393" s="6"/>
      <c r="BT393" t="b">
        <v>0</v>
      </c>
      <c r="BV393" t="s">
        <v>504</v>
      </c>
      <c r="BW393" t="s">
        <v>154</v>
      </c>
      <c r="BX393" t="s">
        <v>2100</v>
      </c>
      <c r="BY393" s="6" t="s">
        <v>2101</v>
      </c>
      <c r="BZ393">
        <v>1</v>
      </c>
      <c r="CA393" t="s">
        <v>157</v>
      </c>
      <c r="CB393" s="7">
        <v>46315.0537962963</v>
      </c>
    </row>
    <row r="394" spans="1:80">
      <c r="A394" s="6" t="s">
        <v>2102</v>
      </c>
      <c r="B394" t="s">
        <v>491</v>
      </c>
      <c r="C394" s="6" t="s">
        <v>2038</v>
      </c>
      <c r="D394" s="6"/>
      <c r="E394" t="s">
        <v>2039</v>
      </c>
      <c r="F394" t="s">
        <v>2040</v>
      </c>
      <c r="G394" s="6">
        <v>9</v>
      </c>
      <c r="H394" s="6"/>
      <c r="I394" t="s">
        <v>491</v>
      </c>
      <c r="J394" s="3">
        <v>46270</v>
      </c>
      <c r="K394" t="s">
        <v>2041</v>
      </c>
      <c r="L394" t="s">
        <v>139</v>
      </c>
      <c r="N394" t="s">
        <v>1421</v>
      </c>
      <c r="O394" t="s">
        <v>142</v>
      </c>
      <c r="P394" t="s">
        <v>142</v>
      </c>
      <c r="Q394" t="s">
        <v>2103</v>
      </c>
      <c r="S394" t="s">
        <v>249</v>
      </c>
      <c r="T394" t="s">
        <v>2104</v>
      </c>
      <c r="V394" t="s">
        <v>2105</v>
      </c>
      <c r="W394" t="s">
        <v>39</v>
      </c>
      <c r="X394" s="6" t="s">
        <v>2106</v>
      </c>
      <c r="Y394" s="6"/>
      <c r="Z394" t="s">
        <v>148</v>
      </c>
      <c r="AA394" t="s">
        <v>205</v>
      </c>
      <c r="AC394" t="s">
        <v>150</v>
      </c>
      <c r="AD394" s="6"/>
      <c r="AF394" s="3">
        <v>41010</v>
      </c>
      <c r="AG394">
        <v>14</v>
      </c>
      <c r="AH394" t="b">
        <v>1</v>
      </c>
      <c r="AI394" t="b">
        <v>0</v>
      </c>
      <c r="AJ394" s="6"/>
      <c r="AK394" s="6"/>
      <c r="AL394" t="b">
        <v>0</v>
      </c>
      <c r="AM394" s="6"/>
      <c r="AN394" s="6"/>
      <c r="AP394" t="b">
        <v>0</v>
      </c>
      <c r="AQ394" s="6"/>
      <c r="AR394" s="6"/>
      <c r="AT394" t="b">
        <v>0</v>
      </c>
      <c r="AU394" s="6"/>
      <c r="AV394" s="6"/>
      <c r="AX394" t="b">
        <v>0</v>
      </c>
      <c r="AY394" s="6"/>
      <c r="AZ394" s="6"/>
      <c r="BA394" t="b">
        <v>0</v>
      </c>
      <c r="BB394" s="6"/>
      <c r="BC394" t="b">
        <v>0</v>
      </c>
      <c r="BD394" s="6"/>
      <c r="BE394" s="6"/>
      <c r="BF394" t="b">
        <v>0</v>
      </c>
      <c r="BG394" s="6"/>
      <c r="BH394" t="b">
        <v>0</v>
      </c>
      <c r="BI394" s="6"/>
      <c r="BJ394" t="b">
        <v>0</v>
      </c>
      <c r="BL394" t="b">
        <v>0</v>
      </c>
      <c r="BM394" t="b">
        <v>0</v>
      </c>
      <c r="BN394" t="b">
        <v>0</v>
      </c>
      <c r="BO394" t="b">
        <v>0</v>
      </c>
      <c r="BQ394" t="b">
        <v>1</v>
      </c>
      <c r="BR394" s="6" t="s">
        <v>2107</v>
      </c>
      <c r="BS394" t="s">
        <v>2047</v>
      </c>
      <c r="BT394" t="b">
        <v>1</v>
      </c>
      <c r="BU394" t="s">
        <v>2048</v>
      </c>
      <c r="BV394" t="s">
        <v>504</v>
      </c>
      <c r="BW394" t="s">
        <v>154</v>
      </c>
      <c r="BX394" t="s">
        <v>2049</v>
      </c>
      <c r="BY394" s="6" t="s">
        <v>2108</v>
      </c>
      <c r="BZ394">
        <v>1</v>
      </c>
      <c r="CA394" t="s">
        <v>157</v>
      </c>
      <c r="CB394" s="7">
        <v>46315.0537962963</v>
      </c>
    </row>
    <row r="395" spans="1:80">
      <c r="A395" s="6" t="s">
        <v>2109</v>
      </c>
      <c r="B395" t="s">
        <v>491</v>
      </c>
      <c r="C395" s="6" t="s">
        <v>2038</v>
      </c>
      <c r="D395" s="6"/>
      <c r="E395" t="s">
        <v>2039</v>
      </c>
      <c r="F395" t="s">
        <v>2040</v>
      </c>
      <c r="G395" s="6">
        <v>9</v>
      </c>
      <c r="H395" s="6" t="s">
        <v>2102</v>
      </c>
      <c r="I395" t="s">
        <v>491</v>
      </c>
      <c r="J395" s="3">
        <v>46270</v>
      </c>
      <c r="K395" t="s">
        <v>2052</v>
      </c>
      <c r="L395" t="s">
        <v>139</v>
      </c>
      <c r="N395" t="s">
        <v>1622</v>
      </c>
      <c r="Q395" t="s">
        <v>2103</v>
      </c>
      <c r="S395" t="s">
        <v>144</v>
      </c>
      <c r="X395" s="6"/>
      <c r="Y395" s="6"/>
      <c r="Z395" t="s">
        <v>148</v>
      </c>
      <c r="AD395" s="6" t="s">
        <v>2110</v>
      </c>
      <c r="AF395" s="3"/>
      <c r="AH395" t="b">
        <v>0</v>
      </c>
      <c r="AI395" t="b">
        <v>0</v>
      </c>
      <c r="AJ395" s="6"/>
      <c r="AK395" s="6"/>
      <c r="AL395" t="b">
        <v>0</v>
      </c>
      <c r="AM395" s="6"/>
      <c r="AN395" s="6"/>
      <c r="AP395" t="b">
        <v>0</v>
      </c>
      <c r="AQ395" s="6"/>
      <c r="AR395" s="6"/>
      <c r="AT395" t="b">
        <v>0</v>
      </c>
      <c r="AU395" s="6"/>
      <c r="AV395" s="6"/>
      <c r="AX395" t="b">
        <v>0</v>
      </c>
      <c r="AY395" s="6"/>
      <c r="AZ395" s="6"/>
      <c r="BA395" t="b">
        <v>0</v>
      </c>
      <c r="BB395" s="6"/>
      <c r="BC395" t="b">
        <v>0</v>
      </c>
      <c r="BD395" s="6"/>
      <c r="BE395" s="6"/>
      <c r="BF395" t="b">
        <v>0</v>
      </c>
      <c r="BG395" s="6"/>
      <c r="BH395" t="b">
        <v>0</v>
      </c>
      <c r="BI395" s="6"/>
      <c r="BJ395" t="b">
        <v>0</v>
      </c>
      <c r="BL395" t="b">
        <v>0</v>
      </c>
      <c r="BM395" t="b">
        <v>0</v>
      </c>
      <c r="BN395" t="b">
        <v>0</v>
      </c>
      <c r="BO395" t="b">
        <v>0</v>
      </c>
      <c r="BQ395" t="b">
        <v>0</v>
      </c>
      <c r="BR395" s="6"/>
      <c r="BT395" t="b">
        <v>0</v>
      </c>
      <c r="BV395" t="s">
        <v>504</v>
      </c>
      <c r="BW395" t="s">
        <v>154</v>
      </c>
      <c r="BX395" t="s">
        <v>2055</v>
      </c>
      <c r="BY395" s="6" t="s">
        <v>2111</v>
      </c>
      <c r="BZ395">
        <v>1</v>
      </c>
      <c r="CA395" t="s">
        <v>157</v>
      </c>
      <c r="CB395" s="7">
        <v>46315.0537962963</v>
      </c>
    </row>
    <row r="396" spans="1:80">
      <c r="A396" s="6" t="s">
        <v>2112</v>
      </c>
      <c r="B396" t="s">
        <v>491</v>
      </c>
      <c r="C396" s="6" t="s">
        <v>2038</v>
      </c>
      <c r="D396" s="6"/>
      <c r="E396" t="s">
        <v>2039</v>
      </c>
      <c r="F396" t="s">
        <v>2040</v>
      </c>
      <c r="G396" s="6">
        <v>10</v>
      </c>
      <c r="H396" s="6"/>
      <c r="I396" t="s">
        <v>491</v>
      </c>
      <c r="J396" s="3">
        <v>46270</v>
      </c>
      <c r="K396" t="s">
        <v>2041</v>
      </c>
      <c r="L396" t="s">
        <v>139</v>
      </c>
      <c r="N396" t="s">
        <v>776</v>
      </c>
      <c r="Q396" t="s">
        <v>315</v>
      </c>
      <c r="S396" t="s">
        <v>249</v>
      </c>
      <c r="T396" t="s">
        <v>2113</v>
      </c>
      <c r="V396" t="s">
        <v>2114</v>
      </c>
      <c r="W396" t="s">
        <v>34</v>
      </c>
      <c r="X396" s="6" t="s">
        <v>2115</v>
      </c>
      <c r="Y396" s="6"/>
      <c r="Z396" t="s">
        <v>148</v>
      </c>
      <c r="AA396" t="s">
        <v>205</v>
      </c>
      <c r="AC396" t="s">
        <v>150</v>
      </c>
      <c r="AD396" s="6"/>
      <c r="AF396" s="3">
        <v>40397</v>
      </c>
      <c r="AG396">
        <v>16</v>
      </c>
      <c r="AH396" t="b">
        <v>1</v>
      </c>
      <c r="AI396" t="b">
        <v>0</v>
      </c>
      <c r="AJ396" s="6"/>
      <c r="AK396" s="6"/>
      <c r="AL396" t="b">
        <v>0</v>
      </c>
      <c r="AM396" s="6"/>
      <c r="AN396" s="6"/>
      <c r="AP396" t="b">
        <v>0</v>
      </c>
      <c r="AQ396" s="6"/>
      <c r="AR396" s="6"/>
      <c r="AT396" t="b">
        <v>0</v>
      </c>
      <c r="AU396" s="6"/>
      <c r="AV396" s="6"/>
      <c r="AX396" t="b">
        <v>0</v>
      </c>
      <c r="AY396" s="6"/>
      <c r="AZ396" s="6"/>
      <c r="BA396" t="b">
        <v>0</v>
      </c>
      <c r="BB396" s="6"/>
      <c r="BC396" t="b">
        <v>0</v>
      </c>
      <c r="BD396" s="6"/>
      <c r="BE396" s="6"/>
      <c r="BF396" t="b">
        <v>0</v>
      </c>
      <c r="BG396" s="6"/>
      <c r="BH396" t="b">
        <v>0</v>
      </c>
      <c r="BI396" s="6"/>
      <c r="BJ396" t="b">
        <v>0</v>
      </c>
      <c r="BL396" t="b">
        <v>0</v>
      </c>
      <c r="BM396" t="b">
        <v>0</v>
      </c>
      <c r="BN396" t="b">
        <v>0</v>
      </c>
      <c r="BO396" t="b">
        <v>0</v>
      </c>
      <c r="BQ396" t="b">
        <v>1</v>
      </c>
      <c r="BR396" s="6" t="s">
        <v>2116</v>
      </c>
      <c r="BS396" t="s">
        <v>2047</v>
      </c>
      <c r="BT396" t="b">
        <v>1</v>
      </c>
      <c r="BU396" t="s">
        <v>2048</v>
      </c>
      <c r="BV396" t="s">
        <v>504</v>
      </c>
      <c r="BW396" t="s">
        <v>154</v>
      </c>
      <c r="BX396" t="s">
        <v>2049</v>
      </c>
      <c r="BY396" s="6" t="s">
        <v>2117</v>
      </c>
      <c r="BZ396">
        <v>1</v>
      </c>
      <c r="CA396" t="s">
        <v>157</v>
      </c>
      <c r="CB396" s="7">
        <v>46315.0537962963</v>
      </c>
    </row>
    <row r="397" spans="1:80">
      <c r="A397" s="6" t="s">
        <v>2118</v>
      </c>
      <c r="B397" t="s">
        <v>491</v>
      </c>
      <c r="C397" s="6" t="s">
        <v>2038</v>
      </c>
      <c r="D397" s="6"/>
      <c r="E397" t="s">
        <v>2039</v>
      </c>
      <c r="F397" t="s">
        <v>2040</v>
      </c>
      <c r="G397" s="6">
        <v>10</v>
      </c>
      <c r="H397" s="6" t="s">
        <v>2112</v>
      </c>
      <c r="I397" t="s">
        <v>491</v>
      </c>
      <c r="J397" s="3">
        <v>46270</v>
      </c>
      <c r="K397" t="s">
        <v>2052</v>
      </c>
      <c r="L397" t="s">
        <v>139</v>
      </c>
      <c r="N397" t="s">
        <v>2119</v>
      </c>
      <c r="Q397" t="s">
        <v>315</v>
      </c>
      <c r="S397" t="s">
        <v>144</v>
      </c>
      <c r="X397" s="6"/>
      <c r="Y397" s="6"/>
      <c r="Z397" t="s">
        <v>148</v>
      </c>
      <c r="AD397" s="6" t="s">
        <v>2120</v>
      </c>
      <c r="AF397" s="3"/>
      <c r="AH397" t="b">
        <v>0</v>
      </c>
      <c r="AI397" t="b">
        <v>0</v>
      </c>
      <c r="AJ397" s="6"/>
      <c r="AK397" s="6"/>
      <c r="AL397" t="b">
        <v>0</v>
      </c>
      <c r="AM397" s="6"/>
      <c r="AN397" s="6"/>
      <c r="AP397" t="b">
        <v>0</v>
      </c>
      <c r="AQ397" s="6"/>
      <c r="AR397" s="6"/>
      <c r="AT397" t="b">
        <v>0</v>
      </c>
      <c r="AU397" s="6"/>
      <c r="AV397" s="6"/>
      <c r="AX397" t="b">
        <v>0</v>
      </c>
      <c r="AY397" s="6"/>
      <c r="AZ397" s="6"/>
      <c r="BA397" t="b">
        <v>0</v>
      </c>
      <c r="BB397" s="6"/>
      <c r="BC397" t="b">
        <v>0</v>
      </c>
      <c r="BD397" s="6"/>
      <c r="BE397" s="6"/>
      <c r="BF397" t="b">
        <v>0</v>
      </c>
      <c r="BG397" s="6"/>
      <c r="BH397" t="b">
        <v>0</v>
      </c>
      <c r="BI397" s="6"/>
      <c r="BJ397" t="b">
        <v>0</v>
      </c>
      <c r="BL397" t="b">
        <v>0</v>
      </c>
      <c r="BM397" t="b">
        <v>0</v>
      </c>
      <c r="BN397" t="b">
        <v>0</v>
      </c>
      <c r="BO397" t="b">
        <v>0</v>
      </c>
      <c r="BQ397" t="b">
        <v>0</v>
      </c>
      <c r="BR397" s="6"/>
      <c r="BT397" t="b">
        <v>0</v>
      </c>
      <c r="BV397" t="s">
        <v>504</v>
      </c>
      <c r="BW397" t="s">
        <v>154</v>
      </c>
      <c r="BX397" t="s">
        <v>2072</v>
      </c>
      <c r="BY397" s="6" t="s">
        <v>2121</v>
      </c>
      <c r="BZ397">
        <v>1</v>
      </c>
      <c r="CA397" t="s">
        <v>157</v>
      </c>
      <c r="CB397" s="7">
        <v>46315.0537962963</v>
      </c>
    </row>
    <row r="398" spans="1:80">
      <c r="A398" s="6" t="s">
        <v>2122</v>
      </c>
      <c r="B398" t="s">
        <v>491</v>
      </c>
      <c r="C398" s="6" t="s">
        <v>2038</v>
      </c>
      <c r="D398" s="6"/>
      <c r="E398" t="s">
        <v>2039</v>
      </c>
      <c r="F398" t="s">
        <v>2040</v>
      </c>
      <c r="G398" s="6">
        <v>11</v>
      </c>
      <c r="H398" s="6"/>
      <c r="I398" t="s">
        <v>491</v>
      </c>
      <c r="J398" s="3">
        <v>46270</v>
      </c>
      <c r="K398" t="s">
        <v>2041</v>
      </c>
      <c r="L398" t="s">
        <v>139</v>
      </c>
      <c r="N398" t="s">
        <v>2123</v>
      </c>
      <c r="O398" t="s">
        <v>142</v>
      </c>
      <c r="P398" t="s">
        <v>142</v>
      </c>
      <c r="Q398" t="s">
        <v>2124</v>
      </c>
      <c r="S398" t="s">
        <v>249</v>
      </c>
      <c r="T398" t="s">
        <v>395</v>
      </c>
      <c r="V398" t="s">
        <v>396</v>
      </c>
      <c r="W398" t="s">
        <v>38</v>
      </c>
      <c r="X398" s="6" t="s">
        <v>397</v>
      </c>
      <c r="Y398" s="6"/>
      <c r="Z398" t="s">
        <v>148</v>
      </c>
      <c r="AA398" t="s">
        <v>149</v>
      </c>
      <c r="AC398" t="s">
        <v>150</v>
      </c>
      <c r="AD398" s="6"/>
      <c r="AF398" s="3">
        <v>40893</v>
      </c>
      <c r="AG398">
        <v>14</v>
      </c>
      <c r="AH398" t="b">
        <v>1</v>
      </c>
      <c r="AI398" t="b">
        <v>0</v>
      </c>
      <c r="AJ398" s="6"/>
      <c r="AK398" s="6"/>
      <c r="AL398" t="b">
        <v>0</v>
      </c>
      <c r="AM398" s="6"/>
      <c r="AN398" s="6"/>
      <c r="AP398" t="b">
        <v>0</v>
      </c>
      <c r="AQ398" s="6"/>
      <c r="AR398" s="6"/>
      <c r="AT398" t="b">
        <v>0</v>
      </c>
      <c r="AU398" s="6"/>
      <c r="AV398" s="6"/>
      <c r="AX398" t="b">
        <v>0</v>
      </c>
      <c r="AY398" s="6"/>
      <c r="AZ398" s="6"/>
      <c r="BA398" t="b">
        <v>0</v>
      </c>
      <c r="BB398" s="6"/>
      <c r="BC398" t="b">
        <v>0</v>
      </c>
      <c r="BD398" s="6"/>
      <c r="BE398" s="6"/>
      <c r="BF398" t="b">
        <v>0</v>
      </c>
      <c r="BG398" s="6"/>
      <c r="BH398" t="b">
        <v>0</v>
      </c>
      <c r="BI398" s="6"/>
      <c r="BJ398" t="b">
        <v>0</v>
      </c>
      <c r="BL398" t="b">
        <v>0</v>
      </c>
      <c r="BM398" t="b">
        <v>0</v>
      </c>
      <c r="BN398" t="b">
        <v>0</v>
      </c>
      <c r="BO398" t="b">
        <v>0</v>
      </c>
      <c r="BQ398" t="b">
        <v>1</v>
      </c>
      <c r="BR398" s="6" t="s">
        <v>2125</v>
      </c>
      <c r="BS398" t="s">
        <v>2047</v>
      </c>
      <c r="BT398" t="b">
        <v>1</v>
      </c>
      <c r="BU398" t="s">
        <v>2048</v>
      </c>
      <c r="BV398" t="s">
        <v>504</v>
      </c>
      <c r="BW398" t="s">
        <v>171</v>
      </c>
      <c r="BX398" t="s">
        <v>2087</v>
      </c>
      <c r="BY398" s="6" t="s">
        <v>2126</v>
      </c>
      <c r="BZ398">
        <v>1</v>
      </c>
      <c r="CB398" s="7">
        <v>46315.0537962963</v>
      </c>
    </row>
    <row r="399" spans="1:80">
      <c r="A399" s="6" t="s">
        <v>2127</v>
      </c>
      <c r="B399" t="s">
        <v>491</v>
      </c>
      <c r="C399" s="6" t="s">
        <v>2038</v>
      </c>
      <c r="D399" s="6"/>
      <c r="E399" t="s">
        <v>2039</v>
      </c>
      <c r="F399" t="s">
        <v>2040</v>
      </c>
      <c r="G399" s="6">
        <v>11</v>
      </c>
      <c r="H399" s="6" t="s">
        <v>2122</v>
      </c>
      <c r="I399" t="s">
        <v>491</v>
      </c>
      <c r="J399" s="3">
        <v>46270</v>
      </c>
      <c r="K399" t="s">
        <v>2052</v>
      </c>
      <c r="L399" t="s">
        <v>139</v>
      </c>
      <c r="N399" t="s">
        <v>832</v>
      </c>
      <c r="Q399" t="s">
        <v>2124</v>
      </c>
      <c r="S399" t="s">
        <v>144</v>
      </c>
      <c r="X399" s="6"/>
      <c r="Y399" s="6"/>
      <c r="Z399" t="s">
        <v>148</v>
      </c>
      <c r="AD399" s="6" t="s">
        <v>2128</v>
      </c>
      <c r="AF399" s="3"/>
      <c r="AH399" t="b">
        <v>0</v>
      </c>
      <c r="AI399" t="b">
        <v>0</v>
      </c>
      <c r="AJ399" s="6"/>
      <c r="AK399" s="6"/>
      <c r="AL399" t="b">
        <v>0</v>
      </c>
      <c r="AM399" s="6"/>
      <c r="AN399" s="6"/>
      <c r="AP399" t="b">
        <v>0</v>
      </c>
      <c r="AQ399" s="6"/>
      <c r="AR399" s="6"/>
      <c r="AT399" t="b">
        <v>0</v>
      </c>
      <c r="AU399" s="6"/>
      <c r="AV399" s="6"/>
      <c r="AX399" t="b">
        <v>0</v>
      </c>
      <c r="AY399" s="6"/>
      <c r="AZ399" s="6"/>
      <c r="BA399" t="b">
        <v>0</v>
      </c>
      <c r="BB399" s="6"/>
      <c r="BC399" t="b">
        <v>0</v>
      </c>
      <c r="BD399" s="6"/>
      <c r="BE399" s="6"/>
      <c r="BF399" t="b">
        <v>0</v>
      </c>
      <c r="BG399" s="6"/>
      <c r="BH399" t="b">
        <v>0</v>
      </c>
      <c r="BI399" s="6"/>
      <c r="BJ399" t="b">
        <v>0</v>
      </c>
      <c r="BL399" t="b">
        <v>0</v>
      </c>
      <c r="BM399" t="b">
        <v>0</v>
      </c>
      <c r="BN399" t="b">
        <v>0</v>
      </c>
      <c r="BO399" t="b">
        <v>0</v>
      </c>
      <c r="BQ399" t="b">
        <v>0</v>
      </c>
      <c r="BR399" s="6"/>
      <c r="BT399" t="b">
        <v>0</v>
      </c>
      <c r="BV399" t="s">
        <v>504</v>
      </c>
      <c r="BW399" t="s">
        <v>154</v>
      </c>
      <c r="BX399" t="s">
        <v>2072</v>
      </c>
      <c r="BY399" s="6" t="s">
        <v>2129</v>
      </c>
      <c r="BZ399">
        <v>1</v>
      </c>
      <c r="CA399" t="s">
        <v>157</v>
      </c>
      <c r="CB399" s="7">
        <v>46315.0537962963</v>
      </c>
    </row>
    <row r="400" spans="1:80">
      <c r="A400" s="6" t="s">
        <v>2130</v>
      </c>
      <c r="B400" t="s">
        <v>491</v>
      </c>
      <c r="C400" s="6" t="s">
        <v>2038</v>
      </c>
      <c r="D400" s="6"/>
      <c r="E400" t="s">
        <v>2039</v>
      </c>
      <c r="F400" t="s">
        <v>2040</v>
      </c>
      <c r="G400" s="6">
        <v>12</v>
      </c>
      <c r="H400" s="6"/>
      <c r="I400" t="s">
        <v>491</v>
      </c>
      <c r="J400" s="3">
        <v>46270</v>
      </c>
      <c r="K400" t="s">
        <v>2041</v>
      </c>
      <c r="L400" t="s">
        <v>139</v>
      </c>
      <c r="N400" t="s">
        <v>2131</v>
      </c>
      <c r="Q400" t="s">
        <v>2132</v>
      </c>
      <c r="S400" t="s">
        <v>249</v>
      </c>
      <c r="T400" t="s">
        <v>237</v>
      </c>
      <c r="V400" t="s">
        <v>238</v>
      </c>
      <c r="W400" t="s">
        <v>37</v>
      </c>
      <c r="X400" s="6" t="s">
        <v>239</v>
      </c>
      <c r="Y400" s="6"/>
      <c r="Z400" t="s">
        <v>148</v>
      </c>
      <c r="AA400" t="s">
        <v>149</v>
      </c>
      <c r="AC400" t="s">
        <v>150</v>
      </c>
      <c r="AD400" s="6"/>
      <c r="AF400" s="3">
        <v>40735</v>
      </c>
      <c r="AG400">
        <v>15</v>
      </c>
      <c r="AH400" t="b">
        <v>1</v>
      </c>
      <c r="AI400" t="b">
        <v>0</v>
      </c>
      <c r="AJ400" s="6"/>
      <c r="AK400" s="6"/>
      <c r="AL400" t="b">
        <v>0</v>
      </c>
      <c r="AM400" s="6"/>
      <c r="AN400" s="6"/>
      <c r="AP400" t="b">
        <v>0</v>
      </c>
      <c r="AQ400" s="6"/>
      <c r="AR400" s="6"/>
      <c r="AT400" t="b">
        <v>0</v>
      </c>
      <c r="AU400" s="6"/>
      <c r="AV400" s="6"/>
      <c r="AX400" t="b">
        <v>0</v>
      </c>
      <c r="AY400" s="6"/>
      <c r="AZ400" s="6"/>
      <c r="BA400" t="b">
        <v>0</v>
      </c>
      <c r="BB400" s="6"/>
      <c r="BC400" t="b">
        <v>0</v>
      </c>
      <c r="BD400" s="6"/>
      <c r="BE400" s="6"/>
      <c r="BF400" t="b">
        <v>0</v>
      </c>
      <c r="BG400" s="6"/>
      <c r="BH400" t="b">
        <v>0</v>
      </c>
      <c r="BI400" s="6"/>
      <c r="BJ400" t="b">
        <v>0</v>
      </c>
      <c r="BL400" t="b">
        <v>0</v>
      </c>
      <c r="BM400" t="b">
        <v>0</v>
      </c>
      <c r="BN400" t="b">
        <v>0</v>
      </c>
      <c r="BO400" t="b">
        <v>0</v>
      </c>
      <c r="BQ400" t="b">
        <v>1</v>
      </c>
      <c r="BR400" s="6" t="s">
        <v>2133</v>
      </c>
      <c r="BS400" t="s">
        <v>2047</v>
      </c>
      <c r="BT400" t="b">
        <v>1</v>
      </c>
      <c r="BU400" t="s">
        <v>2048</v>
      </c>
      <c r="BV400" t="s">
        <v>504</v>
      </c>
      <c r="BW400" t="s">
        <v>171</v>
      </c>
      <c r="BX400" t="s">
        <v>2087</v>
      </c>
      <c r="BY400" s="6" t="s">
        <v>2134</v>
      </c>
      <c r="BZ400">
        <v>1</v>
      </c>
      <c r="CB400" s="7">
        <v>46315.0537962963</v>
      </c>
    </row>
    <row r="401" spans="1:80">
      <c r="A401" s="6" t="s">
        <v>2135</v>
      </c>
      <c r="B401" t="s">
        <v>491</v>
      </c>
      <c r="C401" s="6" t="s">
        <v>2038</v>
      </c>
      <c r="D401" s="6"/>
      <c r="E401" t="s">
        <v>2039</v>
      </c>
      <c r="F401" t="s">
        <v>2040</v>
      </c>
      <c r="G401" s="6">
        <v>12</v>
      </c>
      <c r="H401" s="6" t="s">
        <v>2130</v>
      </c>
      <c r="I401" t="s">
        <v>491</v>
      </c>
      <c r="J401" s="3">
        <v>46270</v>
      </c>
      <c r="K401" t="s">
        <v>2052</v>
      </c>
      <c r="L401" t="s">
        <v>139</v>
      </c>
      <c r="N401" t="s">
        <v>2123</v>
      </c>
      <c r="Q401" t="s">
        <v>2132</v>
      </c>
      <c r="S401" t="s">
        <v>144</v>
      </c>
      <c r="X401" s="6"/>
      <c r="Y401" s="6"/>
      <c r="Z401" t="s">
        <v>148</v>
      </c>
      <c r="AD401" s="6" t="s">
        <v>2136</v>
      </c>
      <c r="AF401" s="3"/>
      <c r="AH401" t="b">
        <v>0</v>
      </c>
      <c r="AI401" t="b">
        <v>0</v>
      </c>
      <c r="AJ401" s="6"/>
      <c r="AK401" s="6"/>
      <c r="AL401" t="b">
        <v>0</v>
      </c>
      <c r="AM401" s="6"/>
      <c r="AN401" s="6"/>
      <c r="AP401" t="b">
        <v>0</v>
      </c>
      <c r="AQ401" s="6"/>
      <c r="AR401" s="6"/>
      <c r="AT401" t="b">
        <v>0</v>
      </c>
      <c r="AU401" s="6"/>
      <c r="AV401" s="6"/>
      <c r="AX401" t="b">
        <v>0</v>
      </c>
      <c r="AY401" s="6"/>
      <c r="AZ401" s="6"/>
      <c r="BA401" t="b">
        <v>0</v>
      </c>
      <c r="BB401" s="6"/>
      <c r="BC401" t="b">
        <v>0</v>
      </c>
      <c r="BD401" s="6"/>
      <c r="BE401" s="6"/>
      <c r="BF401" t="b">
        <v>0</v>
      </c>
      <c r="BG401" s="6"/>
      <c r="BH401" t="b">
        <v>0</v>
      </c>
      <c r="BI401" s="6"/>
      <c r="BJ401" t="b">
        <v>0</v>
      </c>
      <c r="BL401" t="b">
        <v>0</v>
      </c>
      <c r="BM401" t="b">
        <v>0</v>
      </c>
      <c r="BN401" t="b">
        <v>0</v>
      </c>
      <c r="BO401" t="b">
        <v>0</v>
      </c>
      <c r="BQ401" t="b">
        <v>0</v>
      </c>
      <c r="BR401" s="6"/>
      <c r="BT401" t="b">
        <v>0</v>
      </c>
      <c r="BV401" t="s">
        <v>504</v>
      </c>
      <c r="BW401" t="s">
        <v>154</v>
      </c>
      <c r="BX401" t="s">
        <v>2055</v>
      </c>
      <c r="BY401" s="6" t="s">
        <v>2137</v>
      </c>
      <c r="BZ401">
        <v>1</v>
      </c>
      <c r="CA401" t="s">
        <v>157</v>
      </c>
      <c r="CB401" s="7">
        <v>46315.0537962963</v>
      </c>
    </row>
    <row r="402" spans="1:80">
      <c r="A402" s="6" t="s">
        <v>2138</v>
      </c>
      <c r="B402" t="s">
        <v>491</v>
      </c>
      <c r="C402" s="6" t="s">
        <v>2038</v>
      </c>
      <c r="D402" s="6"/>
      <c r="E402" t="s">
        <v>2039</v>
      </c>
      <c r="F402" t="s">
        <v>2040</v>
      </c>
      <c r="G402" s="6">
        <v>13</v>
      </c>
      <c r="H402" s="6"/>
      <c r="I402" t="s">
        <v>491</v>
      </c>
      <c r="J402" s="3">
        <v>46270</v>
      </c>
      <c r="K402" t="s">
        <v>2041</v>
      </c>
      <c r="L402" t="s">
        <v>139</v>
      </c>
      <c r="N402" t="s">
        <v>2139</v>
      </c>
      <c r="Q402" t="s">
        <v>2140</v>
      </c>
      <c r="S402" t="s">
        <v>249</v>
      </c>
      <c r="T402" t="s">
        <v>2141</v>
      </c>
      <c r="V402" t="s">
        <v>2142</v>
      </c>
      <c r="W402" t="s">
        <v>38</v>
      </c>
      <c r="X402" s="6" t="s">
        <v>2143</v>
      </c>
      <c r="Y402" s="6"/>
      <c r="Z402" t="s">
        <v>148</v>
      </c>
      <c r="AA402" t="s">
        <v>205</v>
      </c>
      <c r="AC402" t="s">
        <v>150</v>
      </c>
      <c r="AD402" s="6"/>
      <c r="AF402" s="3">
        <v>40770</v>
      </c>
      <c r="AG402">
        <v>15</v>
      </c>
      <c r="AH402" t="b">
        <v>1</v>
      </c>
      <c r="AI402" t="b">
        <v>0</v>
      </c>
      <c r="AJ402" s="6"/>
      <c r="AK402" s="6"/>
      <c r="AL402" t="b">
        <v>0</v>
      </c>
      <c r="AM402" s="6"/>
      <c r="AN402" s="6"/>
      <c r="AP402" t="b">
        <v>0</v>
      </c>
      <c r="AQ402" s="6"/>
      <c r="AR402" s="6"/>
      <c r="AT402" t="b">
        <v>0</v>
      </c>
      <c r="AU402" s="6"/>
      <c r="AV402" s="6"/>
      <c r="AX402" t="b">
        <v>0</v>
      </c>
      <c r="AY402" s="6"/>
      <c r="AZ402" s="6"/>
      <c r="BA402" t="b">
        <v>0</v>
      </c>
      <c r="BB402" s="6"/>
      <c r="BC402" t="b">
        <v>0</v>
      </c>
      <c r="BD402" s="6"/>
      <c r="BE402" s="6"/>
      <c r="BF402" t="b">
        <v>0</v>
      </c>
      <c r="BG402" s="6"/>
      <c r="BH402" t="b">
        <v>0</v>
      </c>
      <c r="BI402" s="6"/>
      <c r="BJ402" t="b">
        <v>0</v>
      </c>
      <c r="BL402" t="b">
        <v>0</v>
      </c>
      <c r="BM402" t="b">
        <v>0</v>
      </c>
      <c r="BN402" t="b">
        <v>0</v>
      </c>
      <c r="BO402" t="b">
        <v>0</v>
      </c>
      <c r="BQ402" t="b">
        <v>1</v>
      </c>
      <c r="BR402" s="6" t="s">
        <v>2144</v>
      </c>
      <c r="BS402" t="s">
        <v>2047</v>
      </c>
      <c r="BT402" t="b">
        <v>1</v>
      </c>
      <c r="BU402" t="s">
        <v>2048</v>
      </c>
      <c r="BV402" t="s">
        <v>504</v>
      </c>
      <c r="BW402" t="s">
        <v>154</v>
      </c>
      <c r="BX402" t="s">
        <v>2049</v>
      </c>
      <c r="BY402" s="6" t="s">
        <v>2145</v>
      </c>
      <c r="BZ402">
        <v>1</v>
      </c>
      <c r="CA402" t="s">
        <v>157</v>
      </c>
      <c r="CB402" s="7">
        <v>46315.0537962963</v>
      </c>
    </row>
    <row r="403" spans="1:80">
      <c r="A403" s="6" t="s">
        <v>2146</v>
      </c>
      <c r="B403" t="s">
        <v>491</v>
      </c>
      <c r="C403" s="6" t="s">
        <v>2038</v>
      </c>
      <c r="D403" s="6"/>
      <c r="E403" t="s">
        <v>2039</v>
      </c>
      <c r="F403" t="s">
        <v>2040</v>
      </c>
      <c r="G403" s="6">
        <v>13</v>
      </c>
      <c r="H403" s="6" t="s">
        <v>2138</v>
      </c>
      <c r="I403" t="s">
        <v>491</v>
      </c>
      <c r="J403" s="3">
        <v>46270</v>
      </c>
      <c r="K403" t="s">
        <v>2052</v>
      </c>
      <c r="L403" t="s">
        <v>139</v>
      </c>
      <c r="N403" t="s">
        <v>678</v>
      </c>
      <c r="Q403" t="s">
        <v>2140</v>
      </c>
      <c r="S403" t="s">
        <v>144</v>
      </c>
      <c r="X403" s="6"/>
      <c r="Y403" s="6"/>
      <c r="Z403" t="s">
        <v>148</v>
      </c>
      <c r="AD403" s="6" t="s">
        <v>2147</v>
      </c>
      <c r="AF403" s="3"/>
      <c r="AH403" t="b">
        <v>0</v>
      </c>
      <c r="AI403" t="b">
        <v>0</v>
      </c>
      <c r="AJ403" s="6"/>
      <c r="AK403" s="6"/>
      <c r="AL403" t="b">
        <v>0</v>
      </c>
      <c r="AM403" s="6"/>
      <c r="AN403" s="6"/>
      <c r="AP403" t="b">
        <v>0</v>
      </c>
      <c r="AQ403" s="6"/>
      <c r="AR403" s="6"/>
      <c r="AT403" t="b">
        <v>0</v>
      </c>
      <c r="AU403" s="6"/>
      <c r="AV403" s="6"/>
      <c r="AX403" t="b">
        <v>0</v>
      </c>
      <c r="AY403" s="6"/>
      <c r="AZ403" s="6"/>
      <c r="BA403" t="b">
        <v>0</v>
      </c>
      <c r="BB403" s="6"/>
      <c r="BC403" t="b">
        <v>0</v>
      </c>
      <c r="BD403" s="6"/>
      <c r="BE403" s="6"/>
      <c r="BF403" t="b">
        <v>0</v>
      </c>
      <c r="BG403" s="6"/>
      <c r="BH403" t="b">
        <v>0</v>
      </c>
      <c r="BI403" s="6"/>
      <c r="BJ403" t="b">
        <v>0</v>
      </c>
      <c r="BL403" t="b">
        <v>0</v>
      </c>
      <c r="BM403" t="b">
        <v>0</v>
      </c>
      <c r="BN403" t="b">
        <v>0</v>
      </c>
      <c r="BO403" t="b">
        <v>0</v>
      </c>
      <c r="BQ403" t="b">
        <v>0</v>
      </c>
      <c r="BR403" s="6"/>
      <c r="BT403" t="b">
        <v>0</v>
      </c>
      <c r="BV403" t="s">
        <v>504</v>
      </c>
      <c r="BW403" t="s">
        <v>154</v>
      </c>
      <c r="BX403" t="s">
        <v>2055</v>
      </c>
      <c r="BY403" s="6" t="s">
        <v>2148</v>
      </c>
      <c r="BZ403">
        <v>1</v>
      </c>
      <c r="CA403" t="s">
        <v>157</v>
      </c>
      <c r="CB403" s="7">
        <v>46315.0537962963</v>
      </c>
    </row>
    <row r="404" spans="1:80">
      <c r="A404" s="6" t="s">
        <v>2149</v>
      </c>
      <c r="B404" t="s">
        <v>491</v>
      </c>
      <c r="C404" s="6" t="s">
        <v>2038</v>
      </c>
      <c r="D404" s="6"/>
      <c r="E404" t="s">
        <v>2039</v>
      </c>
      <c r="F404" t="s">
        <v>2040</v>
      </c>
      <c r="G404" s="6">
        <v>14</v>
      </c>
      <c r="H404" s="6"/>
      <c r="I404" t="s">
        <v>491</v>
      </c>
      <c r="J404" s="3">
        <v>46270</v>
      </c>
      <c r="K404" t="s">
        <v>2041</v>
      </c>
      <c r="L404" t="s">
        <v>139</v>
      </c>
      <c r="N404" t="s">
        <v>1603</v>
      </c>
      <c r="O404" t="s">
        <v>142</v>
      </c>
      <c r="P404" t="s">
        <v>142</v>
      </c>
      <c r="Q404" t="s">
        <v>2150</v>
      </c>
      <c r="S404" t="s">
        <v>249</v>
      </c>
      <c r="T404" t="s">
        <v>301</v>
      </c>
      <c r="V404" t="s">
        <v>302</v>
      </c>
      <c r="W404" t="s">
        <v>35</v>
      </c>
      <c r="X404" s="6" t="s">
        <v>303</v>
      </c>
      <c r="Y404" s="6"/>
      <c r="Z404" t="s">
        <v>148</v>
      </c>
      <c r="AA404" t="s">
        <v>149</v>
      </c>
      <c r="AC404" t="s">
        <v>150</v>
      </c>
      <c r="AD404" s="6"/>
      <c r="AF404" s="3">
        <v>41334</v>
      </c>
      <c r="AG404">
        <v>13</v>
      </c>
      <c r="AH404" t="b">
        <v>1</v>
      </c>
      <c r="AI404" t="b">
        <v>0</v>
      </c>
      <c r="AJ404" s="6"/>
      <c r="AK404" s="6"/>
      <c r="AL404" t="b">
        <v>0</v>
      </c>
      <c r="AM404" s="6"/>
      <c r="AN404" s="6"/>
      <c r="AP404" t="b">
        <v>0</v>
      </c>
      <c r="AQ404" s="6"/>
      <c r="AR404" s="6"/>
      <c r="AT404" t="b">
        <v>0</v>
      </c>
      <c r="AU404" s="6"/>
      <c r="AV404" s="6"/>
      <c r="AX404" t="b">
        <v>0</v>
      </c>
      <c r="AY404" s="6"/>
      <c r="AZ404" s="6"/>
      <c r="BA404" t="b">
        <v>0</v>
      </c>
      <c r="BB404" s="6"/>
      <c r="BC404" t="b">
        <v>0</v>
      </c>
      <c r="BD404" s="6"/>
      <c r="BE404" s="6"/>
      <c r="BF404" t="b">
        <v>0</v>
      </c>
      <c r="BG404" s="6"/>
      <c r="BH404" t="b">
        <v>0</v>
      </c>
      <c r="BI404" s="6"/>
      <c r="BJ404" t="b">
        <v>0</v>
      </c>
      <c r="BL404" t="b">
        <v>0</v>
      </c>
      <c r="BM404" t="b">
        <v>0</v>
      </c>
      <c r="BN404" t="b">
        <v>0</v>
      </c>
      <c r="BO404" t="b">
        <v>0</v>
      </c>
      <c r="BQ404" t="b">
        <v>1</v>
      </c>
      <c r="BR404" s="6" t="s">
        <v>2151</v>
      </c>
      <c r="BS404" t="s">
        <v>2047</v>
      </c>
      <c r="BT404" t="b">
        <v>1</v>
      </c>
      <c r="BU404" t="s">
        <v>2048</v>
      </c>
      <c r="BV404" t="s">
        <v>504</v>
      </c>
      <c r="BW404" t="s">
        <v>154</v>
      </c>
      <c r="BX404" t="s">
        <v>2152</v>
      </c>
      <c r="BY404" s="6" t="s">
        <v>2153</v>
      </c>
      <c r="BZ404">
        <v>1</v>
      </c>
      <c r="CA404" t="s">
        <v>157</v>
      </c>
      <c r="CB404" s="7">
        <v>46315.0537962963</v>
      </c>
    </row>
    <row r="405" spans="1:80">
      <c r="A405" s="6" t="s">
        <v>2154</v>
      </c>
      <c r="B405" t="s">
        <v>491</v>
      </c>
      <c r="C405" s="6" t="s">
        <v>2038</v>
      </c>
      <c r="D405" s="6"/>
      <c r="E405" t="s">
        <v>2039</v>
      </c>
      <c r="F405" t="s">
        <v>2040</v>
      </c>
      <c r="G405" s="6">
        <v>14</v>
      </c>
      <c r="H405" s="6" t="s">
        <v>2149</v>
      </c>
      <c r="I405" t="s">
        <v>491</v>
      </c>
      <c r="J405" s="3">
        <v>46270</v>
      </c>
      <c r="K405" t="s">
        <v>2052</v>
      </c>
      <c r="L405" t="s">
        <v>139</v>
      </c>
      <c r="N405" t="s">
        <v>2155</v>
      </c>
      <c r="Q405" t="s">
        <v>2150</v>
      </c>
      <c r="S405" t="s">
        <v>144</v>
      </c>
      <c r="X405" s="6"/>
      <c r="Y405" s="6"/>
      <c r="Z405" t="s">
        <v>148</v>
      </c>
      <c r="AD405" s="6" t="s">
        <v>2156</v>
      </c>
      <c r="AF405" s="3"/>
      <c r="AH405" t="b">
        <v>0</v>
      </c>
      <c r="AI405" t="b">
        <v>0</v>
      </c>
      <c r="AJ405" s="6"/>
      <c r="AK405" s="6"/>
      <c r="AL405" t="b">
        <v>0</v>
      </c>
      <c r="AM405" s="6"/>
      <c r="AN405" s="6"/>
      <c r="AP405" t="b">
        <v>0</v>
      </c>
      <c r="AQ405" s="6"/>
      <c r="AR405" s="6"/>
      <c r="AT405" t="b">
        <v>0</v>
      </c>
      <c r="AU405" s="6"/>
      <c r="AV405" s="6"/>
      <c r="AX405" t="b">
        <v>0</v>
      </c>
      <c r="AY405" s="6"/>
      <c r="AZ405" s="6"/>
      <c r="BA405" t="b">
        <v>0</v>
      </c>
      <c r="BB405" s="6"/>
      <c r="BC405" t="b">
        <v>0</v>
      </c>
      <c r="BD405" s="6"/>
      <c r="BE405" s="6"/>
      <c r="BF405" t="b">
        <v>0</v>
      </c>
      <c r="BG405" s="6"/>
      <c r="BH405" t="b">
        <v>0</v>
      </c>
      <c r="BI405" s="6"/>
      <c r="BJ405" t="b">
        <v>0</v>
      </c>
      <c r="BL405" t="b">
        <v>0</v>
      </c>
      <c r="BM405" t="b">
        <v>0</v>
      </c>
      <c r="BN405" t="b">
        <v>0</v>
      </c>
      <c r="BO405" t="b">
        <v>0</v>
      </c>
      <c r="BQ405" t="b">
        <v>0</v>
      </c>
      <c r="BR405" s="6"/>
      <c r="BT405" t="b">
        <v>0</v>
      </c>
      <c r="BV405" t="s">
        <v>504</v>
      </c>
      <c r="BW405" t="s">
        <v>154</v>
      </c>
      <c r="BX405" t="s">
        <v>2157</v>
      </c>
      <c r="BY405" s="6" t="s">
        <v>2158</v>
      </c>
      <c r="BZ405">
        <v>1</v>
      </c>
      <c r="CA405" t="s">
        <v>157</v>
      </c>
      <c r="CB405" s="7">
        <v>46315.0537962963</v>
      </c>
    </row>
    <row r="406" spans="1:80">
      <c r="A406" s="6" t="s">
        <v>2159</v>
      </c>
      <c r="B406" t="s">
        <v>491</v>
      </c>
      <c r="C406" s="6" t="s">
        <v>2038</v>
      </c>
      <c r="D406" s="6"/>
      <c r="E406" t="s">
        <v>2039</v>
      </c>
      <c r="F406" t="s">
        <v>2040</v>
      </c>
      <c r="G406" s="6">
        <v>15</v>
      </c>
      <c r="H406" s="6"/>
      <c r="I406" t="s">
        <v>491</v>
      </c>
      <c r="J406" s="3">
        <v>46270</v>
      </c>
      <c r="K406" t="s">
        <v>2041</v>
      </c>
      <c r="L406" t="s">
        <v>139</v>
      </c>
      <c r="N406" t="s">
        <v>2160</v>
      </c>
      <c r="O406" t="s">
        <v>212</v>
      </c>
      <c r="P406" t="s">
        <v>212</v>
      </c>
      <c r="Q406" t="s">
        <v>2161</v>
      </c>
      <c r="S406" t="s">
        <v>249</v>
      </c>
      <c r="T406" t="s">
        <v>2162</v>
      </c>
      <c r="V406" t="s">
        <v>2163</v>
      </c>
      <c r="W406" t="s">
        <v>38</v>
      </c>
      <c r="X406" s="6" t="s">
        <v>2164</v>
      </c>
      <c r="Y406" s="6"/>
      <c r="Z406" t="s">
        <v>148</v>
      </c>
      <c r="AA406" t="s">
        <v>205</v>
      </c>
      <c r="AC406" t="s">
        <v>150</v>
      </c>
      <c r="AD406" s="6"/>
      <c r="AF406" s="3">
        <v>40584</v>
      </c>
      <c r="AG406">
        <v>15</v>
      </c>
      <c r="AH406" t="b">
        <v>1</v>
      </c>
      <c r="AI406" t="b">
        <v>0</v>
      </c>
      <c r="AJ406" s="6"/>
      <c r="AK406" s="6"/>
      <c r="AL406" t="b">
        <v>0</v>
      </c>
      <c r="AM406" s="6"/>
      <c r="AN406" s="6"/>
      <c r="AP406" t="b">
        <v>0</v>
      </c>
      <c r="AQ406" s="6"/>
      <c r="AR406" s="6"/>
      <c r="AT406" t="b">
        <v>0</v>
      </c>
      <c r="AU406" s="6"/>
      <c r="AV406" s="6"/>
      <c r="AX406" t="b">
        <v>0</v>
      </c>
      <c r="AY406" s="6"/>
      <c r="AZ406" s="6"/>
      <c r="BA406" t="b">
        <v>0</v>
      </c>
      <c r="BB406" s="6"/>
      <c r="BC406" t="b">
        <v>0</v>
      </c>
      <c r="BD406" s="6"/>
      <c r="BE406" s="6"/>
      <c r="BF406" t="b">
        <v>0</v>
      </c>
      <c r="BG406" s="6"/>
      <c r="BH406" t="b">
        <v>0</v>
      </c>
      <c r="BI406" s="6"/>
      <c r="BJ406" t="b">
        <v>0</v>
      </c>
      <c r="BL406" t="b">
        <v>0</v>
      </c>
      <c r="BM406" t="b">
        <v>0</v>
      </c>
      <c r="BN406" t="b">
        <v>0</v>
      </c>
      <c r="BO406" t="b">
        <v>0</v>
      </c>
      <c r="BQ406" t="b">
        <v>1</v>
      </c>
      <c r="BR406" s="6" t="s">
        <v>2165</v>
      </c>
      <c r="BS406" t="s">
        <v>2047</v>
      </c>
      <c r="BT406" t="b">
        <v>1</v>
      </c>
      <c r="BU406" t="s">
        <v>2048</v>
      </c>
      <c r="BV406" t="s">
        <v>504</v>
      </c>
      <c r="BW406" t="s">
        <v>154</v>
      </c>
      <c r="BX406" t="s">
        <v>2049</v>
      </c>
      <c r="BY406" s="6" t="s">
        <v>2166</v>
      </c>
      <c r="BZ406">
        <v>1</v>
      </c>
      <c r="CA406" t="s">
        <v>157</v>
      </c>
      <c r="CB406" s="7">
        <v>46315.0537962963</v>
      </c>
    </row>
    <row r="407" spans="1:80">
      <c r="A407" s="6" t="s">
        <v>2167</v>
      </c>
      <c r="B407" t="s">
        <v>491</v>
      </c>
      <c r="C407" s="6" t="s">
        <v>2038</v>
      </c>
      <c r="D407" s="6"/>
      <c r="E407" t="s">
        <v>2039</v>
      </c>
      <c r="F407" t="s">
        <v>2040</v>
      </c>
      <c r="G407" s="6">
        <v>15</v>
      </c>
      <c r="H407" s="6" t="s">
        <v>2159</v>
      </c>
      <c r="I407" t="s">
        <v>491</v>
      </c>
      <c r="J407" s="3">
        <v>46270</v>
      </c>
      <c r="K407" t="s">
        <v>2052</v>
      </c>
      <c r="L407" t="s">
        <v>139</v>
      </c>
      <c r="N407" t="s">
        <v>517</v>
      </c>
      <c r="Q407" t="s">
        <v>2161</v>
      </c>
      <c r="S407" t="s">
        <v>144</v>
      </c>
      <c r="X407" s="6"/>
      <c r="Y407" s="6"/>
      <c r="Z407" t="s">
        <v>148</v>
      </c>
      <c r="AD407" s="6" t="s">
        <v>2168</v>
      </c>
      <c r="AF407" s="3"/>
      <c r="AH407" t="b">
        <v>0</v>
      </c>
      <c r="AI407" t="b">
        <v>0</v>
      </c>
      <c r="AJ407" s="6"/>
      <c r="AK407" s="6"/>
      <c r="AL407" t="b">
        <v>0</v>
      </c>
      <c r="AM407" s="6"/>
      <c r="AN407" s="6"/>
      <c r="AP407" t="b">
        <v>0</v>
      </c>
      <c r="AQ407" s="6"/>
      <c r="AR407" s="6"/>
      <c r="AT407" t="b">
        <v>0</v>
      </c>
      <c r="AU407" s="6"/>
      <c r="AV407" s="6"/>
      <c r="AX407" t="b">
        <v>0</v>
      </c>
      <c r="AY407" s="6"/>
      <c r="AZ407" s="6"/>
      <c r="BA407" t="b">
        <v>0</v>
      </c>
      <c r="BB407" s="6"/>
      <c r="BC407" t="b">
        <v>0</v>
      </c>
      <c r="BD407" s="6"/>
      <c r="BE407" s="6"/>
      <c r="BF407" t="b">
        <v>0</v>
      </c>
      <c r="BG407" s="6"/>
      <c r="BH407" t="b">
        <v>0</v>
      </c>
      <c r="BI407" s="6"/>
      <c r="BJ407" t="b">
        <v>0</v>
      </c>
      <c r="BL407" t="b">
        <v>0</v>
      </c>
      <c r="BM407" t="b">
        <v>0</v>
      </c>
      <c r="BN407" t="b">
        <v>0</v>
      </c>
      <c r="BO407" t="b">
        <v>0</v>
      </c>
      <c r="BQ407" t="b">
        <v>0</v>
      </c>
      <c r="BR407" s="6"/>
      <c r="BT407" t="b">
        <v>0</v>
      </c>
      <c r="BV407" t="s">
        <v>504</v>
      </c>
      <c r="BW407" t="s">
        <v>154</v>
      </c>
      <c r="BX407" t="s">
        <v>2169</v>
      </c>
      <c r="BY407" s="6" t="s">
        <v>2170</v>
      </c>
      <c r="BZ407">
        <v>1</v>
      </c>
      <c r="CA407" t="s">
        <v>157</v>
      </c>
      <c r="CB407" s="7">
        <v>46315.0537962963</v>
      </c>
    </row>
    <row r="408" spans="1:80">
      <c r="A408" s="6" t="s">
        <v>2171</v>
      </c>
      <c r="B408" t="s">
        <v>491</v>
      </c>
      <c r="C408" s="6" t="s">
        <v>2038</v>
      </c>
      <c r="D408" s="6"/>
      <c r="E408" t="s">
        <v>2039</v>
      </c>
      <c r="F408" t="s">
        <v>2040</v>
      </c>
      <c r="G408" s="6">
        <v>16</v>
      </c>
      <c r="H408" s="6"/>
      <c r="I408" t="s">
        <v>491</v>
      </c>
      <c r="J408" s="3">
        <v>46270</v>
      </c>
      <c r="K408" t="s">
        <v>2041</v>
      </c>
      <c r="L408" t="s">
        <v>139</v>
      </c>
      <c r="N408" t="s">
        <v>2172</v>
      </c>
      <c r="O408" t="s">
        <v>434</v>
      </c>
      <c r="P408" t="s">
        <v>434</v>
      </c>
      <c r="Q408" t="s">
        <v>2173</v>
      </c>
      <c r="S408" t="s">
        <v>249</v>
      </c>
      <c r="T408" t="s">
        <v>524</v>
      </c>
      <c r="V408" t="s">
        <v>525</v>
      </c>
      <c r="W408" t="s">
        <v>34</v>
      </c>
      <c r="X408" s="6" t="s">
        <v>526</v>
      </c>
      <c r="Y408" s="6"/>
      <c r="Z408" t="s">
        <v>148</v>
      </c>
      <c r="AA408" t="s">
        <v>149</v>
      </c>
      <c r="AC408" t="s">
        <v>150</v>
      </c>
      <c r="AD408" s="6"/>
      <c r="AF408" s="3">
        <v>40613</v>
      </c>
      <c r="AG408">
        <v>15</v>
      </c>
      <c r="AH408" t="b">
        <v>1</v>
      </c>
      <c r="AI408" t="b">
        <v>0</v>
      </c>
      <c r="AJ408" s="6"/>
      <c r="AK408" s="6"/>
      <c r="AL408" t="b">
        <v>0</v>
      </c>
      <c r="AM408" s="6"/>
      <c r="AN408" s="6"/>
      <c r="AP408" t="b">
        <v>0</v>
      </c>
      <c r="AQ408" s="6"/>
      <c r="AR408" s="6"/>
      <c r="AT408" t="b">
        <v>0</v>
      </c>
      <c r="AU408" s="6"/>
      <c r="AV408" s="6"/>
      <c r="AX408" t="b">
        <v>0</v>
      </c>
      <c r="AY408" s="6"/>
      <c r="AZ408" s="6"/>
      <c r="BA408" t="b">
        <v>0</v>
      </c>
      <c r="BB408" s="6"/>
      <c r="BC408" t="b">
        <v>0</v>
      </c>
      <c r="BD408" s="6"/>
      <c r="BE408" s="6"/>
      <c r="BF408" t="b">
        <v>0</v>
      </c>
      <c r="BG408" s="6"/>
      <c r="BH408" t="b">
        <v>0</v>
      </c>
      <c r="BI408" s="6"/>
      <c r="BJ408" t="b">
        <v>0</v>
      </c>
      <c r="BL408" t="b">
        <v>0</v>
      </c>
      <c r="BM408" t="b">
        <v>0</v>
      </c>
      <c r="BN408" t="b">
        <v>0</v>
      </c>
      <c r="BO408" t="b">
        <v>0</v>
      </c>
      <c r="BQ408" t="b">
        <v>1</v>
      </c>
      <c r="BR408" s="6" t="s">
        <v>2174</v>
      </c>
      <c r="BS408" t="s">
        <v>2047</v>
      </c>
      <c r="BT408" t="b">
        <v>1</v>
      </c>
      <c r="BU408" t="s">
        <v>2048</v>
      </c>
      <c r="BV408" t="s">
        <v>504</v>
      </c>
      <c r="BW408" t="s">
        <v>171</v>
      </c>
      <c r="BX408" t="s">
        <v>2087</v>
      </c>
      <c r="BY408" s="6" t="s">
        <v>2175</v>
      </c>
      <c r="BZ408">
        <v>1</v>
      </c>
      <c r="CB408" s="7">
        <v>46315.0537962963</v>
      </c>
    </row>
    <row r="409" spans="1:80">
      <c r="A409" s="6" t="s">
        <v>2176</v>
      </c>
      <c r="B409" t="s">
        <v>491</v>
      </c>
      <c r="C409" s="6" t="s">
        <v>2038</v>
      </c>
      <c r="D409" s="6"/>
      <c r="E409" t="s">
        <v>2039</v>
      </c>
      <c r="F409" t="s">
        <v>2040</v>
      </c>
      <c r="G409" s="6">
        <v>16</v>
      </c>
      <c r="H409" s="6" t="s">
        <v>2171</v>
      </c>
      <c r="I409" t="s">
        <v>491</v>
      </c>
      <c r="J409" s="3">
        <v>46270</v>
      </c>
      <c r="K409" t="s">
        <v>2052</v>
      </c>
      <c r="L409" t="s">
        <v>139</v>
      </c>
      <c r="N409" t="s">
        <v>2177</v>
      </c>
      <c r="Q409" t="s">
        <v>2173</v>
      </c>
      <c r="S409" t="s">
        <v>144</v>
      </c>
      <c r="X409" s="6"/>
      <c r="Y409" s="6"/>
      <c r="Z409" t="s">
        <v>148</v>
      </c>
      <c r="AD409" s="6" t="s">
        <v>2178</v>
      </c>
      <c r="AF409" s="3"/>
      <c r="AH409" t="b">
        <v>0</v>
      </c>
      <c r="AI409" t="b">
        <v>0</v>
      </c>
      <c r="AJ409" s="6"/>
      <c r="AK409" s="6"/>
      <c r="AL409" t="b">
        <v>0</v>
      </c>
      <c r="AM409" s="6"/>
      <c r="AN409" s="6"/>
      <c r="AP409" t="b">
        <v>0</v>
      </c>
      <c r="AQ409" s="6"/>
      <c r="AR409" s="6"/>
      <c r="AT409" t="b">
        <v>0</v>
      </c>
      <c r="AU409" s="6"/>
      <c r="AV409" s="6"/>
      <c r="AX409" t="b">
        <v>0</v>
      </c>
      <c r="AY409" s="6"/>
      <c r="AZ409" s="6"/>
      <c r="BA409" t="b">
        <v>0</v>
      </c>
      <c r="BB409" s="6"/>
      <c r="BC409" t="b">
        <v>0</v>
      </c>
      <c r="BD409" s="6"/>
      <c r="BE409" s="6"/>
      <c r="BF409" t="b">
        <v>0</v>
      </c>
      <c r="BG409" s="6"/>
      <c r="BH409" t="b">
        <v>0</v>
      </c>
      <c r="BI409" s="6"/>
      <c r="BJ409" t="b">
        <v>0</v>
      </c>
      <c r="BL409" t="b">
        <v>0</v>
      </c>
      <c r="BM409" t="b">
        <v>0</v>
      </c>
      <c r="BN409" t="b">
        <v>0</v>
      </c>
      <c r="BO409" t="b">
        <v>0</v>
      </c>
      <c r="BQ409" t="b">
        <v>0</v>
      </c>
      <c r="BR409" s="6"/>
      <c r="BT409" t="b">
        <v>0</v>
      </c>
      <c r="BV409" t="s">
        <v>504</v>
      </c>
      <c r="BW409" t="s">
        <v>154</v>
      </c>
      <c r="BX409" t="s">
        <v>2055</v>
      </c>
      <c r="BY409" s="6" t="s">
        <v>2179</v>
      </c>
      <c r="BZ409">
        <v>1</v>
      </c>
      <c r="CA409" t="s">
        <v>157</v>
      </c>
      <c r="CB409" s="7">
        <v>46315.0537962963</v>
      </c>
    </row>
    <row r="410" spans="1:80">
      <c r="A410" s="6" t="s">
        <v>2180</v>
      </c>
      <c r="B410" t="s">
        <v>491</v>
      </c>
      <c r="C410" s="6" t="s">
        <v>2038</v>
      </c>
      <c r="D410" s="6"/>
      <c r="E410" t="s">
        <v>2039</v>
      </c>
      <c r="F410" t="s">
        <v>2040</v>
      </c>
      <c r="G410" s="6">
        <v>17</v>
      </c>
      <c r="H410" s="6"/>
      <c r="I410" t="s">
        <v>491</v>
      </c>
      <c r="J410" s="3">
        <v>46270</v>
      </c>
      <c r="K410" t="s">
        <v>2041</v>
      </c>
      <c r="L410" t="s">
        <v>139</v>
      </c>
      <c r="N410" t="s">
        <v>2181</v>
      </c>
      <c r="Q410" t="s">
        <v>2182</v>
      </c>
      <c r="S410" t="s">
        <v>249</v>
      </c>
      <c r="T410" t="s">
        <v>2183</v>
      </c>
      <c r="V410" t="s">
        <v>2184</v>
      </c>
      <c r="W410" t="s">
        <v>40</v>
      </c>
      <c r="X410" s="6" t="s">
        <v>2185</v>
      </c>
      <c r="Y410" s="6"/>
      <c r="Z410" t="s">
        <v>148</v>
      </c>
      <c r="AA410" t="s">
        <v>205</v>
      </c>
      <c r="AC410" t="s">
        <v>150</v>
      </c>
      <c r="AD410" s="6"/>
      <c r="AF410" s="3">
        <v>41726</v>
      </c>
      <c r="AG410">
        <v>12</v>
      </c>
      <c r="AH410" t="b">
        <v>1</v>
      </c>
      <c r="AI410" t="b">
        <v>0</v>
      </c>
      <c r="AJ410" s="6"/>
      <c r="AK410" s="6"/>
      <c r="AL410" t="b">
        <v>0</v>
      </c>
      <c r="AM410" s="6"/>
      <c r="AN410" s="6"/>
      <c r="AP410" t="b">
        <v>0</v>
      </c>
      <c r="AQ410" s="6"/>
      <c r="AR410" s="6"/>
      <c r="AT410" t="b">
        <v>0</v>
      </c>
      <c r="AU410" s="6"/>
      <c r="AV410" s="6"/>
      <c r="AX410" t="b">
        <v>0</v>
      </c>
      <c r="AY410" s="6"/>
      <c r="AZ410" s="6"/>
      <c r="BA410" t="b">
        <v>0</v>
      </c>
      <c r="BB410" s="6"/>
      <c r="BC410" t="b">
        <v>0</v>
      </c>
      <c r="BD410" s="6"/>
      <c r="BE410" s="6"/>
      <c r="BF410" t="b">
        <v>0</v>
      </c>
      <c r="BG410" s="6"/>
      <c r="BH410" t="b">
        <v>0</v>
      </c>
      <c r="BI410" s="6"/>
      <c r="BJ410" t="b">
        <v>0</v>
      </c>
      <c r="BL410" t="b">
        <v>0</v>
      </c>
      <c r="BM410" t="b">
        <v>0</v>
      </c>
      <c r="BN410" t="b">
        <v>0</v>
      </c>
      <c r="BO410" t="b">
        <v>0</v>
      </c>
      <c r="BQ410" t="b">
        <v>1</v>
      </c>
      <c r="BR410" s="6" t="s">
        <v>2186</v>
      </c>
      <c r="BS410" t="s">
        <v>2047</v>
      </c>
      <c r="BT410" t="b">
        <v>1</v>
      </c>
      <c r="BU410" t="s">
        <v>2048</v>
      </c>
      <c r="BV410" t="s">
        <v>504</v>
      </c>
      <c r="BW410" t="s">
        <v>154</v>
      </c>
      <c r="BX410" t="s">
        <v>2049</v>
      </c>
      <c r="BY410" s="6" t="s">
        <v>2187</v>
      </c>
      <c r="BZ410">
        <v>1</v>
      </c>
      <c r="CA410" t="s">
        <v>157</v>
      </c>
      <c r="CB410" s="7">
        <v>46315.0537962963</v>
      </c>
    </row>
    <row r="411" spans="1:80">
      <c r="A411" s="6" t="s">
        <v>2188</v>
      </c>
      <c r="B411" t="s">
        <v>491</v>
      </c>
      <c r="C411" s="6" t="s">
        <v>2038</v>
      </c>
      <c r="D411" s="6"/>
      <c r="E411" t="s">
        <v>2039</v>
      </c>
      <c r="F411" t="s">
        <v>2040</v>
      </c>
      <c r="G411" s="6">
        <v>17</v>
      </c>
      <c r="H411" s="6" t="s">
        <v>2180</v>
      </c>
      <c r="I411" t="s">
        <v>491</v>
      </c>
      <c r="J411" s="3">
        <v>46270</v>
      </c>
      <c r="K411" t="s">
        <v>2052</v>
      </c>
      <c r="L411" t="s">
        <v>139</v>
      </c>
      <c r="N411" t="s">
        <v>517</v>
      </c>
      <c r="Q411" t="s">
        <v>2182</v>
      </c>
      <c r="S411" t="s">
        <v>144</v>
      </c>
      <c r="X411" s="6"/>
      <c r="Y411" s="6"/>
      <c r="Z411" t="s">
        <v>148</v>
      </c>
      <c r="AD411" s="6" t="s">
        <v>2189</v>
      </c>
      <c r="AF411" s="3"/>
      <c r="AH411" t="b">
        <v>0</v>
      </c>
      <c r="AI411" t="b">
        <v>0</v>
      </c>
      <c r="AJ411" s="6"/>
      <c r="AK411" s="6"/>
      <c r="AL411" t="b">
        <v>0</v>
      </c>
      <c r="AM411" s="6"/>
      <c r="AN411" s="6"/>
      <c r="AP411" t="b">
        <v>0</v>
      </c>
      <c r="AQ411" s="6"/>
      <c r="AR411" s="6"/>
      <c r="AT411" t="b">
        <v>0</v>
      </c>
      <c r="AU411" s="6"/>
      <c r="AV411" s="6"/>
      <c r="AX411" t="b">
        <v>0</v>
      </c>
      <c r="AY411" s="6"/>
      <c r="AZ411" s="6"/>
      <c r="BA411" t="b">
        <v>0</v>
      </c>
      <c r="BB411" s="6"/>
      <c r="BC411" t="b">
        <v>0</v>
      </c>
      <c r="BD411" s="6"/>
      <c r="BE411" s="6"/>
      <c r="BF411" t="b">
        <v>0</v>
      </c>
      <c r="BG411" s="6"/>
      <c r="BH411" t="b">
        <v>0</v>
      </c>
      <c r="BI411" s="6"/>
      <c r="BJ411" t="b">
        <v>0</v>
      </c>
      <c r="BL411" t="b">
        <v>0</v>
      </c>
      <c r="BM411" t="b">
        <v>0</v>
      </c>
      <c r="BN411" t="b">
        <v>0</v>
      </c>
      <c r="BO411" t="b">
        <v>0</v>
      </c>
      <c r="BQ411" t="b">
        <v>0</v>
      </c>
      <c r="BR411" s="6"/>
      <c r="BT411" t="b">
        <v>0</v>
      </c>
      <c r="BV411" t="s">
        <v>504</v>
      </c>
      <c r="BW411" t="s">
        <v>154</v>
      </c>
      <c r="BX411" t="s">
        <v>2055</v>
      </c>
      <c r="BY411" s="6" t="s">
        <v>2190</v>
      </c>
      <c r="BZ411">
        <v>1</v>
      </c>
      <c r="CA411" t="s">
        <v>157</v>
      </c>
      <c r="CB411" s="7">
        <v>46315.0537962963</v>
      </c>
    </row>
    <row r="412" spans="1:80">
      <c r="A412" s="6" t="s">
        <v>2191</v>
      </c>
      <c r="B412" t="s">
        <v>491</v>
      </c>
      <c r="C412" s="6" t="s">
        <v>2038</v>
      </c>
      <c r="D412" s="6"/>
      <c r="E412" t="s">
        <v>2039</v>
      </c>
      <c r="F412" t="s">
        <v>2040</v>
      </c>
      <c r="G412" s="6">
        <v>18</v>
      </c>
      <c r="H412" s="6"/>
      <c r="I412" t="s">
        <v>491</v>
      </c>
      <c r="J412" s="3">
        <v>46270</v>
      </c>
      <c r="K412" t="s">
        <v>2041</v>
      </c>
      <c r="L412" t="s">
        <v>139</v>
      </c>
      <c r="N412" t="s">
        <v>2192</v>
      </c>
      <c r="O412" t="s">
        <v>212</v>
      </c>
      <c r="P412" t="s">
        <v>212</v>
      </c>
      <c r="Q412" t="s">
        <v>2193</v>
      </c>
      <c r="S412" t="s">
        <v>249</v>
      </c>
      <c r="T412" t="s">
        <v>436</v>
      </c>
      <c r="V412" t="s">
        <v>437</v>
      </c>
      <c r="W412" t="s">
        <v>40</v>
      </c>
      <c r="X412" s="6" t="s">
        <v>438</v>
      </c>
      <c r="Y412" s="6"/>
      <c r="Z412" t="s">
        <v>148</v>
      </c>
      <c r="AA412" t="s">
        <v>149</v>
      </c>
      <c r="AC412" t="s">
        <v>150</v>
      </c>
      <c r="AD412" s="6"/>
      <c r="AF412" s="3">
        <v>40601</v>
      </c>
      <c r="AG412">
        <v>15</v>
      </c>
      <c r="AH412" t="b">
        <v>1</v>
      </c>
      <c r="AI412" t="b">
        <v>0</v>
      </c>
      <c r="AJ412" s="6"/>
      <c r="AK412" s="6"/>
      <c r="AL412" t="b">
        <v>0</v>
      </c>
      <c r="AM412" s="6"/>
      <c r="AN412" s="6"/>
      <c r="AP412" t="b">
        <v>0</v>
      </c>
      <c r="AQ412" s="6"/>
      <c r="AR412" s="6"/>
      <c r="AT412" t="b">
        <v>0</v>
      </c>
      <c r="AU412" s="6"/>
      <c r="AV412" s="6"/>
      <c r="AX412" t="b">
        <v>0</v>
      </c>
      <c r="AY412" s="6"/>
      <c r="AZ412" s="6"/>
      <c r="BA412" t="b">
        <v>0</v>
      </c>
      <c r="BB412" s="6"/>
      <c r="BC412" t="b">
        <v>0</v>
      </c>
      <c r="BD412" s="6"/>
      <c r="BE412" s="6"/>
      <c r="BF412" t="b">
        <v>0</v>
      </c>
      <c r="BG412" s="6"/>
      <c r="BH412" t="b">
        <v>0</v>
      </c>
      <c r="BI412" s="6"/>
      <c r="BJ412" t="b">
        <v>0</v>
      </c>
      <c r="BL412" t="b">
        <v>0</v>
      </c>
      <c r="BM412" t="b">
        <v>0</v>
      </c>
      <c r="BN412" t="b">
        <v>0</v>
      </c>
      <c r="BO412" t="b">
        <v>0</v>
      </c>
      <c r="BQ412" t="b">
        <v>1</v>
      </c>
      <c r="BR412" s="6" t="s">
        <v>2194</v>
      </c>
      <c r="BS412" t="s">
        <v>2047</v>
      </c>
      <c r="BT412" t="b">
        <v>1</v>
      </c>
      <c r="BU412" t="s">
        <v>2048</v>
      </c>
      <c r="BV412" t="s">
        <v>504</v>
      </c>
      <c r="BW412" t="s">
        <v>171</v>
      </c>
      <c r="BX412" t="s">
        <v>2087</v>
      </c>
      <c r="BY412" s="6" t="s">
        <v>2195</v>
      </c>
      <c r="BZ412">
        <v>1</v>
      </c>
      <c r="CB412" s="7">
        <v>46315.0537962963</v>
      </c>
    </row>
    <row r="413" spans="1:80">
      <c r="A413" s="6" t="s">
        <v>2196</v>
      </c>
      <c r="B413" t="s">
        <v>491</v>
      </c>
      <c r="C413" s="6" t="s">
        <v>2038</v>
      </c>
      <c r="D413" s="6"/>
      <c r="E413" t="s">
        <v>2039</v>
      </c>
      <c r="F413" t="s">
        <v>2040</v>
      </c>
      <c r="G413" s="6">
        <v>18</v>
      </c>
      <c r="H413" s="6" t="s">
        <v>2191</v>
      </c>
      <c r="I413" t="s">
        <v>491</v>
      </c>
      <c r="J413" s="3">
        <v>46270</v>
      </c>
      <c r="K413" t="s">
        <v>2052</v>
      </c>
      <c r="L413" t="s">
        <v>139</v>
      </c>
      <c r="N413" t="s">
        <v>2197</v>
      </c>
      <c r="Q413" t="s">
        <v>2193</v>
      </c>
      <c r="S413" t="s">
        <v>144</v>
      </c>
      <c r="X413" s="6"/>
      <c r="Y413" s="6"/>
      <c r="Z413" t="s">
        <v>148</v>
      </c>
      <c r="AD413" s="6" t="s">
        <v>2198</v>
      </c>
      <c r="AF413" s="3"/>
      <c r="AH413" t="b">
        <v>0</v>
      </c>
      <c r="AI413" t="b">
        <v>0</v>
      </c>
      <c r="AJ413" s="6"/>
      <c r="AK413" s="6"/>
      <c r="AL413" t="b">
        <v>0</v>
      </c>
      <c r="AM413" s="6"/>
      <c r="AN413" s="6"/>
      <c r="AP413" t="b">
        <v>0</v>
      </c>
      <c r="AQ413" s="6"/>
      <c r="AR413" s="6"/>
      <c r="AT413" t="b">
        <v>0</v>
      </c>
      <c r="AU413" s="6"/>
      <c r="AV413" s="6"/>
      <c r="AX413" t="b">
        <v>0</v>
      </c>
      <c r="AY413" s="6"/>
      <c r="AZ413" s="6"/>
      <c r="BA413" t="b">
        <v>0</v>
      </c>
      <c r="BB413" s="6"/>
      <c r="BC413" t="b">
        <v>0</v>
      </c>
      <c r="BD413" s="6"/>
      <c r="BE413" s="6"/>
      <c r="BF413" t="b">
        <v>0</v>
      </c>
      <c r="BG413" s="6"/>
      <c r="BH413" t="b">
        <v>0</v>
      </c>
      <c r="BI413" s="6"/>
      <c r="BJ413" t="b">
        <v>0</v>
      </c>
      <c r="BL413" t="b">
        <v>0</v>
      </c>
      <c r="BM413" t="b">
        <v>0</v>
      </c>
      <c r="BN413" t="b">
        <v>0</v>
      </c>
      <c r="BO413" t="b">
        <v>0</v>
      </c>
      <c r="BQ413" t="b">
        <v>0</v>
      </c>
      <c r="BR413" s="6"/>
      <c r="BT413" t="b">
        <v>0</v>
      </c>
      <c r="BV413" t="s">
        <v>504</v>
      </c>
      <c r="BW413" t="s">
        <v>154</v>
      </c>
      <c r="BX413" t="s">
        <v>2055</v>
      </c>
      <c r="BY413" s="6" t="s">
        <v>2199</v>
      </c>
      <c r="BZ413">
        <v>1</v>
      </c>
      <c r="CA413" t="s">
        <v>157</v>
      </c>
      <c r="CB413" s="7">
        <v>46315.0537962963</v>
      </c>
    </row>
    <row r="414" spans="1:80">
      <c r="A414" s="6" t="s">
        <v>2200</v>
      </c>
      <c r="B414" t="s">
        <v>491</v>
      </c>
      <c r="C414" s="6" t="s">
        <v>2038</v>
      </c>
      <c r="D414" s="6"/>
      <c r="E414" t="s">
        <v>2039</v>
      </c>
      <c r="F414" t="s">
        <v>2040</v>
      </c>
      <c r="G414" s="6">
        <v>19</v>
      </c>
      <c r="H414" s="6"/>
      <c r="I414" t="s">
        <v>491</v>
      </c>
      <c r="J414" s="3">
        <v>46270</v>
      </c>
      <c r="K414" t="s">
        <v>2041</v>
      </c>
      <c r="L414" t="s">
        <v>139</v>
      </c>
      <c r="N414" t="s">
        <v>1675</v>
      </c>
      <c r="O414" t="s">
        <v>163</v>
      </c>
      <c r="P414" t="s">
        <v>163</v>
      </c>
      <c r="Q414" t="s">
        <v>248</v>
      </c>
      <c r="S414" t="s">
        <v>249</v>
      </c>
      <c r="T414" t="s">
        <v>250</v>
      </c>
      <c r="V414" t="s">
        <v>251</v>
      </c>
      <c r="W414" t="s">
        <v>39</v>
      </c>
      <c r="X414" s="6" t="s">
        <v>252</v>
      </c>
      <c r="Y414" s="6"/>
      <c r="Z414" t="s">
        <v>148</v>
      </c>
      <c r="AA414" t="s">
        <v>149</v>
      </c>
      <c r="AC414" t="s">
        <v>150</v>
      </c>
      <c r="AD414" s="6"/>
      <c r="AF414" s="3">
        <v>40928</v>
      </c>
      <c r="AG414">
        <v>14</v>
      </c>
      <c r="AH414" t="b">
        <v>1</v>
      </c>
      <c r="AI414" t="b">
        <v>0</v>
      </c>
      <c r="AJ414" s="6"/>
      <c r="AK414" s="6"/>
      <c r="AL414" t="b">
        <v>0</v>
      </c>
      <c r="AM414" s="6"/>
      <c r="AN414" s="6"/>
      <c r="AP414" t="b">
        <v>0</v>
      </c>
      <c r="AQ414" s="6"/>
      <c r="AR414" s="6"/>
      <c r="AT414" t="b">
        <v>0</v>
      </c>
      <c r="AU414" s="6"/>
      <c r="AV414" s="6"/>
      <c r="AX414" t="b">
        <v>0</v>
      </c>
      <c r="AY414" s="6"/>
      <c r="AZ414" s="6"/>
      <c r="BA414" t="b">
        <v>0</v>
      </c>
      <c r="BB414" s="6"/>
      <c r="BC414" t="b">
        <v>0</v>
      </c>
      <c r="BD414" s="6"/>
      <c r="BE414" s="6"/>
      <c r="BF414" t="b">
        <v>0</v>
      </c>
      <c r="BG414" s="6"/>
      <c r="BH414" t="b">
        <v>0</v>
      </c>
      <c r="BI414" s="6"/>
      <c r="BJ414" t="b">
        <v>0</v>
      </c>
      <c r="BL414" t="b">
        <v>0</v>
      </c>
      <c r="BM414" t="b">
        <v>0</v>
      </c>
      <c r="BN414" t="b">
        <v>0</v>
      </c>
      <c r="BO414" t="b">
        <v>0</v>
      </c>
      <c r="BQ414" t="b">
        <v>1</v>
      </c>
      <c r="BR414" s="6" t="s">
        <v>2201</v>
      </c>
      <c r="BS414" t="s">
        <v>2047</v>
      </c>
      <c r="BT414" t="b">
        <v>1</v>
      </c>
      <c r="BU414" t="s">
        <v>2048</v>
      </c>
      <c r="BV414" t="s">
        <v>504</v>
      </c>
      <c r="BW414" t="s">
        <v>154</v>
      </c>
      <c r="BX414" t="s">
        <v>2202</v>
      </c>
      <c r="BY414" s="6" t="s">
        <v>1679</v>
      </c>
      <c r="BZ414">
        <v>1</v>
      </c>
      <c r="CA414" t="s">
        <v>157</v>
      </c>
      <c r="CB414" s="7">
        <v>46315.0537962963</v>
      </c>
    </row>
    <row r="415" spans="1:80">
      <c r="A415" s="6" t="s">
        <v>2203</v>
      </c>
      <c r="B415" t="s">
        <v>491</v>
      </c>
      <c r="C415" s="6" t="s">
        <v>2038</v>
      </c>
      <c r="D415" s="6"/>
      <c r="E415" t="s">
        <v>2039</v>
      </c>
      <c r="F415" t="s">
        <v>2040</v>
      </c>
      <c r="G415" s="6">
        <v>19</v>
      </c>
      <c r="H415" s="6" t="s">
        <v>2200</v>
      </c>
      <c r="I415" t="s">
        <v>491</v>
      </c>
      <c r="J415" s="3">
        <v>46270</v>
      </c>
      <c r="K415" t="s">
        <v>2052</v>
      </c>
      <c r="L415" t="s">
        <v>139</v>
      </c>
      <c r="N415" t="s">
        <v>247</v>
      </c>
      <c r="Q415" t="s">
        <v>248</v>
      </c>
      <c r="S415" t="s">
        <v>144</v>
      </c>
      <c r="X415" s="6"/>
      <c r="Y415" s="6"/>
      <c r="Z415" t="s">
        <v>148</v>
      </c>
      <c r="AD415" s="6" t="s">
        <v>1302</v>
      </c>
      <c r="AF415" s="3"/>
      <c r="AH415" t="b">
        <v>0</v>
      </c>
      <c r="AI415" t="b">
        <v>0</v>
      </c>
      <c r="AJ415" s="6"/>
      <c r="AK415" s="6"/>
      <c r="AL415" t="b">
        <v>0</v>
      </c>
      <c r="AM415" s="6"/>
      <c r="AN415" s="6"/>
      <c r="AP415" t="b">
        <v>0</v>
      </c>
      <c r="AQ415" s="6"/>
      <c r="AR415" s="6"/>
      <c r="AT415" t="b">
        <v>0</v>
      </c>
      <c r="AU415" s="6"/>
      <c r="AV415" s="6"/>
      <c r="AX415" t="b">
        <v>0</v>
      </c>
      <c r="AY415" s="6"/>
      <c r="AZ415" s="6"/>
      <c r="BA415" t="b">
        <v>0</v>
      </c>
      <c r="BB415" s="6"/>
      <c r="BC415" t="b">
        <v>0</v>
      </c>
      <c r="BD415" s="6"/>
      <c r="BE415" s="6"/>
      <c r="BF415" t="b">
        <v>0</v>
      </c>
      <c r="BG415" s="6"/>
      <c r="BH415" t="b">
        <v>0</v>
      </c>
      <c r="BI415" s="6"/>
      <c r="BJ415" t="b">
        <v>0</v>
      </c>
      <c r="BL415" t="b">
        <v>0</v>
      </c>
      <c r="BM415" t="b">
        <v>0</v>
      </c>
      <c r="BN415" t="b">
        <v>0</v>
      </c>
      <c r="BO415" t="b">
        <v>0</v>
      </c>
      <c r="BQ415" t="b">
        <v>0</v>
      </c>
      <c r="BR415" s="6"/>
      <c r="BT415" t="b">
        <v>0</v>
      </c>
      <c r="BV415" t="s">
        <v>504</v>
      </c>
      <c r="BW415" t="s">
        <v>154</v>
      </c>
      <c r="BX415" t="s">
        <v>2072</v>
      </c>
      <c r="BY415" s="6" t="s">
        <v>2204</v>
      </c>
      <c r="BZ415">
        <v>1</v>
      </c>
      <c r="CA415" t="s">
        <v>157</v>
      </c>
      <c r="CB415" s="7">
        <v>46315.0537962963</v>
      </c>
    </row>
    <row r="416" spans="1:80">
      <c r="A416" s="6" t="s">
        <v>2205</v>
      </c>
      <c r="B416" t="s">
        <v>491</v>
      </c>
      <c r="C416" s="6" t="s">
        <v>2038</v>
      </c>
      <c r="D416" s="6"/>
      <c r="E416" t="s">
        <v>2039</v>
      </c>
      <c r="F416" t="s">
        <v>2040</v>
      </c>
      <c r="G416" s="6">
        <v>20</v>
      </c>
      <c r="H416" s="6"/>
      <c r="I416" t="s">
        <v>491</v>
      </c>
      <c r="J416" s="3">
        <v>46270</v>
      </c>
      <c r="K416" t="s">
        <v>2041</v>
      </c>
      <c r="L416" t="s">
        <v>139</v>
      </c>
      <c r="N416" t="s">
        <v>2206</v>
      </c>
      <c r="O416" t="s">
        <v>142</v>
      </c>
      <c r="P416" t="s">
        <v>142</v>
      </c>
      <c r="Q416" t="s">
        <v>2207</v>
      </c>
      <c r="S416" t="s">
        <v>249</v>
      </c>
      <c r="T416" t="s">
        <v>470</v>
      </c>
      <c r="V416" t="s">
        <v>471</v>
      </c>
      <c r="W416" t="s">
        <v>38</v>
      </c>
      <c r="X416" s="6" t="s">
        <v>472</v>
      </c>
      <c r="Y416" s="6"/>
      <c r="Z416" t="s">
        <v>148</v>
      </c>
      <c r="AA416" t="s">
        <v>149</v>
      </c>
      <c r="AC416" t="s">
        <v>150</v>
      </c>
      <c r="AD416" s="6"/>
      <c r="AF416" s="3">
        <v>40753</v>
      </c>
      <c r="AG416">
        <v>15</v>
      </c>
      <c r="AH416" t="b">
        <v>1</v>
      </c>
      <c r="AI416" t="b">
        <v>0</v>
      </c>
      <c r="AJ416" s="6"/>
      <c r="AK416" s="6"/>
      <c r="AL416" t="b">
        <v>0</v>
      </c>
      <c r="AM416" s="6"/>
      <c r="AN416" s="6"/>
      <c r="AP416" t="b">
        <v>0</v>
      </c>
      <c r="AQ416" s="6"/>
      <c r="AR416" s="6"/>
      <c r="AT416" t="b">
        <v>0</v>
      </c>
      <c r="AU416" s="6"/>
      <c r="AV416" s="6"/>
      <c r="AX416" t="b">
        <v>0</v>
      </c>
      <c r="AY416" s="6"/>
      <c r="AZ416" s="6"/>
      <c r="BA416" t="b">
        <v>0</v>
      </c>
      <c r="BB416" s="6"/>
      <c r="BC416" t="b">
        <v>0</v>
      </c>
      <c r="BD416" s="6"/>
      <c r="BE416" s="6"/>
      <c r="BF416" t="b">
        <v>0</v>
      </c>
      <c r="BG416" s="6"/>
      <c r="BH416" t="b">
        <v>0</v>
      </c>
      <c r="BI416" s="6"/>
      <c r="BJ416" t="b">
        <v>0</v>
      </c>
      <c r="BL416" t="b">
        <v>0</v>
      </c>
      <c r="BM416" t="b">
        <v>0</v>
      </c>
      <c r="BN416" t="b">
        <v>0</v>
      </c>
      <c r="BO416" t="b">
        <v>0</v>
      </c>
      <c r="BQ416" t="b">
        <v>1</v>
      </c>
      <c r="BR416" s="6" t="s">
        <v>2208</v>
      </c>
      <c r="BS416" t="s">
        <v>2047</v>
      </c>
      <c r="BT416" t="b">
        <v>1</v>
      </c>
      <c r="BU416" t="s">
        <v>2048</v>
      </c>
      <c r="BV416" t="s">
        <v>504</v>
      </c>
      <c r="BW416" t="s">
        <v>171</v>
      </c>
      <c r="BX416" t="s">
        <v>2087</v>
      </c>
      <c r="BY416" s="6" t="s">
        <v>2209</v>
      </c>
      <c r="BZ416">
        <v>1</v>
      </c>
      <c r="CB416" s="7">
        <v>46315.0537962963</v>
      </c>
    </row>
    <row r="417" spans="1:80">
      <c r="A417" s="6" t="s">
        <v>2210</v>
      </c>
      <c r="B417" t="s">
        <v>491</v>
      </c>
      <c r="C417" s="6" t="s">
        <v>2038</v>
      </c>
      <c r="D417" s="6"/>
      <c r="E417" t="s">
        <v>2039</v>
      </c>
      <c r="F417" t="s">
        <v>2040</v>
      </c>
      <c r="G417" s="6">
        <v>20</v>
      </c>
      <c r="H417" s="6" t="s">
        <v>2205</v>
      </c>
      <c r="I417" t="s">
        <v>491</v>
      </c>
      <c r="J417" s="3">
        <v>46270</v>
      </c>
      <c r="K417" t="s">
        <v>2052</v>
      </c>
      <c r="L417" t="s">
        <v>139</v>
      </c>
      <c r="N417" t="s">
        <v>1126</v>
      </c>
      <c r="Q417" t="s">
        <v>2207</v>
      </c>
      <c r="S417" t="s">
        <v>144</v>
      </c>
      <c r="X417" s="6"/>
      <c r="Y417" s="6"/>
      <c r="Z417" t="s">
        <v>148</v>
      </c>
      <c r="AD417" s="6" t="s">
        <v>2128</v>
      </c>
      <c r="AF417" s="3"/>
      <c r="AH417" t="b">
        <v>0</v>
      </c>
      <c r="AI417" t="b">
        <v>0</v>
      </c>
      <c r="AJ417" s="6"/>
      <c r="AK417" s="6"/>
      <c r="AL417" t="b">
        <v>0</v>
      </c>
      <c r="AM417" s="6"/>
      <c r="AN417" s="6"/>
      <c r="AP417" t="b">
        <v>0</v>
      </c>
      <c r="AQ417" s="6"/>
      <c r="AR417" s="6"/>
      <c r="AT417" t="b">
        <v>0</v>
      </c>
      <c r="AU417" s="6"/>
      <c r="AV417" s="6"/>
      <c r="AX417" t="b">
        <v>0</v>
      </c>
      <c r="AY417" s="6"/>
      <c r="AZ417" s="6"/>
      <c r="BA417" t="b">
        <v>0</v>
      </c>
      <c r="BB417" s="6"/>
      <c r="BC417" t="b">
        <v>0</v>
      </c>
      <c r="BD417" s="6"/>
      <c r="BE417" s="6"/>
      <c r="BF417" t="b">
        <v>0</v>
      </c>
      <c r="BG417" s="6"/>
      <c r="BH417" t="b">
        <v>0</v>
      </c>
      <c r="BI417" s="6"/>
      <c r="BJ417" t="b">
        <v>0</v>
      </c>
      <c r="BL417" t="b">
        <v>0</v>
      </c>
      <c r="BM417" t="b">
        <v>0</v>
      </c>
      <c r="BN417" t="b">
        <v>0</v>
      </c>
      <c r="BO417" t="b">
        <v>0</v>
      </c>
      <c r="BQ417" t="b">
        <v>0</v>
      </c>
      <c r="BR417" s="6"/>
      <c r="BT417" t="b">
        <v>0</v>
      </c>
      <c r="BV417" t="s">
        <v>504</v>
      </c>
      <c r="BW417" t="s">
        <v>154</v>
      </c>
      <c r="BX417" t="s">
        <v>2055</v>
      </c>
      <c r="BY417" s="6" t="s">
        <v>2211</v>
      </c>
      <c r="BZ417">
        <v>1</v>
      </c>
      <c r="CA417" t="s">
        <v>157</v>
      </c>
      <c r="CB417" s="7">
        <v>46315.0537962963</v>
      </c>
    </row>
    <row r="418" spans="1:80">
      <c r="A418" s="6" t="s">
        <v>2212</v>
      </c>
      <c r="B418" t="s">
        <v>491</v>
      </c>
      <c r="C418" s="6" t="s">
        <v>2038</v>
      </c>
      <c r="D418" s="6"/>
      <c r="E418" t="s">
        <v>2039</v>
      </c>
      <c r="F418" t="s">
        <v>2040</v>
      </c>
      <c r="G418" s="6">
        <v>21</v>
      </c>
      <c r="H418" s="6"/>
      <c r="I418" t="s">
        <v>491</v>
      </c>
      <c r="J418" s="3">
        <v>46270</v>
      </c>
      <c r="K418" t="s">
        <v>2041</v>
      </c>
      <c r="L418" t="s">
        <v>139</v>
      </c>
      <c r="N418" t="s">
        <v>1140</v>
      </c>
      <c r="O418" t="s">
        <v>1180</v>
      </c>
      <c r="P418" t="s">
        <v>1180</v>
      </c>
      <c r="Q418" t="s">
        <v>2213</v>
      </c>
      <c r="S418" t="s">
        <v>249</v>
      </c>
      <c r="T418" t="s">
        <v>2214</v>
      </c>
      <c r="V418" t="s">
        <v>2215</v>
      </c>
      <c r="W418" t="s">
        <v>37</v>
      </c>
      <c r="X418" s="6" t="s">
        <v>2216</v>
      </c>
      <c r="Y418" s="6"/>
      <c r="Z418" t="s">
        <v>148</v>
      </c>
      <c r="AA418" t="s">
        <v>205</v>
      </c>
      <c r="AC418" t="s">
        <v>150</v>
      </c>
      <c r="AD418" s="6"/>
      <c r="AF418" s="3">
        <v>41331</v>
      </c>
      <c r="AG418">
        <v>13</v>
      </c>
      <c r="AH418" t="b">
        <v>1</v>
      </c>
      <c r="AI418" t="b">
        <v>0</v>
      </c>
      <c r="AJ418" s="6"/>
      <c r="AK418" s="6"/>
      <c r="AL418" t="b">
        <v>0</v>
      </c>
      <c r="AM418" s="6"/>
      <c r="AN418" s="6"/>
      <c r="AP418" t="b">
        <v>0</v>
      </c>
      <c r="AQ418" s="6"/>
      <c r="AR418" s="6"/>
      <c r="AT418" t="b">
        <v>0</v>
      </c>
      <c r="AU418" s="6"/>
      <c r="AV418" s="6"/>
      <c r="AX418" t="b">
        <v>0</v>
      </c>
      <c r="AY418" s="6"/>
      <c r="AZ418" s="6"/>
      <c r="BA418" t="b">
        <v>0</v>
      </c>
      <c r="BB418" s="6"/>
      <c r="BC418" t="b">
        <v>0</v>
      </c>
      <c r="BD418" s="6"/>
      <c r="BE418" s="6"/>
      <c r="BF418" t="b">
        <v>0</v>
      </c>
      <c r="BG418" s="6"/>
      <c r="BH418" t="b">
        <v>0</v>
      </c>
      <c r="BI418" s="6"/>
      <c r="BJ418" t="b">
        <v>0</v>
      </c>
      <c r="BL418" t="b">
        <v>0</v>
      </c>
      <c r="BM418" t="b">
        <v>0</v>
      </c>
      <c r="BN418" t="b">
        <v>0</v>
      </c>
      <c r="BO418" t="b">
        <v>0</v>
      </c>
      <c r="BQ418" t="b">
        <v>1</v>
      </c>
      <c r="BR418" s="6" t="s">
        <v>2217</v>
      </c>
      <c r="BS418" t="s">
        <v>2047</v>
      </c>
      <c r="BT418" t="b">
        <v>1</v>
      </c>
      <c r="BU418" t="s">
        <v>2048</v>
      </c>
      <c r="BV418" t="s">
        <v>504</v>
      </c>
      <c r="BW418" t="s">
        <v>154</v>
      </c>
      <c r="BX418" t="s">
        <v>2049</v>
      </c>
      <c r="BY418" s="6" t="s">
        <v>2218</v>
      </c>
      <c r="BZ418">
        <v>1</v>
      </c>
      <c r="CA418" t="s">
        <v>157</v>
      </c>
      <c r="CB418" s="7">
        <v>46315.0537962963</v>
      </c>
    </row>
    <row r="419" spans="1:80">
      <c r="A419" s="6" t="s">
        <v>2219</v>
      </c>
      <c r="B419" t="s">
        <v>491</v>
      </c>
      <c r="C419" s="6" t="s">
        <v>2038</v>
      </c>
      <c r="D419" s="6"/>
      <c r="E419" t="s">
        <v>2039</v>
      </c>
      <c r="F419" t="s">
        <v>2040</v>
      </c>
      <c r="G419" s="6">
        <v>21</v>
      </c>
      <c r="H419" s="6" t="s">
        <v>2212</v>
      </c>
      <c r="I419" t="s">
        <v>491</v>
      </c>
      <c r="J419" s="3">
        <v>46270</v>
      </c>
      <c r="K419" t="s">
        <v>2052</v>
      </c>
      <c r="L419" t="s">
        <v>139</v>
      </c>
      <c r="N419" t="s">
        <v>2220</v>
      </c>
      <c r="Q419" t="s">
        <v>2213</v>
      </c>
      <c r="S419" t="s">
        <v>144</v>
      </c>
      <c r="X419" s="6"/>
      <c r="Y419" s="6"/>
      <c r="Z419" t="s">
        <v>148</v>
      </c>
      <c r="AD419" s="6" t="s">
        <v>2221</v>
      </c>
      <c r="AF419" s="3"/>
      <c r="AH419" t="b">
        <v>0</v>
      </c>
      <c r="AI419" t="b">
        <v>0</v>
      </c>
      <c r="AJ419" s="6"/>
      <c r="AK419" s="6"/>
      <c r="AL419" t="b">
        <v>0</v>
      </c>
      <c r="AM419" s="6"/>
      <c r="AN419" s="6"/>
      <c r="AP419" t="b">
        <v>0</v>
      </c>
      <c r="AQ419" s="6"/>
      <c r="AR419" s="6"/>
      <c r="AT419" t="b">
        <v>0</v>
      </c>
      <c r="AU419" s="6"/>
      <c r="AV419" s="6"/>
      <c r="AX419" t="b">
        <v>0</v>
      </c>
      <c r="AY419" s="6"/>
      <c r="AZ419" s="6"/>
      <c r="BA419" t="b">
        <v>0</v>
      </c>
      <c r="BB419" s="6"/>
      <c r="BC419" t="b">
        <v>0</v>
      </c>
      <c r="BD419" s="6"/>
      <c r="BE419" s="6"/>
      <c r="BF419" t="b">
        <v>0</v>
      </c>
      <c r="BG419" s="6"/>
      <c r="BH419" t="b">
        <v>0</v>
      </c>
      <c r="BI419" s="6"/>
      <c r="BJ419" t="b">
        <v>0</v>
      </c>
      <c r="BL419" t="b">
        <v>0</v>
      </c>
      <c r="BM419" t="b">
        <v>0</v>
      </c>
      <c r="BN419" t="b">
        <v>0</v>
      </c>
      <c r="BO419" t="b">
        <v>0</v>
      </c>
      <c r="BQ419" t="b">
        <v>0</v>
      </c>
      <c r="BR419" s="6"/>
      <c r="BT419" t="b">
        <v>0</v>
      </c>
      <c r="BV419" t="s">
        <v>504</v>
      </c>
      <c r="BW419" t="s">
        <v>154</v>
      </c>
      <c r="BX419" t="s">
        <v>2055</v>
      </c>
      <c r="BY419" s="6" t="s">
        <v>2222</v>
      </c>
      <c r="BZ419">
        <v>1</v>
      </c>
      <c r="CA419" t="s">
        <v>157</v>
      </c>
      <c r="CB419" s="7">
        <v>46315.0537962963</v>
      </c>
    </row>
    <row r="420" spans="1:80">
      <c r="A420" s="6" t="s">
        <v>2223</v>
      </c>
      <c r="B420" t="s">
        <v>491</v>
      </c>
      <c r="C420" s="6" t="s">
        <v>2038</v>
      </c>
      <c r="D420" s="6"/>
      <c r="E420" t="s">
        <v>2039</v>
      </c>
      <c r="F420" t="s">
        <v>2040</v>
      </c>
      <c r="G420" s="6">
        <v>22</v>
      </c>
      <c r="H420" s="6"/>
      <c r="I420" t="s">
        <v>491</v>
      </c>
      <c r="J420" s="3">
        <v>46270</v>
      </c>
      <c r="K420" t="s">
        <v>2041</v>
      </c>
      <c r="L420" t="s">
        <v>139</v>
      </c>
      <c r="N420" t="s">
        <v>1567</v>
      </c>
      <c r="O420" t="s">
        <v>299</v>
      </c>
      <c r="P420" t="s">
        <v>299</v>
      </c>
      <c r="Q420" t="s">
        <v>435</v>
      </c>
      <c r="S420" t="s">
        <v>249</v>
      </c>
      <c r="T420" t="s">
        <v>436</v>
      </c>
      <c r="V420" t="s">
        <v>437</v>
      </c>
      <c r="W420" t="s">
        <v>40</v>
      </c>
      <c r="X420" s="6" t="s">
        <v>438</v>
      </c>
      <c r="Y420" s="6"/>
      <c r="Z420" t="s">
        <v>148</v>
      </c>
      <c r="AA420" t="s">
        <v>149</v>
      </c>
      <c r="AC420" t="s">
        <v>150</v>
      </c>
      <c r="AD420" s="6"/>
      <c r="AF420" s="3">
        <v>40330</v>
      </c>
      <c r="AG420">
        <v>16</v>
      </c>
      <c r="AH420" t="b">
        <v>1</v>
      </c>
      <c r="AI420" t="b">
        <v>0</v>
      </c>
      <c r="AJ420" s="6"/>
      <c r="AK420" s="6"/>
      <c r="AL420" t="b">
        <v>0</v>
      </c>
      <c r="AM420" s="6"/>
      <c r="AN420" s="6"/>
      <c r="AP420" t="b">
        <v>0</v>
      </c>
      <c r="AQ420" s="6"/>
      <c r="AR420" s="6"/>
      <c r="AT420" t="b">
        <v>0</v>
      </c>
      <c r="AU420" s="6"/>
      <c r="AV420" s="6"/>
      <c r="AX420" t="b">
        <v>0</v>
      </c>
      <c r="AY420" s="6"/>
      <c r="AZ420" s="6"/>
      <c r="BA420" t="b">
        <v>0</v>
      </c>
      <c r="BB420" s="6"/>
      <c r="BC420" t="b">
        <v>0</v>
      </c>
      <c r="BD420" s="6"/>
      <c r="BE420" s="6"/>
      <c r="BF420" t="b">
        <v>0</v>
      </c>
      <c r="BG420" s="6"/>
      <c r="BH420" t="b">
        <v>0</v>
      </c>
      <c r="BI420" s="6"/>
      <c r="BJ420" t="b">
        <v>0</v>
      </c>
      <c r="BL420" t="b">
        <v>0</v>
      </c>
      <c r="BM420" t="b">
        <v>0</v>
      </c>
      <c r="BN420" t="b">
        <v>0</v>
      </c>
      <c r="BO420" t="b">
        <v>0</v>
      </c>
      <c r="BQ420" t="b">
        <v>1</v>
      </c>
      <c r="BR420" s="6" t="s">
        <v>2224</v>
      </c>
      <c r="BS420" t="s">
        <v>2047</v>
      </c>
      <c r="BT420" t="b">
        <v>1</v>
      </c>
      <c r="BU420" t="s">
        <v>2048</v>
      </c>
      <c r="BV420" t="s">
        <v>504</v>
      </c>
      <c r="BW420" t="s">
        <v>171</v>
      </c>
      <c r="BX420" t="s">
        <v>2087</v>
      </c>
      <c r="BY420" s="6" t="s">
        <v>1572</v>
      </c>
      <c r="BZ420">
        <v>1</v>
      </c>
      <c r="CB420" s="7">
        <v>46315.0537962963</v>
      </c>
    </row>
    <row r="421" spans="1:80">
      <c r="A421" s="6" t="s">
        <v>2225</v>
      </c>
      <c r="B421" t="s">
        <v>491</v>
      </c>
      <c r="C421" s="6" t="s">
        <v>2038</v>
      </c>
      <c r="D421" s="6"/>
      <c r="E421" t="s">
        <v>2039</v>
      </c>
      <c r="F421" t="s">
        <v>2040</v>
      </c>
      <c r="G421" s="6">
        <v>22</v>
      </c>
      <c r="H421" s="6" t="s">
        <v>2223</v>
      </c>
      <c r="I421" t="s">
        <v>491</v>
      </c>
      <c r="J421" s="3">
        <v>46270</v>
      </c>
      <c r="K421" t="s">
        <v>2052</v>
      </c>
      <c r="L421" t="s">
        <v>139</v>
      </c>
      <c r="N421" t="s">
        <v>433</v>
      </c>
      <c r="Q421" t="s">
        <v>435</v>
      </c>
      <c r="S421" t="s">
        <v>144</v>
      </c>
      <c r="X421" s="6"/>
      <c r="Y421" s="6"/>
      <c r="Z421" t="s">
        <v>148</v>
      </c>
      <c r="AD421" s="6" t="s">
        <v>796</v>
      </c>
      <c r="AF421" s="3"/>
      <c r="AH421" t="b">
        <v>0</v>
      </c>
      <c r="AI421" t="b">
        <v>0</v>
      </c>
      <c r="AJ421" s="6"/>
      <c r="AK421" s="6"/>
      <c r="AL421" t="b">
        <v>0</v>
      </c>
      <c r="AM421" s="6"/>
      <c r="AN421" s="6"/>
      <c r="AP421" t="b">
        <v>0</v>
      </c>
      <c r="AQ421" s="6"/>
      <c r="AR421" s="6"/>
      <c r="AT421" t="b">
        <v>0</v>
      </c>
      <c r="AU421" s="6"/>
      <c r="AV421" s="6"/>
      <c r="AX421" t="b">
        <v>0</v>
      </c>
      <c r="AY421" s="6"/>
      <c r="AZ421" s="6"/>
      <c r="BA421" t="b">
        <v>0</v>
      </c>
      <c r="BB421" s="6"/>
      <c r="BC421" t="b">
        <v>0</v>
      </c>
      <c r="BD421" s="6"/>
      <c r="BE421" s="6"/>
      <c r="BF421" t="b">
        <v>0</v>
      </c>
      <c r="BG421" s="6"/>
      <c r="BH421" t="b">
        <v>0</v>
      </c>
      <c r="BI421" s="6"/>
      <c r="BJ421" t="b">
        <v>0</v>
      </c>
      <c r="BL421" t="b">
        <v>0</v>
      </c>
      <c r="BM421" t="b">
        <v>0</v>
      </c>
      <c r="BN421" t="b">
        <v>0</v>
      </c>
      <c r="BO421" t="b">
        <v>0</v>
      </c>
      <c r="BQ421" t="b">
        <v>0</v>
      </c>
      <c r="BR421" s="6"/>
      <c r="BT421" t="b">
        <v>0</v>
      </c>
      <c r="BV421" t="s">
        <v>504</v>
      </c>
      <c r="BW421" t="s">
        <v>154</v>
      </c>
      <c r="BX421" t="s">
        <v>2072</v>
      </c>
      <c r="BY421" s="6" t="s">
        <v>2226</v>
      </c>
      <c r="BZ421">
        <v>1</v>
      </c>
      <c r="CA421" t="s">
        <v>157</v>
      </c>
      <c r="CB421" s="7">
        <v>46315.0537962963</v>
      </c>
    </row>
    <row r="422" spans="1:80">
      <c r="A422" s="6" t="s">
        <v>2227</v>
      </c>
      <c r="B422" t="s">
        <v>491</v>
      </c>
      <c r="C422" s="6" t="s">
        <v>2038</v>
      </c>
      <c r="D422" s="6"/>
      <c r="E422" t="s">
        <v>2039</v>
      </c>
      <c r="F422" t="s">
        <v>2040</v>
      </c>
      <c r="G422" s="6">
        <v>23</v>
      </c>
      <c r="H422" s="6"/>
      <c r="I422" t="s">
        <v>491</v>
      </c>
      <c r="J422" s="3">
        <v>46270</v>
      </c>
      <c r="K422" t="s">
        <v>2041</v>
      </c>
      <c r="L422" t="s">
        <v>139</v>
      </c>
      <c r="N422" t="s">
        <v>1204</v>
      </c>
      <c r="O422" t="s">
        <v>324</v>
      </c>
      <c r="P422" t="s">
        <v>324</v>
      </c>
      <c r="Q422" t="s">
        <v>2228</v>
      </c>
      <c r="S422" t="s">
        <v>249</v>
      </c>
      <c r="T422" t="s">
        <v>669</v>
      </c>
      <c r="V422" t="s">
        <v>671</v>
      </c>
      <c r="W422" t="s">
        <v>39</v>
      </c>
      <c r="X422" s="6" t="s">
        <v>672</v>
      </c>
      <c r="Y422" s="6"/>
      <c r="Z422" t="s">
        <v>148</v>
      </c>
      <c r="AA422" t="s">
        <v>149</v>
      </c>
      <c r="AC422" t="s">
        <v>150</v>
      </c>
      <c r="AD422" s="6"/>
      <c r="AF422" s="3">
        <v>39876</v>
      </c>
      <c r="AG422">
        <v>17</v>
      </c>
      <c r="AH422" t="b">
        <v>1</v>
      </c>
      <c r="AI422" t="b">
        <v>0</v>
      </c>
      <c r="AJ422" s="6"/>
      <c r="AK422" s="6"/>
      <c r="AL422" t="b">
        <v>0</v>
      </c>
      <c r="AM422" s="6"/>
      <c r="AN422" s="6"/>
      <c r="AP422" t="b">
        <v>0</v>
      </c>
      <c r="AQ422" s="6"/>
      <c r="AR422" s="6"/>
      <c r="AT422" t="b">
        <v>0</v>
      </c>
      <c r="AU422" s="6"/>
      <c r="AV422" s="6"/>
      <c r="AX422" t="b">
        <v>0</v>
      </c>
      <c r="AY422" s="6"/>
      <c r="AZ422" s="6"/>
      <c r="BA422" t="b">
        <v>0</v>
      </c>
      <c r="BB422" s="6"/>
      <c r="BC422" t="b">
        <v>0</v>
      </c>
      <c r="BD422" s="6"/>
      <c r="BE422" s="6"/>
      <c r="BF422" t="b">
        <v>0</v>
      </c>
      <c r="BG422" s="6"/>
      <c r="BH422" t="b">
        <v>0</v>
      </c>
      <c r="BI422" s="6"/>
      <c r="BJ422" t="b">
        <v>0</v>
      </c>
      <c r="BL422" t="b">
        <v>0</v>
      </c>
      <c r="BM422" t="b">
        <v>0</v>
      </c>
      <c r="BN422" t="b">
        <v>0</v>
      </c>
      <c r="BO422" t="b">
        <v>0</v>
      </c>
      <c r="BQ422" t="b">
        <v>1</v>
      </c>
      <c r="BR422" s="6" t="s">
        <v>2229</v>
      </c>
      <c r="BS422" t="s">
        <v>2047</v>
      </c>
      <c r="BT422" t="b">
        <v>1</v>
      </c>
      <c r="BU422" t="s">
        <v>2048</v>
      </c>
      <c r="BV422" t="s">
        <v>504</v>
      </c>
      <c r="BW422" t="s">
        <v>171</v>
      </c>
      <c r="BX422" t="s">
        <v>2087</v>
      </c>
      <c r="BY422" s="6" t="s">
        <v>2230</v>
      </c>
      <c r="BZ422">
        <v>1</v>
      </c>
      <c r="CB422" s="7">
        <v>46315.0537962963</v>
      </c>
    </row>
    <row r="423" spans="1:80">
      <c r="A423" s="6" t="s">
        <v>2231</v>
      </c>
      <c r="B423" t="s">
        <v>491</v>
      </c>
      <c r="C423" s="6" t="s">
        <v>2038</v>
      </c>
      <c r="D423" s="6"/>
      <c r="E423" t="s">
        <v>2039</v>
      </c>
      <c r="F423" t="s">
        <v>2040</v>
      </c>
      <c r="G423" s="6">
        <v>23</v>
      </c>
      <c r="H423" s="6" t="s">
        <v>2227</v>
      </c>
      <c r="I423" t="s">
        <v>491</v>
      </c>
      <c r="J423" s="3">
        <v>46270</v>
      </c>
      <c r="K423" t="s">
        <v>2052</v>
      </c>
      <c r="L423" t="s">
        <v>139</v>
      </c>
      <c r="N423" t="s">
        <v>1413</v>
      </c>
      <c r="Q423" t="s">
        <v>2228</v>
      </c>
      <c r="S423" t="s">
        <v>144</v>
      </c>
      <c r="X423" s="6"/>
      <c r="Y423" s="6"/>
      <c r="Z423" t="s">
        <v>148</v>
      </c>
      <c r="AD423" s="6" t="s">
        <v>2232</v>
      </c>
      <c r="AF423" s="3"/>
      <c r="AH423" t="b">
        <v>0</v>
      </c>
      <c r="AI423" t="b">
        <v>0</v>
      </c>
      <c r="AJ423" s="6"/>
      <c r="AK423" s="6"/>
      <c r="AL423" t="b">
        <v>0</v>
      </c>
      <c r="AM423" s="6"/>
      <c r="AN423" s="6"/>
      <c r="AP423" t="b">
        <v>0</v>
      </c>
      <c r="AQ423" s="6"/>
      <c r="AR423" s="6"/>
      <c r="AT423" t="b">
        <v>0</v>
      </c>
      <c r="AU423" s="6"/>
      <c r="AV423" s="6"/>
      <c r="AX423" t="b">
        <v>0</v>
      </c>
      <c r="AY423" s="6"/>
      <c r="AZ423" s="6"/>
      <c r="BA423" t="b">
        <v>0</v>
      </c>
      <c r="BB423" s="6"/>
      <c r="BC423" t="b">
        <v>0</v>
      </c>
      <c r="BD423" s="6"/>
      <c r="BE423" s="6"/>
      <c r="BF423" t="b">
        <v>0</v>
      </c>
      <c r="BG423" s="6"/>
      <c r="BH423" t="b">
        <v>0</v>
      </c>
      <c r="BI423" s="6"/>
      <c r="BJ423" t="b">
        <v>0</v>
      </c>
      <c r="BL423" t="b">
        <v>0</v>
      </c>
      <c r="BM423" t="b">
        <v>0</v>
      </c>
      <c r="BN423" t="b">
        <v>0</v>
      </c>
      <c r="BO423" t="b">
        <v>0</v>
      </c>
      <c r="BQ423" t="b">
        <v>0</v>
      </c>
      <c r="BR423" s="6"/>
      <c r="BT423" t="b">
        <v>0</v>
      </c>
      <c r="BV423" t="s">
        <v>504</v>
      </c>
      <c r="BW423" t="s">
        <v>154</v>
      </c>
      <c r="BX423" t="s">
        <v>2055</v>
      </c>
      <c r="BY423" s="6" t="s">
        <v>2233</v>
      </c>
      <c r="BZ423">
        <v>1</v>
      </c>
      <c r="CA423" t="s">
        <v>157</v>
      </c>
      <c r="CB423" s="7">
        <v>46315.0537962963</v>
      </c>
    </row>
    <row r="424" spans="1:80">
      <c r="A424" s="6" t="s">
        <v>2234</v>
      </c>
      <c r="B424" t="s">
        <v>491</v>
      </c>
      <c r="C424" s="6" t="s">
        <v>2038</v>
      </c>
      <c r="D424" s="6"/>
      <c r="E424" t="s">
        <v>2039</v>
      </c>
      <c r="F424" t="s">
        <v>2040</v>
      </c>
      <c r="G424" s="6">
        <v>24</v>
      </c>
      <c r="H424" s="6"/>
      <c r="I424" t="s">
        <v>491</v>
      </c>
      <c r="J424" s="3">
        <v>46270</v>
      </c>
      <c r="K424" t="s">
        <v>2041</v>
      </c>
      <c r="L424" t="s">
        <v>139</v>
      </c>
      <c r="N424" t="s">
        <v>1897</v>
      </c>
      <c r="Q424" t="s">
        <v>236</v>
      </c>
      <c r="S424" t="s">
        <v>249</v>
      </c>
      <c r="T424" t="s">
        <v>237</v>
      </c>
      <c r="V424" t="s">
        <v>238</v>
      </c>
      <c r="W424" t="s">
        <v>37</v>
      </c>
      <c r="X424" s="6" t="s">
        <v>239</v>
      </c>
      <c r="Y424" s="6"/>
      <c r="Z424" t="s">
        <v>148</v>
      </c>
      <c r="AA424" t="s">
        <v>149</v>
      </c>
      <c r="AC424" t="s">
        <v>150</v>
      </c>
      <c r="AD424" s="6"/>
      <c r="AF424" s="3">
        <v>41723</v>
      </c>
      <c r="AG424">
        <v>12</v>
      </c>
      <c r="AH424" t="b">
        <v>1</v>
      </c>
      <c r="AI424" t="b">
        <v>0</v>
      </c>
      <c r="AJ424" s="6"/>
      <c r="AK424" s="6"/>
      <c r="AL424" t="b">
        <v>0</v>
      </c>
      <c r="AM424" s="6"/>
      <c r="AN424" s="6"/>
      <c r="AP424" t="b">
        <v>0</v>
      </c>
      <c r="AQ424" s="6"/>
      <c r="AR424" s="6"/>
      <c r="AT424" t="b">
        <v>0</v>
      </c>
      <c r="AU424" s="6"/>
      <c r="AV424" s="6"/>
      <c r="AX424" t="b">
        <v>0</v>
      </c>
      <c r="AY424" s="6"/>
      <c r="AZ424" s="6"/>
      <c r="BA424" t="b">
        <v>0</v>
      </c>
      <c r="BB424" s="6"/>
      <c r="BC424" t="b">
        <v>0</v>
      </c>
      <c r="BD424" s="6"/>
      <c r="BE424" s="6"/>
      <c r="BF424" t="b">
        <v>0</v>
      </c>
      <c r="BG424" s="6"/>
      <c r="BH424" t="b">
        <v>0</v>
      </c>
      <c r="BI424" s="6"/>
      <c r="BJ424" t="b">
        <v>0</v>
      </c>
      <c r="BL424" t="b">
        <v>0</v>
      </c>
      <c r="BM424" t="b">
        <v>0</v>
      </c>
      <c r="BN424" t="b">
        <v>0</v>
      </c>
      <c r="BO424" t="b">
        <v>0</v>
      </c>
      <c r="BQ424" t="b">
        <v>1</v>
      </c>
      <c r="BR424" s="6" t="s">
        <v>2235</v>
      </c>
      <c r="BS424" t="s">
        <v>2047</v>
      </c>
      <c r="BT424" t="b">
        <v>1</v>
      </c>
      <c r="BU424" t="s">
        <v>2048</v>
      </c>
      <c r="BV424" t="s">
        <v>504</v>
      </c>
      <c r="BW424" t="s">
        <v>171</v>
      </c>
      <c r="BX424" t="s">
        <v>2087</v>
      </c>
      <c r="BY424" s="6" t="s">
        <v>1901</v>
      </c>
      <c r="BZ424">
        <v>1</v>
      </c>
      <c r="CB424" s="7">
        <v>46315.0537962963</v>
      </c>
    </row>
    <row r="425" spans="1:80">
      <c r="A425" s="6" t="s">
        <v>2236</v>
      </c>
      <c r="B425" t="s">
        <v>491</v>
      </c>
      <c r="C425" s="6" t="s">
        <v>2038</v>
      </c>
      <c r="D425" s="6"/>
      <c r="E425" t="s">
        <v>2039</v>
      </c>
      <c r="F425" t="s">
        <v>2040</v>
      </c>
      <c r="G425" s="6">
        <v>24</v>
      </c>
      <c r="H425" s="6" t="s">
        <v>2234</v>
      </c>
      <c r="I425" t="s">
        <v>491</v>
      </c>
      <c r="J425" s="3">
        <v>46270</v>
      </c>
      <c r="K425" t="s">
        <v>2052</v>
      </c>
      <c r="L425" t="s">
        <v>139</v>
      </c>
      <c r="N425" t="s">
        <v>234</v>
      </c>
      <c r="Q425" t="s">
        <v>236</v>
      </c>
      <c r="S425" t="s">
        <v>144</v>
      </c>
      <c r="X425" s="6"/>
      <c r="Y425" s="6"/>
      <c r="Z425" t="s">
        <v>148</v>
      </c>
      <c r="AD425" s="6" t="s">
        <v>1135</v>
      </c>
      <c r="AF425" s="3"/>
      <c r="AH425" t="b">
        <v>0</v>
      </c>
      <c r="AI425" t="b">
        <v>0</v>
      </c>
      <c r="AJ425" s="6"/>
      <c r="AK425" s="6"/>
      <c r="AL425" t="b">
        <v>0</v>
      </c>
      <c r="AM425" s="6"/>
      <c r="AN425" s="6"/>
      <c r="AP425" t="b">
        <v>0</v>
      </c>
      <c r="AQ425" s="6"/>
      <c r="AR425" s="6"/>
      <c r="AT425" t="b">
        <v>0</v>
      </c>
      <c r="AU425" s="6"/>
      <c r="AV425" s="6"/>
      <c r="AX425" t="b">
        <v>0</v>
      </c>
      <c r="AY425" s="6"/>
      <c r="AZ425" s="6"/>
      <c r="BA425" t="b">
        <v>0</v>
      </c>
      <c r="BB425" s="6"/>
      <c r="BC425" t="b">
        <v>0</v>
      </c>
      <c r="BD425" s="6"/>
      <c r="BE425" s="6"/>
      <c r="BF425" t="b">
        <v>0</v>
      </c>
      <c r="BG425" s="6"/>
      <c r="BH425" t="b">
        <v>0</v>
      </c>
      <c r="BI425" s="6"/>
      <c r="BJ425" t="b">
        <v>0</v>
      </c>
      <c r="BL425" t="b">
        <v>0</v>
      </c>
      <c r="BM425" t="b">
        <v>0</v>
      </c>
      <c r="BN425" t="b">
        <v>0</v>
      </c>
      <c r="BO425" t="b">
        <v>0</v>
      </c>
      <c r="BQ425" t="b">
        <v>0</v>
      </c>
      <c r="BR425" s="6"/>
      <c r="BT425" t="b">
        <v>0</v>
      </c>
      <c r="BV425" t="s">
        <v>504</v>
      </c>
      <c r="BW425" t="s">
        <v>154</v>
      </c>
      <c r="BX425" t="s">
        <v>2072</v>
      </c>
      <c r="BY425" s="6" t="s">
        <v>2237</v>
      </c>
      <c r="BZ425">
        <v>1</v>
      </c>
      <c r="CA425" t="s">
        <v>157</v>
      </c>
      <c r="CB425" s="7">
        <v>46315.0537962963</v>
      </c>
    </row>
    <row r="426" spans="1:80">
      <c r="A426" s="6" t="s">
        <v>2238</v>
      </c>
      <c r="B426" t="s">
        <v>491</v>
      </c>
      <c r="C426" s="6" t="s">
        <v>2038</v>
      </c>
      <c r="D426" s="6"/>
      <c r="E426" t="s">
        <v>2039</v>
      </c>
      <c r="F426" t="s">
        <v>2040</v>
      </c>
      <c r="G426" s="6">
        <v>25</v>
      </c>
      <c r="H426" s="6"/>
      <c r="I426" t="s">
        <v>491</v>
      </c>
      <c r="J426" s="3">
        <v>46270</v>
      </c>
      <c r="K426" t="s">
        <v>2041</v>
      </c>
      <c r="L426" t="s">
        <v>139</v>
      </c>
      <c r="N426" t="s">
        <v>1473</v>
      </c>
      <c r="O426" t="s">
        <v>189</v>
      </c>
      <c r="P426" t="s">
        <v>189</v>
      </c>
      <c r="Q426" t="s">
        <v>2239</v>
      </c>
      <c r="S426" t="s">
        <v>249</v>
      </c>
      <c r="T426" t="s">
        <v>226</v>
      </c>
      <c r="V426" t="s">
        <v>227</v>
      </c>
      <c r="W426" t="s">
        <v>37</v>
      </c>
      <c r="X426" s="6" t="s">
        <v>228</v>
      </c>
      <c r="Y426" s="6"/>
      <c r="Z426" t="s">
        <v>148</v>
      </c>
      <c r="AA426" t="s">
        <v>149</v>
      </c>
      <c r="AC426" t="s">
        <v>150</v>
      </c>
      <c r="AD426" s="6"/>
      <c r="AF426" s="3">
        <v>40234</v>
      </c>
      <c r="AG426">
        <v>16</v>
      </c>
      <c r="AH426" t="b">
        <v>1</v>
      </c>
      <c r="AI426" t="b">
        <v>0</v>
      </c>
      <c r="AJ426" s="6"/>
      <c r="AK426" s="6"/>
      <c r="AL426" t="b">
        <v>0</v>
      </c>
      <c r="AM426" s="6"/>
      <c r="AN426" s="6"/>
      <c r="AP426" t="b">
        <v>0</v>
      </c>
      <c r="AQ426" s="6"/>
      <c r="AR426" s="6"/>
      <c r="AT426" t="b">
        <v>0</v>
      </c>
      <c r="AU426" s="6"/>
      <c r="AV426" s="6"/>
      <c r="AX426" t="b">
        <v>0</v>
      </c>
      <c r="AY426" s="6"/>
      <c r="AZ426" s="6"/>
      <c r="BA426" t="b">
        <v>0</v>
      </c>
      <c r="BB426" s="6"/>
      <c r="BC426" t="b">
        <v>0</v>
      </c>
      <c r="BD426" s="6"/>
      <c r="BE426" s="6"/>
      <c r="BF426" t="b">
        <v>0</v>
      </c>
      <c r="BG426" s="6"/>
      <c r="BH426" t="b">
        <v>0</v>
      </c>
      <c r="BI426" s="6"/>
      <c r="BJ426" t="b">
        <v>0</v>
      </c>
      <c r="BL426" t="b">
        <v>0</v>
      </c>
      <c r="BM426" t="b">
        <v>0</v>
      </c>
      <c r="BN426" t="b">
        <v>0</v>
      </c>
      <c r="BO426" t="b">
        <v>0</v>
      </c>
      <c r="BQ426" t="b">
        <v>1</v>
      </c>
      <c r="BR426" s="6" t="s">
        <v>2240</v>
      </c>
      <c r="BS426" t="s">
        <v>2047</v>
      </c>
      <c r="BT426" t="b">
        <v>1</v>
      </c>
      <c r="BU426" t="s">
        <v>2048</v>
      </c>
      <c r="BV426" t="s">
        <v>504</v>
      </c>
      <c r="BW426" t="s">
        <v>171</v>
      </c>
      <c r="BX426" t="s">
        <v>2087</v>
      </c>
      <c r="BY426" s="6" t="s">
        <v>2241</v>
      </c>
      <c r="BZ426">
        <v>1</v>
      </c>
      <c r="CB426" s="7">
        <v>46315.0537962963</v>
      </c>
    </row>
    <row r="427" spans="1:80">
      <c r="A427" s="6" t="s">
        <v>2242</v>
      </c>
      <c r="B427" t="s">
        <v>491</v>
      </c>
      <c r="C427" s="6" t="s">
        <v>2038</v>
      </c>
      <c r="D427" s="6"/>
      <c r="E427" t="s">
        <v>2039</v>
      </c>
      <c r="F427" t="s">
        <v>2040</v>
      </c>
      <c r="G427" s="6">
        <v>25</v>
      </c>
      <c r="H427" s="6" t="s">
        <v>2238</v>
      </c>
      <c r="I427" t="s">
        <v>491</v>
      </c>
      <c r="J427" s="3">
        <v>46270</v>
      </c>
      <c r="K427" t="s">
        <v>2052</v>
      </c>
      <c r="L427" t="s">
        <v>139</v>
      </c>
      <c r="N427" t="s">
        <v>562</v>
      </c>
      <c r="Q427" t="s">
        <v>2239</v>
      </c>
      <c r="S427" t="s">
        <v>144</v>
      </c>
      <c r="X427" s="6"/>
      <c r="Y427" s="6"/>
      <c r="Z427" t="s">
        <v>148</v>
      </c>
      <c r="AD427" s="6" t="s">
        <v>2243</v>
      </c>
      <c r="AF427" s="3"/>
      <c r="AH427" t="b">
        <v>0</v>
      </c>
      <c r="AI427" t="b">
        <v>0</v>
      </c>
      <c r="AJ427" s="6"/>
      <c r="AK427" s="6"/>
      <c r="AL427" t="b">
        <v>0</v>
      </c>
      <c r="AM427" s="6"/>
      <c r="AN427" s="6"/>
      <c r="AP427" t="b">
        <v>0</v>
      </c>
      <c r="AQ427" s="6"/>
      <c r="AR427" s="6"/>
      <c r="AT427" t="b">
        <v>0</v>
      </c>
      <c r="AU427" s="6"/>
      <c r="AV427" s="6"/>
      <c r="AX427" t="b">
        <v>0</v>
      </c>
      <c r="AY427" s="6"/>
      <c r="AZ427" s="6"/>
      <c r="BA427" t="b">
        <v>0</v>
      </c>
      <c r="BB427" s="6"/>
      <c r="BC427" t="b">
        <v>0</v>
      </c>
      <c r="BD427" s="6"/>
      <c r="BE427" s="6"/>
      <c r="BF427" t="b">
        <v>0</v>
      </c>
      <c r="BG427" s="6"/>
      <c r="BH427" t="b">
        <v>0</v>
      </c>
      <c r="BI427" s="6"/>
      <c r="BJ427" t="b">
        <v>0</v>
      </c>
      <c r="BL427" t="b">
        <v>0</v>
      </c>
      <c r="BM427" t="b">
        <v>0</v>
      </c>
      <c r="BN427" t="b">
        <v>0</v>
      </c>
      <c r="BO427" t="b">
        <v>0</v>
      </c>
      <c r="BQ427" t="b">
        <v>0</v>
      </c>
      <c r="BR427" s="6"/>
      <c r="BT427" t="b">
        <v>0</v>
      </c>
      <c r="BV427" t="s">
        <v>504</v>
      </c>
      <c r="BW427" t="s">
        <v>154</v>
      </c>
      <c r="BX427" t="s">
        <v>2055</v>
      </c>
      <c r="BY427" s="6" t="s">
        <v>2244</v>
      </c>
      <c r="BZ427">
        <v>1</v>
      </c>
      <c r="CA427" t="s">
        <v>157</v>
      </c>
      <c r="CB427" s="7">
        <v>46315.0537962963</v>
      </c>
    </row>
    <row r="428" spans="1:80">
      <c r="A428" s="6" t="s">
        <v>2245</v>
      </c>
      <c r="B428" t="s">
        <v>491</v>
      </c>
      <c r="C428" s="6" t="s">
        <v>2038</v>
      </c>
      <c r="D428" s="6"/>
      <c r="E428" t="s">
        <v>2039</v>
      </c>
      <c r="F428" t="s">
        <v>2040</v>
      </c>
      <c r="G428" s="6">
        <v>26</v>
      </c>
      <c r="H428" s="6"/>
      <c r="I428" t="s">
        <v>491</v>
      </c>
      <c r="J428" s="3">
        <v>46270</v>
      </c>
      <c r="K428" t="s">
        <v>2041</v>
      </c>
      <c r="L428" t="s">
        <v>139</v>
      </c>
      <c r="N428" t="s">
        <v>776</v>
      </c>
      <c r="Q428" t="s">
        <v>2246</v>
      </c>
      <c r="S428" t="s">
        <v>249</v>
      </c>
      <c r="T428" t="s">
        <v>250</v>
      </c>
      <c r="V428" t="s">
        <v>251</v>
      </c>
      <c r="W428" t="s">
        <v>39</v>
      </c>
      <c r="X428" s="6" t="s">
        <v>252</v>
      </c>
      <c r="Y428" s="6"/>
      <c r="Z428" t="s">
        <v>148</v>
      </c>
      <c r="AA428" t="s">
        <v>149</v>
      </c>
      <c r="AC428" t="s">
        <v>150</v>
      </c>
      <c r="AD428" s="6"/>
      <c r="AF428" s="3">
        <v>40135</v>
      </c>
      <c r="AG428">
        <v>16</v>
      </c>
      <c r="AH428" t="b">
        <v>1</v>
      </c>
      <c r="AI428" t="b">
        <v>0</v>
      </c>
      <c r="AJ428" s="6"/>
      <c r="AK428" s="6"/>
      <c r="AL428" t="b">
        <v>0</v>
      </c>
      <c r="AM428" s="6"/>
      <c r="AN428" s="6"/>
      <c r="AP428" t="b">
        <v>0</v>
      </c>
      <c r="AQ428" s="6"/>
      <c r="AR428" s="6"/>
      <c r="AT428" t="b">
        <v>0</v>
      </c>
      <c r="AU428" s="6"/>
      <c r="AV428" s="6"/>
      <c r="AX428" t="b">
        <v>0</v>
      </c>
      <c r="AY428" s="6"/>
      <c r="AZ428" s="6"/>
      <c r="BA428" t="b">
        <v>0</v>
      </c>
      <c r="BB428" s="6"/>
      <c r="BC428" t="b">
        <v>0</v>
      </c>
      <c r="BD428" s="6"/>
      <c r="BE428" s="6"/>
      <c r="BF428" t="b">
        <v>0</v>
      </c>
      <c r="BG428" s="6"/>
      <c r="BH428" t="b">
        <v>0</v>
      </c>
      <c r="BI428" s="6"/>
      <c r="BJ428" t="b">
        <v>0</v>
      </c>
      <c r="BL428" t="b">
        <v>0</v>
      </c>
      <c r="BM428" t="b">
        <v>0</v>
      </c>
      <c r="BN428" t="b">
        <v>0</v>
      </c>
      <c r="BO428" t="b">
        <v>0</v>
      </c>
      <c r="BQ428" t="b">
        <v>1</v>
      </c>
      <c r="BR428" s="6" t="s">
        <v>2247</v>
      </c>
      <c r="BS428" t="s">
        <v>2047</v>
      </c>
      <c r="BT428" t="b">
        <v>1</v>
      </c>
      <c r="BU428" t="s">
        <v>2048</v>
      </c>
      <c r="BV428" t="s">
        <v>504</v>
      </c>
      <c r="BW428" t="s">
        <v>171</v>
      </c>
      <c r="BX428" t="s">
        <v>2087</v>
      </c>
      <c r="BY428" s="6" t="s">
        <v>2248</v>
      </c>
      <c r="BZ428">
        <v>1</v>
      </c>
      <c r="CB428" s="7">
        <v>46315.0537962963</v>
      </c>
    </row>
    <row r="429" spans="1:80">
      <c r="A429" s="6" t="s">
        <v>2249</v>
      </c>
      <c r="B429" t="s">
        <v>491</v>
      </c>
      <c r="C429" s="6" t="s">
        <v>2038</v>
      </c>
      <c r="D429" s="6"/>
      <c r="E429" t="s">
        <v>2039</v>
      </c>
      <c r="F429" t="s">
        <v>2040</v>
      </c>
      <c r="G429" s="6">
        <v>26</v>
      </c>
      <c r="H429" s="6" t="s">
        <v>2245</v>
      </c>
      <c r="I429" t="s">
        <v>491</v>
      </c>
      <c r="J429" s="3">
        <v>46270</v>
      </c>
      <c r="K429" t="s">
        <v>2052</v>
      </c>
      <c r="L429" t="s">
        <v>139</v>
      </c>
      <c r="N429" t="s">
        <v>507</v>
      </c>
      <c r="Q429" t="s">
        <v>2246</v>
      </c>
      <c r="S429" t="s">
        <v>144</v>
      </c>
      <c r="X429" s="6"/>
      <c r="Y429" s="6"/>
      <c r="Z429" t="s">
        <v>148</v>
      </c>
      <c r="AD429" s="6" t="s">
        <v>2250</v>
      </c>
      <c r="AF429" s="3"/>
      <c r="AH429" t="b">
        <v>0</v>
      </c>
      <c r="AI429" t="b">
        <v>0</v>
      </c>
      <c r="AJ429" s="6"/>
      <c r="AK429" s="6"/>
      <c r="AL429" t="b">
        <v>0</v>
      </c>
      <c r="AM429" s="6"/>
      <c r="AN429" s="6"/>
      <c r="AP429" t="b">
        <v>0</v>
      </c>
      <c r="AQ429" s="6"/>
      <c r="AR429" s="6"/>
      <c r="AT429" t="b">
        <v>0</v>
      </c>
      <c r="AU429" s="6"/>
      <c r="AV429" s="6"/>
      <c r="AX429" t="b">
        <v>0</v>
      </c>
      <c r="AY429" s="6"/>
      <c r="AZ429" s="6"/>
      <c r="BA429" t="b">
        <v>0</v>
      </c>
      <c r="BB429" s="6"/>
      <c r="BC429" t="b">
        <v>0</v>
      </c>
      <c r="BD429" s="6"/>
      <c r="BE429" s="6"/>
      <c r="BF429" t="b">
        <v>0</v>
      </c>
      <c r="BG429" s="6"/>
      <c r="BH429" t="b">
        <v>0</v>
      </c>
      <c r="BI429" s="6"/>
      <c r="BJ429" t="b">
        <v>0</v>
      </c>
      <c r="BL429" t="b">
        <v>0</v>
      </c>
      <c r="BM429" t="b">
        <v>0</v>
      </c>
      <c r="BN429" t="b">
        <v>0</v>
      </c>
      <c r="BO429" t="b">
        <v>0</v>
      </c>
      <c r="BQ429" t="b">
        <v>0</v>
      </c>
      <c r="BR429" s="6"/>
      <c r="BT429" t="b">
        <v>0</v>
      </c>
      <c r="BV429" t="s">
        <v>504</v>
      </c>
      <c r="BW429" t="s">
        <v>154</v>
      </c>
      <c r="BX429" t="s">
        <v>2055</v>
      </c>
      <c r="BY429" s="6" t="s">
        <v>2251</v>
      </c>
      <c r="BZ429">
        <v>1</v>
      </c>
      <c r="CA429" t="s">
        <v>157</v>
      </c>
      <c r="CB429" s="7">
        <v>46315.0537962963</v>
      </c>
    </row>
    <row r="430" spans="1:80">
      <c r="A430" s="6" t="s">
        <v>2252</v>
      </c>
      <c r="B430" t="s">
        <v>491</v>
      </c>
      <c r="C430" s="6" t="s">
        <v>2038</v>
      </c>
      <c r="D430" s="6"/>
      <c r="E430" t="s">
        <v>2039</v>
      </c>
      <c r="F430" t="s">
        <v>2040</v>
      </c>
      <c r="G430" s="6">
        <v>27</v>
      </c>
      <c r="H430" s="6"/>
      <c r="I430" t="s">
        <v>491</v>
      </c>
      <c r="J430" s="3">
        <v>46270</v>
      </c>
      <c r="K430" t="s">
        <v>2041</v>
      </c>
      <c r="L430" t="s">
        <v>139</v>
      </c>
      <c r="N430" t="s">
        <v>2253</v>
      </c>
      <c r="O430" t="s">
        <v>224</v>
      </c>
      <c r="P430" t="s">
        <v>224</v>
      </c>
      <c r="Q430" t="s">
        <v>2254</v>
      </c>
      <c r="S430" t="s">
        <v>249</v>
      </c>
      <c r="T430" t="s">
        <v>1149</v>
      </c>
      <c r="V430" t="s">
        <v>1150</v>
      </c>
      <c r="W430" t="s">
        <v>38</v>
      </c>
      <c r="X430" s="6" t="s">
        <v>1151</v>
      </c>
      <c r="Y430" s="6"/>
      <c r="Z430" t="s">
        <v>148</v>
      </c>
      <c r="AA430" t="s">
        <v>149</v>
      </c>
      <c r="AC430" t="s">
        <v>150</v>
      </c>
      <c r="AD430" s="6"/>
      <c r="AF430" s="3">
        <v>41620</v>
      </c>
      <c r="AG430">
        <v>12</v>
      </c>
      <c r="AH430" t="b">
        <v>1</v>
      </c>
      <c r="AI430" t="b">
        <v>0</v>
      </c>
      <c r="AJ430" s="6"/>
      <c r="AK430" s="6"/>
      <c r="AL430" t="b">
        <v>0</v>
      </c>
      <c r="AM430" s="6"/>
      <c r="AN430" s="6"/>
      <c r="AP430" t="b">
        <v>0</v>
      </c>
      <c r="AQ430" s="6"/>
      <c r="AR430" s="6"/>
      <c r="AT430" t="b">
        <v>0</v>
      </c>
      <c r="AU430" s="6"/>
      <c r="AV430" s="6"/>
      <c r="AX430" t="b">
        <v>0</v>
      </c>
      <c r="AY430" s="6"/>
      <c r="AZ430" s="6"/>
      <c r="BA430" t="b">
        <v>0</v>
      </c>
      <c r="BB430" s="6"/>
      <c r="BC430" t="b">
        <v>0</v>
      </c>
      <c r="BD430" s="6"/>
      <c r="BE430" s="6"/>
      <c r="BF430" t="b">
        <v>0</v>
      </c>
      <c r="BG430" s="6"/>
      <c r="BH430" t="b">
        <v>0</v>
      </c>
      <c r="BI430" s="6"/>
      <c r="BJ430" t="b">
        <v>0</v>
      </c>
      <c r="BL430" t="b">
        <v>0</v>
      </c>
      <c r="BM430" t="b">
        <v>0</v>
      </c>
      <c r="BN430" t="b">
        <v>0</v>
      </c>
      <c r="BO430" t="b">
        <v>0</v>
      </c>
      <c r="BQ430" t="b">
        <v>1</v>
      </c>
      <c r="BR430" s="6" t="s">
        <v>2255</v>
      </c>
      <c r="BS430" t="s">
        <v>2047</v>
      </c>
      <c r="BT430" t="b">
        <v>1</v>
      </c>
      <c r="BU430" t="s">
        <v>2048</v>
      </c>
      <c r="BV430" t="s">
        <v>504</v>
      </c>
      <c r="BW430" t="s">
        <v>171</v>
      </c>
      <c r="BX430" t="s">
        <v>2087</v>
      </c>
      <c r="BY430" s="6" t="s">
        <v>2256</v>
      </c>
      <c r="BZ430">
        <v>1</v>
      </c>
      <c r="CB430" s="7">
        <v>46315.0537962963</v>
      </c>
    </row>
    <row r="431" spans="1:80">
      <c r="A431" s="6" t="s">
        <v>2257</v>
      </c>
      <c r="B431" t="s">
        <v>491</v>
      </c>
      <c r="C431" s="6" t="s">
        <v>2038</v>
      </c>
      <c r="D431" s="6"/>
      <c r="E431" t="s">
        <v>2039</v>
      </c>
      <c r="F431" t="s">
        <v>2040</v>
      </c>
      <c r="G431" s="6">
        <v>27</v>
      </c>
      <c r="H431" s="6" t="s">
        <v>2252</v>
      </c>
      <c r="I431" t="s">
        <v>491</v>
      </c>
      <c r="J431" s="3">
        <v>46270</v>
      </c>
      <c r="K431" t="s">
        <v>2052</v>
      </c>
      <c r="L431" t="s">
        <v>139</v>
      </c>
      <c r="N431" t="s">
        <v>179</v>
      </c>
      <c r="Q431" t="s">
        <v>2254</v>
      </c>
      <c r="S431" t="s">
        <v>144</v>
      </c>
      <c r="X431" s="6"/>
      <c r="Y431" s="6"/>
      <c r="Z431" t="s">
        <v>148</v>
      </c>
      <c r="AD431" s="6" t="s">
        <v>2258</v>
      </c>
      <c r="AF431" s="3"/>
      <c r="AH431" t="b">
        <v>0</v>
      </c>
      <c r="AI431" t="b">
        <v>0</v>
      </c>
      <c r="AJ431" s="6"/>
      <c r="AK431" s="6"/>
      <c r="AL431" t="b">
        <v>0</v>
      </c>
      <c r="AM431" s="6"/>
      <c r="AN431" s="6"/>
      <c r="AP431" t="b">
        <v>0</v>
      </c>
      <c r="AQ431" s="6"/>
      <c r="AR431" s="6"/>
      <c r="AT431" t="b">
        <v>0</v>
      </c>
      <c r="AU431" s="6"/>
      <c r="AV431" s="6"/>
      <c r="AX431" t="b">
        <v>0</v>
      </c>
      <c r="AY431" s="6"/>
      <c r="AZ431" s="6"/>
      <c r="BA431" t="b">
        <v>0</v>
      </c>
      <c r="BB431" s="6"/>
      <c r="BC431" t="b">
        <v>0</v>
      </c>
      <c r="BD431" s="6"/>
      <c r="BE431" s="6"/>
      <c r="BF431" t="b">
        <v>0</v>
      </c>
      <c r="BG431" s="6"/>
      <c r="BH431" t="b">
        <v>0</v>
      </c>
      <c r="BI431" s="6"/>
      <c r="BJ431" t="b">
        <v>0</v>
      </c>
      <c r="BL431" t="b">
        <v>0</v>
      </c>
      <c r="BM431" t="b">
        <v>0</v>
      </c>
      <c r="BN431" t="b">
        <v>0</v>
      </c>
      <c r="BO431" t="b">
        <v>0</v>
      </c>
      <c r="BQ431" t="b">
        <v>0</v>
      </c>
      <c r="BR431" s="6"/>
      <c r="BT431" t="b">
        <v>0</v>
      </c>
      <c r="BV431" t="s">
        <v>504</v>
      </c>
      <c r="BW431" t="s">
        <v>154</v>
      </c>
      <c r="BX431" t="s">
        <v>2055</v>
      </c>
      <c r="BY431" s="6" t="s">
        <v>2259</v>
      </c>
      <c r="BZ431">
        <v>1</v>
      </c>
      <c r="CA431" t="s">
        <v>157</v>
      </c>
      <c r="CB431" s="7">
        <v>46315.0537962963</v>
      </c>
    </row>
    <row r="432" spans="1:80">
      <c r="A432" s="6" t="s">
        <v>2260</v>
      </c>
      <c r="B432" t="s">
        <v>491</v>
      </c>
      <c r="C432" s="6" t="s">
        <v>2038</v>
      </c>
      <c r="D432" s="6"/>
      <c r="E432" t="s">
        <v>2039</v>
      </c>
      <c r="F432" t="s">
        <v>2040</v>
      </c>
      <c r="G432" s="6">
        <v>28</v>
      </c>
      <c r="H432" s="6"/>
      <c r="I432" t="s">
        <v>491</v>
      </c>
      <c r="J432" s="3">
        <v>46270</v>
      </c>
      <c r="K432" t="s">
        <v>2041</v>
      </c>
      <c r="L432" t="s">
        <v>139</v>
      </c>
      <c r="N432" t="s">
        <v>188</v>
      </c>
      <c r="O432" t="s">
        <v>1200</v>
      </c>
      <c r="P432" t="s">
        <v>1200</v>
      </c>
      <c r="Q432" t="s">
        <v>1310</v>
      </c>
      <c r="S432" t="s">
        <v>249</v>
      </c>
      <c r="T432" t="s">
        <v>269</v>
      </c>
      <c r="V432" t="s">
        <v>636</v>
      </c>
      <c r="W432" t="s">
        <v>33</v>
      </c>
      <c r="X432" s="6" t="s">
        <v>271</v>
      </c>
      <c r="Y432" s="6"/>
      <c r="Z432" t="s">
        <v>148</v>
      </c>
      <c r="AA432" t="s">
        <v>149</v>
      </c>
      <c r="AC432" t="s">
        <v>150</v>
      </c>
      <c r="AD432" s="6"/>
      <c r="AF432" s="3">
        <v>39820</v>
      </c>
      <c r="AG432">
        <v>17</v>
      </c>
      <c r="AH432" t="b">
        <v>1</v>
      </c>
      <c r="AI432" t="b">
        <v>0</v>
      </c>
      <c r="AJ432" s="6"/>
      <c r="AK432" s="6"/>
      <c r="AL432" t="b">
        <v>0</v>
      </c>
      <c r="AM432" s="6"/>
      <c r="AN432" s="6"/>
      <c r="AP432" t="b">
        <v>0</v>
      </c>
      <c r="AQ432" s="6"/>
      <c r="AR432" s="6"/>
      <c r="AT432" t="b">
        <v>0</v>
      </c>
      <c r="AU432" s="6"/>
      <c r="AV432" s="6"/>
      <c r="AX432" t="b">
        <v>0</v>
      </c>
      <c r="AY432" s="6"/>
      <c r="AZ432" s="6"/>
      <c r="BA432" t="b">
        <v>0</v>
      </c>
      <c r="BB432" s="6"/>
      <c r="BC432" t="b">
        <v>0</v>
      </c>
      <c r="BD432" s="6"/>
      <c r="BE432" s="6"/>
      <c r="BF432" t="b">
        <v>0</v>
      </c>
      <c r="BG432" s="6"/>
      <c r="BH432" t="b">
        <v>0</v>
      </c>
      <c r="BI432" s="6"/>
      <c r="BJ432" t="b">
        <v>0</v>
      </c>
      <c r="BL432" t="b">
        <v>0</v>
      </c>
      <c r="BM432" t="b">
        <v>0</v>
      </c>
      <c r="BN432" t="b">
        <v>0</v>
      </c>
      <c r="BO432" t="b">
        <v>0</v>
      </c>
      <c r="BQ432" t="b">
        <v>1</v>
      </c>
      <c r="BR432" s="6" t="s">
        <v>2261</v>
      </c>
      <c r="BS432" t="s">
        <v>2047</v>
      </c>
      <c r="BT432" t="b">
        <v>1</v>
      </c>
      <c r="BU432" t="s">
        <v>2048</v>
      </c>
      <c r="BV432" t="s">
        <v>504</v>
      </c>
      <c r="BW432" t="s">
        <v>171</v>
      </c>
      <c r="BX432" t="s">
        <v>2087</v>
      </c>
      <c r="BY432" s="6" t="s">
        <v>2262</v>
      </c>
      <c r="BZ432">
        <v>1</v>
      </c>
      <c r="CB432" s="7">
        <v>46315.0537962963</v>
      </c>
    </row>
    <row r="433" spans="1:80">
      <c r="A433" s="6" t="s">
        <v>2263</v>
      </c>
      <c r="B433" t="s">
        <v>491</v>
      </c>
      <c r="C433" s="6" t="s">
        <v>2038</v>
      </c>
      <c r="D433" s="6"/>
      <c r="E433" t="s">
        <v>2039</v>
      </c>
      <c r="F433" t="s">
        <v>2040</v>
      </c>
      <c r="G433" s="6">
        <v>28</v>
      </c>
      <c r="H433" s="6" t="s">
        <v>2260</v>
      </c>
      <c r="I433" t="s">
        <v>491</v>
      </c>
      <c r="J433" s="3">
        <v>46270</v>
      </c>
      <c r="K433" t="s">
        <v>2052</v>
      </c>
      <c r="L433" t="s">
        <v>139</v>
      </c>
      <c r="N433" t="s">
        <v>1204</v>
      </c>
      <c r="Q433" t="s">
        <v>1310</v>
      </c>
      <c r="S433" t="s">
        <v>144</v>
      </c>
      <c r="X433" s="6"/>
      <c r="Y433" s="6"/>
      <c r="Z433" t="s">
        <v>148</v>
      </c>
      <c r="AD433" s="6" t="s">
        <v>2264</v>
      </c>
      <c r="AF433" s="3"/>
      <c r="AH433" t="b">
        <v>0</v>
      </c>
      <c r="AI433" t="b">
        <v>0</v>
      </c>
      <c r="AJ433" s="6"/>
      <c r="AK433" s="6"/>
      <c r="AL433" t="b">
        <v>0</v>
      </c>
      <c r="AM433" s="6"/>
      <c r="AN433" s="6"/>
      <c r="AP433" t="b">
        <v>0</v>
      </c>
      <c r="AQ433" s="6"/>
      <c r="AR433" s="6"/>
      <c r="AT433" t="b">
        <v>0</v>
      </c>
      <c r="AU433" s="6"/>
      <c r="AV433" s="6"/>
      <c r="AX433" t="b">
        <v>0</v>
      </c>
      <c r="AY433" s="6"/>
      <c r="AZ433" s="6"/>
      <c r="BA433" t="b">
        <v>0</v>
      </c>
      <c r="BB433" s="6"/>
      <c r="BC433" t="b">
        <v>0</v>
      </c>
      <c r="BD433" s="6"/>
      <c r="BE433" s="6"/>
      <c r="BF433" t="b">
        <v>0</v>
      </c>
      <c r="BG433" s="6"/>
      <c r="BH433" t="b">
        <v>0</v>
      </c>
      <c r="BI433" s="6"/>
      <c r="BJ433" t="b">
        <v>0</v>
      </c>
      <c r="BL433" t="b">
        <v>0</v>
      </c>
      <c r="BM433" t="b">
        <v>0</v>
      </c>
      <c r="BN433" t="b">
        <v>0</v>
      </c>
      <c r="BO433" t="b">
        <v>0</v>
      </c>
      <c r="BQ433" t="b">
        <v>0</v>
      </c>
      <c r="BR433" s="6"/>
      <c r="BT433" t="b">
        <v>0</v>
      </c>
      <c r="BV433" t="s">
        <v>504</v>
      </c>
      <c r="BW433" t="s">
        <v>154</v>
      </c>
      <c r="BX433" t="s">
        <v>2072</v>
      </c>
      <c r="BY433" s="6" t="s">
        <v>2265</v>
      </c>
      <c r="BZ433">
        <v>1</v>
      </c>
      <c r="CA433" t="s">
        <v>157</v>
      </c>
      <c r="CB433" s="7">
        <v>46315.0537962963</v>
      </c>
    </row>
    <row r="434" spans="1:80">
      <c r="A434" s="6" t="s">
        <v>2266</v>
      </c>
      <c r="B434" t="s">
        <v>491</v>
      </c>
      <c r="C434" s="6" t="s">
        <v>2038</v>
      </c>
      <c r="D434" s="6"/>
      <c r="E434" t="s">
        <v>2039</v>
      </c>
      <c r="F434" t="s">
        <v>2040</v>
      </c>
      <c r="G434" s="6">
        <v>29</v>
      </c>
      <c r="H434" s="6"/>
      <c r="I434" t="s">
        <v>491</v>
      </c>
      <c r="J434" s="3">
        <v>46270</v>
      </c>
      <c r="K434" t="s">
        <v>2041</v>
      </c>
      <c r="L434" t="s">
        <v>139</v>
      </c>
      <c r="N434" t="s">
        <v>308</v>
      </c>
      <c r="O434" t="s">
        <v>299</v>
      </c>
      <c r="P434" t="s">
        <v>299</v>
      </c>
      <c r="Q434" t="s">
        <v>547</v>
      </c>
      <c r="S434" t="s">
        <v>249</v>
      </c>
      <c r="T434" t="s">
        <v>548</v>
      </c>
      <c r="V434" t="s">
        <v>549</v>
      </c>
      <c r="W434" t="s">
        <v>33</v>
      </c>
      <c r="X434" s="6" t="s">
        <v>550</v>
      </c>
      <c r="Y434" s="6"/>
      <c r="Z434" t="s">
        <v>148</v>
      </c>
      <c r="AA434" t="s">
        <v>149</v>
      </c>
      <c r="AC434" t="s">
        <v>150</v>
      </c>
      <c r="AD434" s="6"/>
      <c r="AF434" s="3">
        <v>39653</v>
      </c>
      <c r="AG434">
        <v>18</v>
      </c>
      <c r="AH434" t="b">
        <v>0</v>
      </c>
      <c r="AI434" t="b">
        <v>0</v>
      </c>
      <c r="AJ434" s="6"/>
      <c r="AK434" s="6"/>
      <c r="AL434" t="b">
        <v>0</v>
      </c>
      <c r="AM434" s="6"/>
      <c r="AN434" s="6"/>
      <c r="AP434" t="b">
        <v>0</v>
      </c>
      <c r="AQ434" s="6"/>
      <c r="AR434" s="6"/>
      <c r="AT434" t="b">
        <v>0</v>
      </c>
      <c r="AU434" s="6"/>
      <c r="AV434" s="6"/>
      <c r="AX434" t="b">
        <v>0</v>
      </c>
      <c r="AY434" s="6"/>
      <c r="AZ434" s="6"/>
      <c r="BA434" t="b">
        <v>0</v>
      </c>
      <c r="BB434" s="6"/>
      <c r="BC434" t="b">
        <v>0</v>
      </c>
      <c r="BD434" s="6"/>
      <c r="BE434" s="6"/>
      <c r="BF434" t="b">
        <v>0</v>
      </c>
      <c r="BG434" s="6"/>
      <c r="BH434" t="b">
        <v>0</v>
      </c>
      <c r="BI434" s="6"/>
      <c r="BJ434" t="b">
        <v>0</v>
      </c>
      <c r="BL434" t="b">
        <v>0</v>
      </c>
      <c r="BM434" t="b">
        <v>0</v>
      </c>
      <c r="BN434" t="b">
        <v>0</v>
      </c>
      <c r="BO434" t="b">
        <v>0</v>
      </c>
      <c r="BQ434" t="b">
        <v>1</v>
      </c>
      <c r="BR434" s="6" t="s">
        <v>2267</v>
      </c>
      <c r="BS434" t="s">
        <v>2069</v>
      </c>
      <c r="BT434" t="b">
        <v>1</v>
      </c>
      <c r="BU434" t="s">
        <v>2048</v>
      </c>
      <c r="BV434" t="s">
        <v>504</v>
      </c>
      <c r="BW434" t="s">
        <v>154</v>
      </c>
      <c r="BX434" t="s">
        <v>2070</v>
      </c>
      <c r="BY434" s="6" t="s">
        <v>1929</v>
      </c>
      <c r="BZ434">
        <v>1</v>
      </c>
      <c r="CA434" t="s">
        <v>157</v>
      </c>
      <c r="CB434" s="7">
        <v>46315.0537962963</v>
      </c>
    </row>
    <row r="435" spans="1:80">
      <c r="A435" s="6" t="s">
        <v>2268</v>
      </c>
      <c r="B435" t="s">
        <v>491</v>
      </c>
      <c r="C435" s="6" t="s">
        <v>2038</v>
      </c>
      <c r="D435" s="6"/>
      <c r="E435" t="s">
        <v>2039</v>
      </c>
      <c r="F435" t="s">
        <v>2040</v>
      </c>
      <c r="G435" s="6">
        <v>29</v>
      </c>
      <c r="H435" s="6" t="s">
        <v>2266</v>
      </c>
      <c r="I435" t="s">
        <v>491</v>
      </c>
      <c r="J435" s="3">
        <v>46270</v>
      </c>
      <c r="K435" t="s">
        <v>2052</v>
      </c>
      <c r="L435" t="s">
        <v>139</v>
      </c>
      <c r="N435" t="s">
        <v>546</v>
      </c>
      <c r="Q435" t="s">
        <v>547</v>
      </c>
      <c r="S435" t="s">
        <v>144</v>
      </c>
      <c r="X435" s="6"/>
      <c r="Y435" s="6"/>
      <c r="Z435" t="s">
        <v>148</v>
      </c>
      <c r="AD435" s="6" t="s">
        <v>1174</v>
      </c>
      <c r="AF435" s="3"/>
      <c r="AH435" t="b">
        <v>0</v>
      </c>
      <c r="AI435" t="b">
        <v>0</v>
      </c>
      <c r="AJ435" s="6"/>
      <c r="AK435" s="6"/>
      <c r="AL435" t="b">
        <v>0</v>
      </c>
      <c r="AM435" s="6"/>
      <c r="AN435" s="6"/>
      <c r="AP435" t="b">
        <v>0</v>
      </c>
      <c r="AQ435" s="6"/>
      <c r="AR435" s="6"/>
      <c r="AT435" t="b">
        <v>0</v>
      </c>
      <c r="AU435" s="6"/>
      <c r="AV435" s="6"/>
      <c r="AX435" t="b">
        <v>0</v>
      </c>
      <c r="AY435" s="6"/>
      <c r="AZ435" s="6"/>
      <c r="BA435" t="b">
        <v>0</v>
      </c>
      <c r="BB435" s="6"/>
      <c r="BC435" t="b">
        <v>0</v>
      </c>
      <c r="BD435" s="6"/>
      <c r="BE435" s="6"/>
      <c r="BF435" t="b">
        <v>0</v>
      </c>
      <c r="BG435" s="6"/>
      <c r="BH435" t="b">
        <v>0</v>
      </c>
      <c r="BI435" s="6"/>
      <c r="BJ435" t="b">
        <v>0</v>
      </c>
      <c r="BL435" t="b">
        <v>0</v>
      </c>
      <c r="BM435" t="b">
        <v>0</v>
      </c>
      <c r="BN435" t="b">
        <v>0</v>
      </c>
      <c r="BO435" t="b">
        <v>0</v>
      </c>
      <c r="BQ435" t="b">
        <v>0</v>
      </c>
      <c r="BR435" s="6"/>
      <c r="BT435" t="b">
        <v>0</v>
      </c>
      <c r="BV435" t="s">
        <v>504</v>
      </c>
      <c r="BW435" t="s">
        <v>154</v>
      </c>
      <c r="BX435" t="s">
        <v>2072</v>
      </c>
      <c r="BY435" s="6" t="s">
        <v>2269</v>
      </c>
      <c r="BZ435">
        <v>1</v>
      </c>
      <c r="CA435" t="s">
        <v>157</v>
      </c>
      <c r="CB435" s="7">
        <v>46315.0537962963</v>
      </c>
    </row>
    <row r="436" spans="1:80">
      <c r="A436" s="6" t="s">
        <v>2270</v>
      </c>
      <c r="B436" t="s">
        <v>491</v>
      </c>
      <c r="C436" s="6" t="s">
        <v>2038</v>
      </c>
      <c r="D436" s="6"/>
      <c r="E436" t="s">
        <v>2039</v>
      </c>
      <c r="F436" t="s">
        <v>2040</v>
      </c>
      <c r="G436" s="6">
        <v>30</v>
      </c>
      <c r="H436" s="6"/>
      <c r="I436" t="s">
        <v>491</v>
      </c>
      <c r="J436" s="3">
        <v>46270</v>
      </c>
      <c r="K436" t="s">
        <v>2041</v>
      </c>
      <c r="L436" t="s">
        <v>139</v>
      </c>
      <c r="N436" t="s">
        <v>2271</v>
      </c>
      <c r="O436" t="s">
        <v>163</v>
      </c>
      <c r="P436" t="s">
        <v>163</v>
      </c>
      <c r="Q436" t="s">
        <v>2272</v>
      </c>
      <c r="S436" t="s">
        <v>249</v>
      </c>
      <c r="T436" t="s">
        <v>2273</v>
      </c>
      <c r="V436" t="s">
        <v>2274</v>
      </c>
      <c r="W436" t="s">
        <v>40</v>
      </c>
      <c r="X436" s="6" t="s">
        <v>2275</v>
      </c>
      <c r="Y436" s="6"/>
      <c r="Z436" t="s">
        <v>148</v>
      </c>
      <c r="AA436" t="s">
        <v>205</v>
      </c>
      <c r="AC436" t="s">
        <v>150</v>
      </c>
      <c r="AD436" s="6"/>
      <c r="AF436" s="3">
        <v>41635</v>
      </c>
      <c r="AG436">
        <v>12</v>
      </c>
      <c r="AH436" t="b">
        <v>1</v>
      </c>
      <c r="AI436" t="b">
        <v>0</v>
      </c>
      <c r="AJ436" s="6"/>
      <c r="AK436" s="6"/>
      <c r="AL436" t="b">
        <v>0</v>
      </c>
      <c r="AM436" s="6"/>
      <c r="AN436" s="6"/>
      <c r="AP436" t="b">
        <v>0</v>
      </c>
      <c r="AQ436" s="6"/>
      <c r="AR436" s="6"/>
      <c r="AT436" t="b">
        <v>0</v>
      </c>
      <c r="AU436" s="6"/>
      <c r="AV436" s="6"/>
      <c r="AX436" t="b">
        <v>0</v>
      </c>
      <c r="AY436" s="6"/>
      <c r="AZ436" s="6"/>
      <c r="BA436" t="b">
        <v>0</v>
      </c>
      <c r="BB436" s="6"/>
      <c r="BC436" t="b">
        <v>0</v>
      </c>
      <c r="BD436" s="6"/>
      <c r="BE436" s="6"/>
      <c r="BF436" t="b">
        <v>0</v>
      </c>
      <c r="BG436" s="6"/>
      <c r="BH436" t="b">
        <v>0</v>
      </c>
      <c r="BI436" s="6"/>
      <c r="BJ436" t="b">
        <v>0</v>
      </c>
      <c r="BL436" t="b">
        <v>0</v>
      </c>
      <c r="BM436" t="b">
        <v>0</v>
      </c>
      <c r="BN436" t="b">
        <v>0</v>
      </c>
      <c r="BO436" t="b">
        <v>0</v>
      </c>
      <c r="BQ436" t="b">
        <v>1</v>
      </c>
      <c r="BR436" s="6" t="s">
        <v>2276</v>
      </c>
      <c r="BS436" t="s">
        <v>2047</v>
      </c>
      <c r="BT436" t="b">
        <v>1</v>
      </c>
      <c r="BU436" t="s">
        <v>2048</v>
      </c>
      <c r="BV436" t="s">
        <v>504</v>
      </c>
      <c r="BW436" t="s">
        <v>154</v>
      </c>
      <c r="BX436" t="s">
        <v>2049</v>
      </c>
      <c r="BY436" s="6" t="s">
        <v>2277</v>
      </c>
      <c r="BZ436">
        <v>1</v>
      </c>
      <c r="CA436" t="s">
        <v>157</v>
      </c>
      <c r="CB436" s="7">
        <v>46315.0537962963</v>
      </c>
    </row>
    <row r="437" spans="1:80">
      <c r="A437" s="6" t="s">
        <v>2278</v>
      </c>
      <c r="B437" t="s">
        <v>491</v>
      </c>
      <c r="C437" s="6" t="s">
        <v>2038</v>
      </c>
      <c r="D437" s="6"/>
      <c r="E437" t="s">
        <v>2039</v>
      </c>
      <c r="F437" t="s">
        <v>2040</v>
      </c>
      <c r="G437" s="6">
        <v>30</v>
      </c>
      <c r="H437" s="6" t="s">
        <v>2270</v>
      </c>
      <c r="I437" t="s">
        <v>491</v>
      </c>
      <c r="J437" s="3">
        <v>46270</v>
      </c>
      <c r="K437" t="s">
        <v>2052</v>
      </c>
      <c r="L437" t="s">
        <v>139</v>
      </c>
      <c r="N437" t="s">
        <v>188</v>
      </c>
      <c r="Q437" t="s">
        <v>2272</v>
      </c>
      <c r="S437" t="s">
        <v>144</v>
      </c>
      <c r="X437" s="6"/>
      <c r="Y437" s="6"/>
      <c r="Z437" t="s">
        <v>148</v>
      </c>
      <c r="AD437" s="6" t="s">
        <v>2279</v>
      </c>
      <c r="AF437" s="3"/>
      <c r="AH437" t="b">
        <v>0</v>
      </c>
      <c r="AI437" t="b">
        <v>0</v>
      </c>
      <c r="AJ437" s="6"/>
      <c r="AK437" s="6"/>
      <c r="AL437" t="b">
        <v>0</v>
      </c>
      <c r="AM437" s="6"/>
      <c r="AN437" s="6"/>
      <c r="AP437" t="b">
        <v>0</v>
      </c>
      <c r="AQ437" s="6"/>
      <c r="AR437" s="6"/>
      <c r="AT437" t="b">
        <v>0</v>
      </c>
      <c r="AU437" s="6"/>
      <c r="AV437" s="6"/>
      <c r="AX437" t="b">
        <v>0</v>
      </c>
      <c r="AY437" s="6"/>
      <c r="AZ437" s="6"/>
      <c r="BA437" t="b">
        <v>0</v>
      </c>
      <c r="BB437" s="6"/>
      <c r="BC437" t="b">
        <v>0</v>
      </c>
      <c r="BD437" s="6"/>
      <c r="BE437" s="6"/>
      <c r="BF437" t="b">
        <v>0</v>
      </c>
      <c r="BG437" s="6"/>
      <c r="BH437" t="b">
        <v>0</v>
      </c>
      <c r="BI437" s="6"/>
      <c r="BJ437" t="b">
        <v>0</v>
      </c>
      <c r="BL437" t="b">
        <v>0</v>
      </c>
      <c r="BM437" t="b">
        <v>0</v>
      </c>
      <c r="BN437" t="b">
        <v>0</v>
      </c>
      <c r="BO437" t="b">
        <v>0</v>
      </c>
      <c r="BQ437" t="b">
        <v>0</v>
      </c>
      <c r="BR437" s="6"/>
      <c r="BT437" t="b">
        <v>0</v>
      </c>
      <c r="BV437" t="s">
        <v>504</v>
      </c>
      <c r="BW437" t="s">
        <v>154</v>
      </c>
      <c r="BX437" t="s">
        <v>2055</v>
      </c>
      <c r="BY437" s="6" t="s">
        <v>2280</v>
      </c>
      <c r="BZ437">
        <v>1</v>
      </c>
      <c r="CA437" t="s">
        <v>157</v>
      </c>
      <c r="CB437" s="7">
        <v>46315.0537962963</v>
      </c>
    </row>
    <row r="438" spans="1:80">
      <c r="A438" s="6" t="s">
        <v>2281</v>
      </c>
      <c r="B438" t="s">
        <v>491</v>
      </c>
      <c r="C438" s="6" t="s">
        <v>2038</v>
      </c>
      <c r="D438" s="6"/>
      <c r="E438" t="s">
        <v>2039</v>
      </c>
      <c r="F438" t="s">
        <v>2040</v>
      </c>
      <c r="G438" s="6">
        <v>31</v>
      </c>
      <c r="H438" s="6"/>
      <c r="I438" t="s">
        <v>491</v>
      </c>
      <c r="J438" s="3">
        <v>46270</v>
      </c>
      <c r="K438" t="s">
        <v>2041</v>
      </c>
      <c r="L438" t="s">
        <v>139</v>
      </c>
      <c r="N438" t="s">
        <v>308</v>
      </c>
      <c r="O438" t="s">
        <v>224</v>
      </c>
      <c r="P438" t="s">
        <v>224</v>
      </c>
      <c r="Q438" t="s">
        <v>300</v>
      </c>
      <c r="S438" t="s">
        <v>249</v>
      </c>
      <c r="T438" t="s">
        <v>301</v>
      </c>
      <c r="V438" t="s">
        <v>302</v>
      </c>
      <c r="W438" t="s">
        <v>35</v>
      </c>
      <c r="X438" s="6" t="s">
        <v>303</v>
      </c>
      <c r="Y438" s="6"/>
      <c r="Z438" t="s">
        <v>148</v>
      </c>
      <c r="AA438" t="s">
        <v>149</v>
      </c>
      <c r="AC438" t="s">
        <v>150</v>
      </c>
      <c r="AD438" s="6"/>
      <c r="AF438" s="3">
        <v>41455</v>
      </c>
      <c r="AG438">
        <v>13</v>
      </c>
      <c r="AH438" t="b">
        <v>1</v>
      </c>
      <c r="AI438" t="b">
        <v>0</v>
      </c>
      <c r="AJ438" s="6"/>
      <c r="AK438" s="6"/>
      <c r="AL438" t="b">
        <v>0</v>
      </c>
      <c r="AM438" s="6"/>
      <c r="AN438" s="6"/>
      <c r="AP438" t="b">
        <v>0</v>
      </c>
      <c r="AQ438" s="6"/>
      <c r="AR438" s="6"/>
      <c r="AT438" t="b">
        <v>0</v>
      </c>
      <c r="AU438" s="6"/>
      <c r="AV438" s="6"/>
      <c r="AX438" t="b">
        <v>0</v>
      </c>
      <c r="AY438" s="6"/>
      <c r="AZ438" s="6"/>
      <c r="BA438" t="b">
        <v>0</v>
      </c>
      <c r="BB438" s="6"/>
      <c r="BC438" t="b">
        <v>0</v>
      </c>
      <c r="BD438" s="6"/>
      <c r="BE438" s="6"/>
      <c r="BF438" t="b">
        <v>0</v>
      </c>
      <c r="BG438" s="6"/>
      <c r="BH438" t="b">
        <v>0</v>
      </c>
      <c r="BI438" s="6"/>
      <c r="BJ438" t="b">
        <v>0</v>
      </c>
      <c r="BL438" t="b">
        <v>0</v>
      </c>
      <c r="BM438" t="b">
        <v>0</v>
      </c>
      <c r="BN438" t="b">
        <v>0</v>
      </c>
      <c r="BO438" t="b">
        <v>0</v>
      </c>
      <c r="BQ438" t="b">
        <v>1</v>
      </c>
      <c r="BR438" s="6" t="s">
        <v>2282</v>
      </c>
      <c r="BS438" t="s">
        <v>2047</v>
      </c>
      <c r="BT438" t="b">
        <v>1</v>
      </c>
      <c r="BU438" t="s">
        <v>2048</v>
      </c>
      <c r="BV438" t="s">
        <v>504</v>
      </c>
      <c r="BW438" t="s">
        <v>154</v>
      </c>
      <c r="BX438" t="s">
        <v>2098</v>
      </c>
      <c r="BY438" s="6" t="s">
        <v>310</v>
      </c>
      <c r="BZ438">
        <v>1</v>
      </c>
      <c r="CA438" t="s">
        <v>157</v>
      </c>
      <c r="CB438" s="7">
        <v>46315.0537962963</v>
      </c>
    </row>
    <row r="439" spans="1:80">
      <c r="A439" s="6" t="s">
        <v>2283</v>
      </c>
      <c r="B439" t="s">
        <v>491</v>
      </c>
      <c r="C439" s="6" t="s">
        <v>2038</v>
      </c>
      <c r="D439" s="6"/>
      <c r="E439" t="s">
        <v>2039</v>
      </c>
      <c r="F439" t="s">
        <v>2040</v>
      </c>
      <c r="G439" s="6">
        <v>31</v>
      </c>
      <c r="H439" s="6" t="s">
        <v>2281</v>
      </c>
      <c r="I439" t="s">
        <v>491</v>
      </c>
      <c r="J439" s="3">
        <v>46270</v>
      </c>
      <c r="K439" t="s">
        <v>2052</v>
      </c>
      <c r="L439" t="s">
        <v>139</v>
      </c>
      <c r="N439" t="s">
        <v>298</v>
      </c>
      <c r="Q439" t="s">
        <v>300</v>
      </c>
      <c r="S439" t="s">
        <v>144</v>
      </c>
      <c r="X439" s="6"/>
      <c r="Y439" s="6"/>
      <c r="Z439" t="s">
        <v>148</v>
      </c>
      <c r="AD439" s="6" t="s">
        <v>1127</v>
      </c>
      <c r="AF439" s="3"/>
      <c r="AH439" t="b">
        <v>0</v>
      </c>
      <c r="AI439" t="b">
        <v>0</v>
      </c>
      <c r="AJ439" s="6"/>
      <c r="AK439" s="6"/>
      <c r="AL439" t="b">
        <v>0</v>
      </c>
      <c r="AM439" s="6"/>
      <c r="AN439" s="6"/>
      <c r="AP439" t="b">
        <v>0</v>
      </c>
      <c r="AQ439" s="6"/>
      <c r="AR439" s="6"/>
      <c r="AT439" t="b">
        <v>0</v>
      </c>
      <c r="AU439" s="6"/>
      <c r="AV439" s="6"/>
      <c r="AX439" t="b">
        <v>0</v>
      </c>
      <c r="AY439" s="6"/>
      <c r="AZ439" s="6"/>
      <c r="BA439" t="b">
        <v>0</v>
      </c>
      <c r="BB439" s="6"/>
      <c r="BC439" t="b">
        <v>0</v>
      </c>
      <c r="BD439" s="6"/>
      <c r="BE439" s="6"/>
      <c r="BF439" t="b">
        <v>0</v>
      </c>
      <c r="BG439" s="6"/>
      <c r="BH439" t="b">
        <v>0</v>
      </c>
      <c r="BI439" s="6"/>
      <c r="BJ439" t="b">
        <v>0</v>
      </c>
      <c r="BL439" t="b">
        <v>0</v>
      </c>
      <c r="BM439" t="b">
        <v>0</v>
      </c>
      <c r="BN439" t="b">
        <v>0</v>
      </c>
      <c r="BO439" t="b">
        <v>0</v>
      </c>
      <c r="BQ439" t="b">
        <v>0</v>
      </c>
      <c r="BR439" s="6"/>
      <c r="BT439" t="b">
        <v>0</v>
      </c>
      <c r="BV439" t="s">
        <v>504</v>
      </c>
      <c r="BW439" t="s">
        <v>154</v>
      </c>
      <c r="BX439" t="s">
        <v>2100</v>
      </c>
      <c r="BY439" s="6" t="s">
        <v>2284</v>
      </c>
      <c r="BZ439">
        <v>1</v>
      </c>
      <c r="CA439" t="s">
        <v>157</v>
      </c>
      <c r="CB439" s="7">
        <v>46315.0537962963</v>
      </c>
    </row>
  </sheetData>
  <conditionalFormatting sqref="A2:CB439">
    <cfRule type="expression" dxfId="6" priority="65">
      <formula>$CA2="REJECTED"</formula>
    </cfRule>
  </conditionalFormatting>
  <conditionalFormatting sqref="AA2:AA439">
    <cfRule type="expression" dxfId="0" priority="19">
      <formula>OR(ISNUMBER(SEARCH(";ADDR_STATE_INVALID;",";"&amp;$BX2&amp;";")),ISNUMBER(SEARCH(";ADDR_ZIP_FORMAT;",";"&amp;$BX2&amp;";")))</formula>
    </cfRule>
    <cfRule type="expression" dxfId="4" priority="26">
      <formula>OR(ISNUMBER(SEARCH(";ADDR_GEOCODE_NOMATCH;",";"&amp;$BX2&amp;";")),ISNUMBER(SEARCH(";ADDR_GEOCODE_TIE;",";"&amp;$BX2&amp;";")),ISNUMBER(SEARCH(";ADDR_MISSING;",";"&amp;$BX2&amp;";")),ISNUMBER(SEARCH(";ADDR_ZIP_CITY_MISMATCH;",";"&amp;$BX2&amp;";")),ISNUMBER(SEARCH(";ADDR_ZIP_STATE_MISMATCH;",";"&amp;$BX2&amp;";")))</formula>
    </cfRule>
  </conditionalFormatting>
  <conditionalFormatting sqref="AF2:AF439">
    <cfRule type="expression" dxfId="0" priority="27">
      <formula>OR(ISNUMBER(SEARCH(";DOB_FUTURE;",";"&amp;$BX2&amp;";")),ISNUMBER(SEARCH(";DOB_IMPLAUSIBLE;",";"&amp;$BX2&amp;";")),ISNUMBER(SEARCH(";DOB_UNPARSEABLE;",";"&amp;$BX2&amp;";")))</formula>
    </cfRule>
    <cfRule type="expression" dxfId="4" priority="30">
      <formula>OR(ISNUMBER(SEARCH(";DOB_AMBIGUOUS_FORMAT;",";"&amp;$BX2&amp;";")),ISNUMBER(SEARCH(";DOB_CONFLICT_IN_CLUSTER;",";"&amp;$BX2&amp;";")),ISNUMBER(SEARCH(";DOB_TWO_DIGIT_YEAR;",";"&amp;$BX2&amp;";")))</formula>
    </cfRule>
  </conditionalFormatting>
  <conditionalFormatting sqref="AG2:AG439">
    <cfRule type="expression" dxfId="0" priority="28">
      <formula>OR(ISNUMBER(SEARCH(";DOB_FUTURE;",";"&amp;$BX2&amp;";")),ISNUMBER(SEARCH(";DOB_IMPLAUSIBLE;",";"&amp;$BX2&amp;";")),ISNUMBER(SEARCH(";DOB_UNPARSEABLE;",";"&amp;$BX2&amp;";")))</formula>
    </cfRule>
    <cfRule type="expression" dxfId="4" priority="31">
      <formula>OR(ISNUMBER(SEARCH(";DOB_AMBIGUOUS_FORMAT;",";"&amp;$BX2&amp;";")),ISNUMBER(SEARCH(";DOB_CONFLICT_IN_CLUSTER;",";"&amp;$BX2&amp;";")),ISNUMBER(SEARCH(";DOB_TWO_DIGIT_YEAR;",";"&amp;$BX2&amp;";")))</formula>
    </cfRule>
  </conditionalFormatting>
  <conditionalFormatting sqref="AH2:AH439">
    <cfRule type="expression" dxfId="0" priority="29">
      <formula>OR(ISNUMBER(SEARCH(";DOB_FUTURE;",";"&amp;$BX2&amp;";")),ISNUMBER(SEARCH(";DOB_IMPLAUSIBLE;",";"&amp;$BX2&amp;";")),ISNUMBER(SEARCH(";DOB_UNPARSEABLE;",";"&amp;$BX2&amp;";")))</formula>
    </cfRule>
    <cfRule type="expression" dxfId="4" priority="32">
      <formula>OR(ISNUMBER(SEARCH(";DOB_AMBIGUOUS_FORMAT;",";"&amp;$BX2&amp;";")),ISNUMBER(SEARCH(";DOB_CONFLICT_IN_CLUSTER;",";"&amp;$BX2&amp;";")),ISNUMBER(SEARCH(";DOB_TWO_DIGIT_YEAR;",";"&amp;$BX2&amp;";")))</formula>
    </cfRule>
  </conditionalFormatting>
  <conditionalFormatting sqref="AI2:AI439">
    <cfRule type="expression" dxfId="0" priority="33">
      <formula>OR(ISNUMBER(SEARCH(";SSN_AREA_INVALID;",";"&amp;$BX2&amp;";")),ISNUMBER(SEARCH(";SSN_FORMAT;",";"&amp;$BX2&amp;";")),ISNUMBER(SEARCH(";SSN_GROUP_INVALID;",";"&amp;$BX2&amp;";")),ISNUMBER(SEARCH(";SSN_KNOWN_INVALID;",";"&amp;$BX2&amp;";")),ISNUMBER(SEARCH(";SSN_SERIAL_INVALID;",";"&amp;$BX2&amp;";")))</formula>
    </cfRule>
    <cfRule type="expression" dxfId="4" priority="36">
      <formula>OR(ISNUMBER(SEARCH(";XL_SSN_ZERO_PADDED;",";"&amp;$BX2&amp;";")))</formula>
    </cfRule>
  </conditionalFormatting>
  <conditionalFormatting sqref="AJ2:AJ439">
    <cfRule type="expression" dxfId="0" priority="34">
      <formula>OR(ISNUMBER(SEARCH(";SSN_AREA_INVALID;",";"&amp;$BX2&amp;";")),ISNUMBER(SEARCH(";SSN_FORMAT;",";"&amp;$BX2&amp;";")),ISNUMBER(SEARCH(";SSN_GROUP_INVALID;",";"&amp;$BX2&amp;";")),ISNUMBER(SEARCH(";SSN_KNOWN_INVALID;",";"&amp;$BX2&amp;";")),ISNUMBER(SEARCH(";SSN_SERIAL_INVALID;",";"&amp;$BX2&amp;";")))</formula>
    </cfRule>
    <cfRule type="expression" dxfId="4" priority="37">
      <formula>OR(ISNUMBER(SEARCH(";XL_SSN_ZERO_PADDED;",";"&amp;$BX2&amp;";")))</formula>
    </cfRule>
  </conditionalFormatting>
  <conditionalFormatting sqref="AK2:AK439">
    <cfRule type="expression" dxfId="0" priority="35">
      <formula>OR(ISNUMBER(SEARCH(";SSN_AREA_INVALID;",";"&amp;$BX2&amp;";")),ISNUMBER(SEARCH(";SSN_FORMAT;",";"&amp;$BX2&amp;";")),ISNUMBER(SEARCH(";SSN_GROUP_INVALID;",";"&amp;$BX2&amp;";")),ISNUMBER(SEARCH(";SSN_KNOWN_INVALID;",";"&amp;$BX2&amp;";")),ISNUMBER(SEARCH(";SSN_SERIAL_INVALID;",";"&amp;$BX2&amp;";")))</formula>
    </cfRule>
    <cfRule type="expression" dxfId="4" priority="38">
      <formula>OR(ISNUMBER(SEARCH(";XL_SSN_ZERO_PADDED;",";"&amp;$BX2&amp;";")))</formula>
    </cfRule>
  </conditionalFormatting>
  <conditionalFormatting sqref="AL2:AL439">
    <cfRule type="expression" dxfId="0" priority="39">
      <formula>OR(ISNUMBER(SEARCH(";DL_STATE_MISSING;",";"&amp;$BX2&amp;";")))</formula>
    </cfRule>
    <cfRule type="expression" dxfId="4" priority="43">
      <formula>OR(ISNUMBER(SEARCH(";DL_FORMAT_STATE;",";"&amp;$BX2&amp;";")))</formula>
    </cfRule>
  </conditionalFormatting>
  <conditionalFormatting sqref="AM2:AM439">
    <cfRule type="expression" dxfId="0" priority="40">
      <formula>OR(ISNUMBER(SEARCH(";DL_STATE_MISSING;",";"&amp;$BX2&amp;";")))</formula>
    </cfRule>
    <cfRule type="expression" dxfId="4" priority="44">
      <formula>OR(ISNUMBER(SEARCH(";DL_FORMAT_STATE;",";"&amp;$BX2&amp;";")))</formula>
    </cfRule>
  </conditionalFormatting>
  <conditionalFormatting sqref="AN2:AN439">
    <cfRule type="expression" dxfId="0" priority="41">
      <formula>OR(ISNUMBER(SEARCH(";DL_STATE_MISSING;",";"&amp;$BX2&amp;";")))</formula>
    </cfRule>
    <cfRule type="expression" dxfId="4" priority="45">
      <formula>OR(ISNUMBER(SEARCH(";DL_FORMAT_STATE;",";"&amp;$BX2&amp;";")))</formula>
    </cfRule>
  </conditionalFormatting>
  <conditionalFormatting sqref="AO2:AO439">
    <cfRule type="expression" dxfId="0" priority="42">
      <formula>OR(ISNUMBER(SEARCH(";DL_STATE_MISSING;",";"&amp;$BX2&amp;";")))</formula>
    </cfRule>
    <cfRule type="expression" dxfId="4" priority="46">
      <formula>OR(ISNUMBER(SEARCH(";DL_FORMAT_STATE;",";"&amp;$BX2&amp;";")))</formula>
    </cfRule>
  </conditionalFormatting>
  <conditionalFormatting sqref="AT2:AT439">
    <cfRule type="expression" dxfId="4" priority="47">
      <formula>OR(ISNUMBER(SEARCH(";PASSPORT_FORMAT;",";"&amp;$BX2&amp;";")))</formula>
    </cfRule>
  </conditionalFormatting>
  <conditionalFormatting sqref="AU2:AU439">
    <cfRule type="expression" dxfId="4" priority="48">
      <formula>OR(ISNUMBER(SEARCH(";PASSPORT_FORMAT;",";"&amp;$BX2&amp;";")))</formula>
    </cfRule>
  </conditionalFormatting>
  <conditionalFormatting sqref="AV2:AV439">
    <cfRule type="expression" dxfId="4" priority="49">
      <formula>OR(ISNUMBER(SEARCH(";PASSPORT_FORMAT;",";"&amp;$BX2&amp;";")))</formula>
    </cfRule>
  </conditionalFormatting>
  <conditionalFormatting sqref="AX2:AX439">
    <cfRule type="expression" dxfId="0" priority="53">
      <formula>OR(ISNUMBER(SEARCH(";ROUTING_CHECKSUM_FAIL;",";"&amp;$BX2&amp;";")))</formula>
    </cfRule>
  </conditionalFormatting>
  <conditionalFormatting sqref="AY2:AY439">
    <cfRule type="expression" dxfId="0" priority="54">
      <formula>OR(ISNUMBER(SEARCH(";ROUTING_CHECKSUM_FAIL;",";"&amp;$BX2&amp;";")))</formula>
    </cfRule>
  </conditionalFormatting>
  <conditionalFormatting sqref="AZ2:AZ439">
    <cfRule type="expression" dxfId="0" priority="55">
      <formula>OR(ISNUMBER(SEARCH(";ROUTING_CHECKSUM_FAIL;",";"&amp;$BX2&amp;";")))</formula>
    </cfRule>
  </conditionalFormatting>
  <conditionalFormatting sqref="BB2:BB439">
    <cfRule type="expression" dxfId="0" priority="56">
      <formula>OR(ISNUMBER(SEARCH(";ROUTING_CHECKSUM_FAIL;",";"&amp;$BX2&amp;";")))</formula>
    </cfRule>
  </conditionalFormatting>
  <conditionalFormatting sqref="BC2:BC439">
    <cfRule type="expression" dxfId="0" priority="50">
      <formula>OR(ISNUMBER(SEARCH(";CARD_LUHN_FAIL;",";"&amp;$BX2&amp;";")),ISNUMBER(SEARCH(";XL_NUMBER_PRECISION_LOST;",";"&amp;$BX2&amp;";")))</formula>
    </cfRule>
  </conditionalFormatting>
  <conditionalFormatting sqref="BD2:BD439">
    <cfRule type="expression" dxfId="0" priority="51">
      <formula>OR(ISNUMBER(SEARCH(";CARD_LUHN_FAIL;",";"&amp;$BX2&amp;";")),ISNUMBER(SEARCH(";XL_NUMBER_PRECISION_LOST;",";"&amp;$BX2&amp;";")))</formula>
    </cfRule>
  </conditionalFormatting>
  <conditionalFormatting sqref="BE2:BE439">
    <cfRule type="expression" dxfId="0" priority="52">
      <formula>OR(ISNUMBER(SEARCH(";CARD_LUHN_FAIL;",";"&amp;$BX2&amp;";")),ISNUMBER(SEARCH(";XL_NUMBER_PRECISION_LOST;",";"&amp;$BX2&amp;";")))</formula>
    </cfRule>
  </conditionalFormatting>
  <conditionalFormatting sqref="BW2:BW439">
    <cfRule type="expression" dxfId="0" priority="63">
      <formula>$BW2="FAIL"</formula>
    </cfRule>
    <cfRule type="expression" dxfId="4" priority="64">
      <formula>$BW2="REVIEW"</formula>
    </cfRule>
  </conditionalFormatting>
  <conditionalFormatting sqref="M2:M439">
    <cfRule type="expression" dxfId="0" priority="1">
      <formula>OR(ISNUMBER(SEARCH(";NAME_MISSING;",";"&amp;$BX2&amp;";")))</formula>
    </cfRule>
    <cfRule type="expression" dxfId="4" priority="7">
      <formula>OR(ISNUMBER(SEARCH(";NAME_ORDER_AMBIGUOUS;",";"&amp;$BX2&amp;";")),ISNUMBER(SEARCH(";NAME_ORG_LIKE;",";"&amp;$BX2&amp;";")),ISNUMBER(SEARCH(";NAME_SUFFIX_INVALID;",";"&amp;$BX2&amp;";")),ISNUMBER(SEARCH(";NAME_SUFFIX_IN_NAME;",";"&amp;$BX2&amp;";")),ISNUMBER(SEARCH(";NAME_VARIANT_IN_DOC;",";"&amp;$BX2&amp;";")))</formula>
    </cfRule>
  </conditionalFormatting>
  <conditionalFormatting sqref="N2:N439">
    <cfRule type="expression" dxfId="0" priority="2">
      <formula>OR(ISNUMBER(SEARCH(";NAME_MISSING;",";"&amp;$BX2&amp;";")))</formula>
    </cfRule>
    <cfRule type="expression" dxfId="4" priority="8">
      <formula>OR(ISNUMBER(SEARCH(";NAME_ORDER_AMBIGUOUS;",";"&amp;$BX2&amp;";")),ISNUMBER(SEARCH(";NAME_ORG_LIKE;",";"&amp;$BX2&amp;";")),ISNUMBER(SEARCH(";NAME_SUFFIX_INVALID;",";"&amp;$BX2&amp;";")),ISNUMBER(SEARCH(";NAME_SUFFIX_IN_NAME;",";"&amp;$BX2&amp;";")),ISNUMBER(SEARCH(";NAME_VARIANT_IN_DOC;",";"&amp;$BX2&amp;";")))</formula>
    </cfRule>
  </conditionalFormatting>
  <conditionalFormatting sqref="O2:O439">
    <cfRule type="expression" dxfId="0" priority="3">
      <formula>OR(ISNUMBER(SEARCH(";NAME_MISSING;",";"&amp;$BX2&amp;";")))</formula>
    </cfRule>
    <cfRule type="expression" dxfId="4" priority="9">
      <formula>OR(ISNUMBER(SEARCH(";NAME_ORDER_AMBIGUOUS;",";"&amp;$BX2&amp;";")),ISNUMBER(SEARCH(";NAME_ORG_LIKE;",";"&amp;$BX2&amp;";")),ISNUMBER(SEARCH(";NAME_SUFFIX_INVALID;",";"&amp;$BX2&amp;";")),ISNUMBER(SEARCH(";NAME_SUFFIX_IN_NAME;",";"&amp;$BX2&amp;";")),ISNUMBER(SEARCH(";NAME_VARIANT_IN_DOC;",";"&amp;$BX2&amp;";")))</formula>
    </cfRule>
  </conditionalFormatting>
  <conditionalFormatting sqref="P2:P439">
    <cfRule type="expression" dxfId="0" priority="4">
      <formula>OR(ISNUMBER(SEARCH(";NAME_MISSING;",";"&amp;$BX2&amp;";")))</formula>
    </cfRule>
    <cfRule type="expression" dxfId="4" priority="10">
      <formula>OR(ISNUMBER(SEARCH(";NAME_ORDER_AMBIGUOUS;",";"&amp;$BX2&amp;";")),ISNUMBER(SEARCH(";NAME_ORG_LIKE;",";"&amp;$BX2&amp;";")),ISNUMBER(SEARCH(";NAME_SUFFIX_INVALID;",";"&amp;$BX2&amp;";")),ISNUMBER(SEARCH(";NAME_SUFFIX_IN_NAME;",";"&amp;$BX2&amp;";")),ISNUMBER(SEARCH(";NAME_VARIANT_IN_DOC;",";"&amp;$BX2&amp;";")))</formula>
    </cfRule>
  </conditionalFormatting>
  <conditionalFormatting sqref="Q2:Q439">
    <cfRule type="expression" dxfId="0" priority="5">
      <formula>OR(ISNUMBER(SEARCH(";NAME_MISSING;",";"&amp;$BX2&amp;";")))</formula>
    </cfRule>
    <cfRule type="expression" dxfId="4" priority="11">
      <formula>OR(ISNUMBER(SEARCH(";NAME_ORDER_AMBIGUOUS;",";"&amp;$BX2&amp;";")),ISNUMBER(SEARCH(";NAME_ORG_LIKE;",";"&amp;$BX2&amp;";")),ISNUMBER(SEARCH(";NAME_SUFFIX_INVALID;",";"&amp;$BX2&amp;";")),ISNUMBER(SEARCH(";NAME_SUFFIX_IN_NAME;",";"&amp;$BX2&amp;";")),ISNUMBER(SEARCH(";NAME_VARIANT_IN_DOC;",";"&amp;$BX2&amp;";")))</formula>
    </cfRule>
  </conditionalFormatting>
  <conditionalFormatting sqref="R2:R439">
    <cfRule type="expression" dxfId="0" priority="6">
      <formula>OR(ISNUMBER(SEARCH(";NAME_MISSING;",";"&amp;$BX2&amp;";")))</formula>
    </cfRule>
    <cfRule type="expression" dxfId="4" priority="12">
      <formula>OR(ISNUMBER(SEARCH(";NAME_ORDER_AMBIGUOUS;",";"&amp;$BX2&amp;";")),ISNUMBER(SEARCH(";NAME_ORG_LIKE;",";"&amp;$BX2&amp;";")),ISNUMBER(SEARCH(";NAME_SUFFIX_INVALID;",";"&amp;$BX2&amp;";")),ISNUMBER(SEARCH(";NAME_SUFFIX_IN_NAME;",";"&amp;$BX2&amp;";")),ISNUMBER(SEARCH(";NAME_VARIANT_IN_DOC;",";"&amp;$BX2&amp;";")))</formula>
    </cfRule>
  </conditionalFormatting>
  <conditionalFormatting sqref="T2:T439">
    <cfRule type="expression" dxfId="0" priority="13">
      <formula>OR(ISNUMBER(SEARCH(";ADDR_STATE_INVALID;",";"&amp;$BX2&amp;";")),ISNUMBER(SEARCH(";ADDR_ZIP_FORMAT;",";"&amp;$BX2&amp;";")))</formula>
    </cfRule>
    <cfRule type="expression" dxfId="4" priority="20">
      <formula>OR(ISNUMBER(SEARCH(";ADDR_GEOCODE_NOMATCH;",";"&amp;$BX2&amp;";")),ISNUMBER(SEARCH(";ADDR_GEOCODE_TIE;",";"&amp;$BX2&amp;";")),ISNUMBER(SEARCH(";ADDR_MISSING;",";"&amp;$BX2&amp;";")),ISNUMBER(SEARCH(";ADDR_ZIP_CITY_MISMATCH;",";"&amp;$BX2&amp;";")),ISNUMBER(SEARCH(";ADDR_ZIP_STATE_MISMATCH;",";"&amp;$BX2&amp;";")))</formula>
    </cfRule>
    <cfRule type="expression" dxfId="5" priority="57">
      <formula>$AA2="VERIFIED"</formula>
    </cfRule>
  </conditionalFormatting>
  <conditionalFormatting sqref="U2:U439">
    <cfRule type="expression" dxfId="0" priority="14">
      <formula>OR(ISNUMBER(SEARCH(";ADDR_STATE_INVALID;",";"&amp;$BX2&amp;";")),ISNUMBER(SEARCH(";ADDR_ZIP_FORMAT;",";"&amp;$BX2&amp;";")))</formula>
    </cfRule>
    <cfRule type="expression" dxfId="4" priority="21">
      <formula>OR(ISNUMBER(SEARCH(";ADDR_GEOCODE_NOMATCH;",";"&amp;$BX2&amp;";")),ISNUMBER(SEARCH(";ADDR_GEOCODE_TIE;",";"&amp;$BX2&amp;";")),ISNUMBER(SEARCH(";ADDR_MISSING;",";"&amp;$BX2&amp;";")),ISNUMBER(SEARCH(";ADDR_ZIP_CITY_MISMATCH;",";"&amp;$BX2&amp;";")),ISNUMBER(SEARCH(";ADDR_ZIP_STATE_MISMATCH;",";"&amp;$BX2&amp;";")))</formula>
    </cfRule>
    <cfRule type="expression" dxfId="5" priority="58">
      <formula>$AA2="VERIFIED"</formula>
    </cfRule>
  </conditionalFormatting>
  <conditionalFormatting sqref="V2:V439">
    <cfRule type="expression" dxfId="0" priority="15">
      <formula>OR(ISNUMBER(SEARCH(";ADDR_STATE_INVALID;",";"&amp;$BX2&amp;";")),ISNUMBER(SEARCH(";ADDR_ZIP_FORMAT;",";"&amp;$BX2&amp;";")))</formula>
    </cfRule>
    <cfRule type="expression" dxfId="4" priority="22">
      <formula>OR(ISNUMBER(SEARCH(";ADDR_GEOCODE_NOMATCH;",";"&amp;$BX2&amp;";")),ISNUMBER(SEARCH(";ADDR_GEOCODE_TIE;",";"&amp;$BX2&amp;";")),ISNUMBER(SEARCH(";ADDR_MISSING;",";"&amp;$BX2&amp;";")),ISNUMBER(SEARCH(";ADDR_ZIP_CITY_MISMATCH;",";"&amp;$BX2&amp;";")),ISNUMBER(SEARCH(";ADDR_ZIP_STATE_MISMATCH;",";"&amp;$BX2&amp;";")))</formula>
    </cfRule>
    <cfRule type="expression" dxfId="5" priority="59">
      <formula>$AA2="VERIFIED"</formula>
    </cfRule>
  </conditionalFormatting>
  <conditionalFormatting sqref="W2:W439">
    <cfRule type="expression" dxfId="0" priority="16">
      <formula>OR(ISNUMBER(SEARCH(";ADDR_STATE_INVALID;",";"&amp;$BX2&amp;";")),ISNUMBER(SEARCH(";ADDR_ZIP_FORMAT;",";"&amp;$BX2&amp;";")))</formula>
    </cfRule>
    <cfRule type="expression" dxfId="4" priority="23">
      <formula>OR(ISNUMBER(SEARCH(";ADDR_GEOCODE_NOMATCH;",";"&amp;$BX2&amp;";")),ISNUMBER(SEARCH(";ADDR_GEOCODE_TIE;",";"&amp;$BX2&amp;";")),ISNUMBER(SEARCH(";ADDR_MISSING;",";"&amp;$BX2&amp;";")),ISNUMBER(SEARCH(";ADDR_ZIP_CITY_MISMATCH;",";"&amp;$BX2&amp;";")),ISNUMBER(SEARCH(";ADDR_ZIP_STATE_MISMATCH;",";"&amp;$BX2&amp;";")))</formula>
    </cfRule>
    <cfRule type="expression" dxfId="5" priority="60">
      <formula>$AA2="VERIFIED"</formula>
    </cfRule>
  </conditionalFormatting>
  <conditionalFormatting sqref="X2:X439">
    <cfRule type="expression" dxfId="0" priority="17">
      <formula>OR(ISNUMBER(SEARCH(";ADDR_STATE_INVALID;",";"&amp;$BX2&amp;";")),ISNUMBER(SEARCH(";ADDR_ZIP_FORMAT;",";"&amp;$BX2&amp;";")))</formula>
    </cfRule>
    <cfRule type="expression" dxfId="4" priority="24">
      <formula>OR(ISNUMBER(SEARCH(";ADDR_GEOCODE_NOMATCH;",";"&amp;$BX2&amp;";")),ISNUMBER(SEARCH(";ADDR_GEOCODE_TIE;",";"&amp;$BX2&amp;";")),ISNUMBER(SEARCH(";ADDR_MISSING;",";"&amp;$BX2&amp;";")),ISNUMBER(SEARCH(";ADDR_ZIP_CITY_MISMATCH;",";"&amp;$BX2&amp;";")),ISNUMBER(SEARCH(";ADDR_ZIP_STATE_MISMATCH;",";"&amp;$BX2&amp;";")))</formula>
    </cfRule>
    <cfRule type="expression" dxfId="5" priority="61">
      <formula>$AA2="VERIFIED"</formula>
    </cfRule>
  </conditionalFormatting>
  <conditionalFormatting sqref="Y2:Y439">
    <cfRule type="expression" dxfId="0" priority="18">
      <formula>OR(ISNUMBER(SEARCH(";ADDR_STATE_INVALID;",";"&amp;$BX2&amp;";")),ISNUMBER(SEARCH(";ADDR_ZIP_FORMAT;",";"&amp;$BX2&amp;";")))</formula>
    </cfRule>
    <cfRule type="expression" dxfId="4" priority="25">
      <formula>OR(ISNUMBER(SEARCH(";ADDR_GEOCODE_NOMATCH;",";"&amp;$BX2&amp;";")),ISNUMBER(SEARCH(";ADDR_GEOCODE_TIE;",";"&amp;$BX2&amp;";")),ISNUMBER(SEARCH(";ADDR_MISSING;",";"&amp;$BX2&amp;";")),ISNUMBER(SEARCH(";ADDR_ZIP_CITY_MISMATCH;",";"&amp;$BX2&amp;";")),ISNUMBER(SEARCH(";ADDR_ZIP_STATE_MISMATCH;",";"&amp;$BX2&amp;";")))</formula>
    </cfRule>
    <cfRule type="expression" dxfId="5" priority="62">
      <formula>$AA2="VERIFIED"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43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1.7109375" customWidth="1"/>
    <col min="2" max="2" width="34.7109375" customWidth="1"/>
    <col min="3" max="3" width="10.7109375" customWidth="1"/>
    <col min="4" max="4" width="40.7109375" customWidth="1"/>
    <col min="5" max="5" width="15.7109375" customWidth="1"/>
    <col min="6" max="8" width="10.7109375" customWidth="1"/>
    <col min="9" max="9" width="12.7109375" customWidth="1"/>
    <col min="10" max="10" width="11.7109375" customWidth="1"/>
    <col min="11" max="11" width="10.7109375" customWidth="1"/>
    <col min="12" max="13" width="15.7109375" customWidth="1"/>
    <col min="14" max="15" width="13.7109375" customWidth="1"/>
    <col min="16" max="16" width="10.7109375" customWidth="1"/>
  </cols>
  <sheetData>
    <row r="1" spans="1:16">
      <c r="A1" s="1" t="s">
        <v>2285</v>
      </c>
    </row>
    <row r="2" spans="1:16">
      <c r="A2" t="s">
        <v>2286</v>
      </c>
    </row>
    <row r="4" spans="1:16">
      <c r="A4" t="s">
        <v>2287</v>
      </c>
      <c r="B4" t="s">
        <v>2288</v>
      </c>
      <c r="C4" t="s">
        <v>2289</v>
      </c>
      <c r="D4" t="s">
        <v>2290</v>
      </c>
      <c r="E4" t="s">
        <v>2291</v>
      </c>
      <c r="F4" t="s">
        <v>55</v>
      </c>
      <c r="G4" t="s">
        <v>2292</v>
      </c>
      <c r="H4" t="s">
        <v>2293</v>
      </c>
      <c r="I4" t="s">
        <v>53</v>
      </c>
      <c r="J4" t="s">
        <v>129</v>
      </c>
      <c r="K4" t="s">
        <v>2294</v>
      </c>
      <c r="L4" t="s">
        <v>131</v>
      </c>
      <c r="M4" t="s">
        <v>2295</v>
      </c>
      <c r="N4" t="s">
        <v>2296</v>
      </c>
      <c r="O4" t="s">
        <v>2297</v>
      </c>
      <c r="P4" t="s">
        <v>2298</v>
      </c>
    </row>
    <row r="5" spans="1:16">
      <c r="A5" t="s">
        <v>2299</v>
      </c>
      <c r="B5" s="6" t="s">
        <v>2300</v>
      </c>
      <c r="C5" t="s">
        <v>2301</v>
      </c>
      <c r="D5" t="s">
        <v>290</v>
      </c>
      <c r="E5">
        <v>1</v>
      </c>
      <c r="F5" s="6" t="s">
        <v>279</v>
      </c>
      <c r="I5" s="6" t="s">
        <v>278</v>
      </c>
      <c r="J5" s="6" t="s">
        <v>291</v>
      </c>
      <c r="K5" t="s">
        <v>2302</v>
      </c>
      <c r="L5" t="s">
        <v>157</v>
      </c>
      <c r="P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6" spans="1:16">
      <c r="A6" t="s">
        <v>2299</v>
      </c>
      <c r="B6" s="6" t="s">
        <v>2303</v>
      </c>
      <c r="C6" t="s">
        <v>2301</v>
      </c>
      <c r="D6" t="s">
        <v>366</v>
      </c>
      <c r="E6">
        <v>1</v>
      </c>
      <c r="F6" s="6" t="s">
        <v>354</v>
      </c>
      <c r="I6" s="6" t="s">
        <v>353</v>
      </c>
      <c r="J6" s="6" t="s">
        <v>367</v>
      </c>
      <c r="K6" t="s">
        <v>2302</v>
      </c>
      <c r="L6" t="s">
        <v>157</v>
      </c>
      <c r="P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7" spans="1:16">
      <c r="A7" t="s">
        <v>2299</v>
      </c>
      <c r="B7" s="6" t="s">
        <v>2304</v>
      </c>
      <c r="C7" t="s">
        <v>2301</v>
      </c>
      <c r="D7" t="s">
        <v>748</v>
      </c>
      <c r="E7">
        <v>1</v>
      </c>
      <c r="F7" s="6" t="s">
        <v>735</v>
      </c>
      <c r="G7" t="s">
        <v>737</v>
      </c>
      <c r="I7" s="6" t="s">
        <v>734</v>
      </c>
      <c r="J7" s="6" t="s">
        <v>749</v>
      </c>
      <c r="K7" t="s">
        <v>2302</v>
      </c>
      <c r="L7" t="s">
        <v>157</v>
      </c>
      <c r="P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8" spans="1:16">
      <c r="A8" t="s">
        <v>2299</v>
      </c>
      <c r="B8" s="6" t="s">
        <v>2305</v>
      </c>
      <c r="C8" t="s">
        <v>2301</v>
      </c>
      <c r="D8" t="s">
        <v>806</v>
      </c>
      <c r="E8">
        <v>1</v>
      </c>
      <c r="F8" s="6" t="s">
        <v>735</v>
      </c>
      <c r="G8" t="s">
        <v>737</v>
      </c>
      <c r="I8" s="6" t="s">
        <v>798</v>
      </c>
      <c r="J8" s="6" t="s">
        <v>807</v>
      </c>
      <c r="K8" t="s">
        <v>2302</v>
      </c>
      <c r="L8" t="s">
        <v>157</v>
      </c>
      <c r="P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9" spans="1:16">
      <c r="A9" t="s">
        <v>2299</v>
      </c>
      <c r="B9" s="6" t="s">
        <v>2306</v>
      </c>
      <c r="C9" t="s">
        <v>2301</v>
      </c>
      <c r="D9" t="s">
        <v>746</v>
      </c>
      <c r="E9">
        <v>1</v>
      </c>
      <c r="F9" s="6" t="s">
        <v>735</v>
      </c>
      <c r="G9" t="s">
        <v>737</v>
      </c>
      <c r="I9" s="6" t="s">
        <v>831</v>
      </c>
      <c r="J9" s="6" t="s">
        <v>836</v>
      </c>
      <c r="K9" t="s">
        <v>2302</v>
      </c>
      <c r="L9" t="s">
        <v>157</v>
      </c>
      <c r="P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0" spans="1:16">
      <c r="A10" t="s">
        <v>2299</v>
      </c>
      <c r="B10" s="6" t="s">
        <v>2307</v>
      </c>
      <c r="C10" t="s">
        <v>2301</v>
      </c>
      <c r="D10" t="s">
        <v>860</v>
      </c>
      <c r="E10">
        <v>1</v>
      </c>
      <c r="F10" s="6" t="s">
        <v>735</v>
      </c>
      <c r="G10" t="s">
        <v>737</v>
      </c>
      <c r="I10" s="6" t="s">
        <v>854</v>
      </c>
      <c r="J10" s="6" t="s">
        <v>861</v>
      </c>
      <c r="K10" t="s">
        <v>2302</v>
      </c>
      <c r="L10" t="s">
        <v>157</v>
      </c>
      <c r="P1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1" spans="1:16">
      <c r="A11" t="s">
        <v>2299</v>
      </c>
      <c r="B11" s="6" t="s">
        <v>2308</v>
      </c>
      <c r="C11" t="s">
        <v>2301</v>
      </c>
      <c r="D11" t="s">
        <v>746</v>
      </c>
      <c r="E11">
        <v>1</v>
      </c>
      <c r="F11" s="6" t="s">
        <v>735</v>
      </c>
      <c r="G11" t="s">
        <v>737</v>
      </c>
      <c r="I11" s="6" t="s">
        <v>862</v>
      </c>
      <c r="J11" s="6" t="s">
        <v>866</v>
      </c>
      <c r="K11" t="s">
        <v>2302</v>
      </c>
      <c r="L11" t="s">
        <v>157</v>
      </c>
      <c r="P1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2" spans="1:16">
      <c r="A12" t="s">
        <v>2299</v>
      </c>
      <c r="B12" s="6" t="s">
        <v>2309</v>
      </c>
      <c r="C12" t="s">
        <v>2301</v>
      </c>
      <c r="D12" t="s">
        <v>746</v>
      </c>
      <c r="E12">
        <v>1</v>
      </c>
      <c r="F12" s="6" t="s">
        <v>735</v>
      </c>
      <c r="G12" t="s">
        <v>737</v>
      </c>
      <c r="I12" s="6" t="s">
        <v>898</v>
      </c>
      <c r="J12" s="6" t="s">
        <v>173</v>
      </c>
      <c r="K12" t="s">
        <v>2302</v>
      </c>
      <c r="L12" t="s">
        <v>157</v>
      </c>
      <c r="P1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3" spans="1:16">
      <c r="A13" t="s">
        <v>2299</v>
      </c>
      <c r="B13" s="6" t="s">
        <v>2310</v>
      </c>
      <c r="C13" t="s">
        <v>2301</v>
      </c>
      <c r="D13" t="s">
        <v>937</v>
      </c>
      <c r="E13">
        <v>1</v>
      </c>
      <c r="F13" s="6" t="s">
        <v>735</v>
      </c>
      <c r="G13" t="s">
        <v>737</v>
      </c>
      <c r="I13" s="6" t="s">
        <v>930</v>
      </c>
      <c r="J13" s="6" t="s">
        <v>938</v>
      </c>
      <c r="K13" t="s">
        <v>2302</v>
      </c>
      <c r="L13" t="s">
        <v>157</v>
      </c>
      <c r="P1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4" spans="1:16">
      <c r="A14" t="s">
        <v>2299</v>
      </c>
      <c r="B14" s="6" t="s">
        <v>2311</v>
      </c>
      <c r="C14" t="s">
        <v>2301</v>
      </c>
      <c r="D14" t="s">
        <v>860</v>
      </c>
      <c r="E14">
        <v>1</v>
      </c>
      <c r="F14" s="6" t="s">
        <v>735</v>
      </c>
      <c r="G14" t="s">
        <v>737</v>
      </c>
      <c r="I14" s="6" t="s">
        <v>968</v>
      </c>
      <c r="J14" s="6" t="s">
        <v>975</v>
      </c>
      <c r="K14" t="s">
        <v>2302</v>
      </c>
      <c r="L14" t="s">
        <v>157</v>
      </c>
      <c r="P1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5" spans="1:16">
      <c r="A15" t="s">
        <v>2299</v>
      </c>
      <c r="B15" s="6" t="s">
        <v>2312</v>
      </c>
      <c r="C15" t="s">
        <v>2301</v>
      </c>
      <c r="D15" t="s">
        <v>748</v>
      </c>
      <c r="E15">
        <v>1</v>
      </c>
      <c r="F15" s="6" t="s">
        <v>735</v>
      </c>
      <c r="G15" t="s">
        <v>737</v>
      </c>
      <c r="I15" s="6" t="s">
        <v>1044</v>
      </c>
      <c r="J15" s="6" t="s">
        <v>599</v>
      </c>
      <c r="K15" t="s">
        <v>2302</v>
      </c>
      <c r="L15" t="s">
        <v>157</v>
      </c>
      <c r="P1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6" spans="1:16">
      <c r="A16" t="s">
        <v>2299</v>
      </c>
      <c r="B16" s="6" t="s">
        <v>2313</v>
      </c>
      <c r="C16" t="s">
        <v>2301</v>
      </c>
      <c r="D16" t="s">
        <v>937</v>
      </c>
      <c r="E16">
        <v>1</v>
      </c>
      <c r="F16" s="6" t="s">
        <v>735</v>
      </c>
      <c r="G16" t="s">
        <v>737</v>
      </c>
      <c r="I16" s="6" t="s">
        <v>1075</v>
      </c>
      <c r="J16" s="6" t="s">
        <v>1082</v>
      </c>
      <c r="K16" t="s">
        <v>2302</v>
      </c>
      <c r="L16" t="s">
        <v>157</v>
      </c>
      <c r="P1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7" spans="1:16">
      <c r="A17" t="s">
        <v>2299</v>
      </c>
      <c r="B17" s="6" t="s">
        <v>2314</v>
      </c>
      <c r="C17" t="s">
        <v>2301</v>
      </c>
      <c r="D17" t="s">
        <v>1155</v>
      </c>
      <c r="E17">
        <v>1</v>
      </c>
      <c r="F17" s="6" t="s">
        <v>1103</v>
      </c>
      <c r="G17" t="s">
        <v>1105</v>
      </c>
      <c r="I17" s="6" t="s">
        <v>1146</v>
      </c>
      <c r="J17" s="6" t="s">
        <v>1156</v>
      </c>
      <c r="K17" t="s">
        <v>2302</v>
      </c>
      <c r="L17" t="s">
        <v>157</v>
      </c>
      <c r="P1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8" spans="1:16">
      <c r="A18" t="s">
        <v>2299</v>
      </c>
      <c r="B18" s="6" t="s">
        <v>2315</v>
      </c>
      <c r="C18" t="s">
        <v>2301</v>
      </c>
      <c r="D18" t="s">
        <v>2316</v>
      </c>
      <c r="E18">
        <v>1</v>
      </c>
      <c r="F18" s="6" t="s">
        <v>1396</v>
      </c>
      <c r="G18" t="s">
        <v>1398</v>
      </c>
      <c r="I18" s="6" t="s">
        <v>1510</v>
      </c>
      <c r="J18" s="6" t="s">
        <v>1519</v>
      </c>
      <c r="K18" t="s">
        <v>2302</v>
      </c>
      <c r="L18" t="s">
        <v>157</v>
      </c>
      <c r="P1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9" spans="1:16">
      <c r="A19" t="s">
        <v>2317</v>
      </c>
      <c r="B19" s="6" t="s">
        <v>2318</v>
      </c>
      <c r="C19" t="s">
        <v>2319</v>
      </c>
      <c r="D19" t="s">
        <v>45</v>
      </c>
      <c r="E19">
        <v>40</v>
      </c>
      <c r="F19" s="6" t="s">
        <v>1396</v>
      </c>
      <c r="G19" t="s">
        <v>1398</v>
      </c>
      <c r="H19" t="s">
        <v>2320</v>
      </c>
      <c r="I19" s="6"/>
      <c r="J19" s="6"/>
      <c r="K19" t="s">
        <v>2302</v>
      </c>
      <c r="L19" t="s">
        <v>157</v>
      </c>
      <c r="P1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0" spans="1:16">
      <c r="A20" t="s">
        <v>2317</v>
      </c>
      <c r="B20" s="6" t="s">
        <v>2321</v>
      </c>
      <c r="C20" t="s">
        <v>2319</v>
      </c>
      <c r="D20" t="s">
        <v>45</v>
      </c>
      <c r="E20">
        <v>34</v>
      </c>
      <c r="F20" s="6" t="s">
        <v>1103</v>
      </c>
      <c r="G20" t="s">
        <v>1105</v>
      </c>
      <c r="H20" t="s">
        <v>2322</v>
      </c>
      <c r="I20" s="6"/>
      <c r="J20" s="6"/>
      <c r="K20" t="s">
        <v>2302</v>
      </c>
      <c r="L20" t="s">
        <v>157</v>
      </c>
      <c r="P2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1" spans="1:16">
      <c r="A21" t="s">
        <v>2317</v>
      </c>
      <c r="B21" s="6" t="s">
        <v>2323</v>
      </c>
      <c r="C21" t="s">
        <v>2319</v>
      </c>
      <c r="D21" t="s">
        <v>45</v>
      </c>
      <c r="E21">
        <v>30</v>
      </c>
      <c r="F21" s="6" t="s">
        <v>2038</v>
      </c>
      <c r="G21" t="s">
        <v>2040</v>
      </c>
      <c r="H21" t="s">
        <v>2324</v>
      </c>
      <c r="I21" s="6"/>
      <c r="J21" s="6"/>
      <c r="K21" t="s">
        <v>2302</v>
      </c>
      <c r="L21" t="s">
        <v>157</v>
      </c>
      <c r="P2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2" spans="1:16">
      <c r="A22" t="s">
        <v>2325</v>
      </c>
      <c r="B22" s="6" t="s">
        <v>2326</v>
      </c>
      <c r="C22" t="s">
        <v>2319</v>
      </c>
      <c r="D22" t="s">
        <v>44</v>
      </c>
      <c r="E22">
        <v>2</v>
      </c>
      <c r="F22" s="6"/>
      <c r="I22" s="6" t="s">
        <v>133</v>
      </c>
      <c r="J22" s="6" t="s">
        <v>2327</v>
      </c>
      <c r="K22" t="s">
        <v>2302</v>
      </c>
      <c r="L22" t="s">
        <v>157</v>
      </c>
      <c r="P2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3" spans="1:16">
      <c r="A23" t="s">
        <v>2325</v>
      </c>
      <c r="B23" s="6" t="s">
        <v>2328</v>
      </c>
      <c r="C23" t="s">
        <v>2319</v>
      </c>
      <c r="D23" t="s">
        <v>44</v>
      </c>
      <c r="E23">
        <v>2</v>
      </c>
      <c r="F23" s="6"/>
      <c r="I23" s="6" t="s">
        <v>231</v>
      </c>
      <c r="J23" s="6" t="s">
        <v>2329</v>
      </c>
      <c r="K23" t="s">
        <v>2302</v>
      </c>
      <c r="L23" t="s">
        <v>157</v>
      </c>
      <c r="P2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4" spans="1:16">
      <c r="A24" t="s">
        <v>2325</v>
      </c>
      <c r="B24" s="6" t="s">
        <v>2330</v>
      </c>
      <c r="C24" t="s">
        <v>2319</v>
      </c>
      <c r="D24" t="s">
        <v>44</v>
      </c>
      <c r="E24">
        <v>2</v>
      </c>
      <c r="F24" s="6"/>
      <c r="I24" s="6" t="s">
        <v>242</v>
      </c>
      <c r="J24" s="6" t="s">
        <v>2331</v>
      </c>
      <c r="K24" t="s">
        <v>2302</v>
      </c>
      <c r="L24" t="s">
        <v>157</v>
      </c>
      <c r="P2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5" spans="1:16">
      <c r="A25" t="s">
        <v>2325</v>
      </c>
      <c r="B25" s="6" t="s">
        <v>2332</v>
      </c>
      <c r="C25" t="s">
        <v>2319</v>
      </c>
      <c r="D25" t="s">
        <v>44</v>
      </c>
      <c r="E25">
        <v>2</v>
      </c>
      <c r="F25" s="6"/>
      <c r="I25" s="6" t="s">
        <v>242</v>
      </c>
      <c r="J25" s="6" t="s">
        <v>2333</v>
      </c>
      <c r="K25" t="s">
        <v>2302</v>
      </c>
      <c r="L25" t="s">
        <v>157</v>
      </c>
      <c r="P2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6" spans="1:16">
      <c r="A26" t="s">
        <v>2325</v>
      </c>
      <c r="B26" s="6" t="s">
        <v>2334</v>
      </c>
      <c r="C26" t="s">
        <v>2319</v>
      </c>
      <c r="D26" t="s">
        <v>44</v>
      </c>
      <c r="E26">
        <v>2</v>
      </c>
      <c r="F26" s="6"/>
      <c r="I26" s="6" t="s">
        <v>242</v>
      </c>
      <c r="J26" s="6" t="s">
        <v>2331</v>
      </c>
      <c r="K26" t="s">
        <v>2302</v>
      </c>
      <c r="L26" t="s">
        <v>157</v>
      </c>
      <c r="P2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7" spans="1:16">
      <c r="A27" t="s">
        <v>2325</v>
      </c>
      <c r="B27" s="6" t="s">
        <v>2335</v>
      </c>
      <c r="C27" t="s">
        <v>2319</v>
      </c>
      <c r="D27" t="s">
        <v>44</v>
      </c>
      <c r="E27">
        <v>2</v>
      </c>
      <c r="F27" s="6"/>
      <c r="I27" s="6" t="s">
        <v>242</v>
      </c>
      <c r="J27" s="6" t="s">
        <v>2333</v>
      </c>
      <c r="K27" t="s">
        <v>2302</v>
      </c>
      <c r="L27" t="s">
        <v>157</v>
      </c>
      <c r="P2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8" spans="1:16">
      <c r="A28" t="s">
        <v>2325</v>
      </c>
      <c r="B28" s="6" t="s">
        <v>2336</v>
      </c>
      <c r="C28" t="s">
        <v>2319</v>
      </c>
      <c r="D28" t="s">
        <v>44</v>
      </c>
      <c r="E28">
        <v>2</v>
      </c>
      <c r="F28" s="6"/>
      <c r="I28" s="6" t="s">
        <v>242</v>
      </c>
      <c r="J28" s="6" t="s">
        <v>2337</v>
      </c>
      <c r="K28" t="s">
        <v>2302</v>
      </c>
      <c r="L28" t="s">
        <v>157</v>
      </c>
      <c r="P2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9" spans="1:16">
      <c r="A29" t="s">
        <v>2325</v>
      </c>
      <c r="B29" s="6" t="s">
        <v>2338</v>
      </c>
      <c r="C29" t="s">
        <v>2319</v>
      </c>
      <c r="D29" t="s">
        <v>44</v>
      </c>
      <c r="E29">
        <v>2</v>
      </c>
      <c r="F29" s="6"/>
      <c r="I29" s="6" t="s">
        <v>257</v>
      </c>
      <c r="J29" s="6" t="s">
        <v>2339</v>
      </c>
      <c r="K29" t="s">
        <v>2302</v>
      </c>
      <c r="L29" t="s">
        <v>157</v>
      </c>
      <c r="P2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0" spans="1:16">
      <c r="A30" t="s">
        <v>2325</v>
      </c>
      <c r="B30" s="6" t="s">
        <v>2340</v>
      </c>
      <c r="C30" t="s">
        <v>2319</v>
      </c>
      <c r="D30" t="s">
        <v>44</v>
      </c>
      <c r="E30">
        <v>2</v>
      </c>
      <c r="F30" s="6"/>
      <c r="I30" s="6" t="s">
        <v>257</v>
      </c>
      <c r="J30" s="6" t="s">
        <v>2339</v>
      </c>
      <c r="K30" t="s">
        <v>2302</v>
      </c>
      <c r="L30" t="s">
        <v>157</v>
      </c>
      <c r="P3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1" spans="1:16">
      <c r="A31" t="s">
        <v>2325</v>
      </c>
      <c r="B31" s="6" t="s">
        <v>2341</v>
      </c>
      <c r="C31" t="s">
        <v>2319</v>
      </c>
      <c r="D31" t="s">
        <v>44</v>
      </c>
      <c r="E31">
        <v>2</v>
      </c>
      <c r="F31" s="6"/>
      <c r="I31" s="6" t="s">
        <v>257</v>
      </c>
      <c r="J31" s="6" t="s">
        <v>2342</v>
      </c>
      <c r="K31" t="s">
        <v>2302</v>
      </c>
      <c r="L31" t="s">
        <v>157</v>
      </c>
      <c r="P3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2" spans="1:16">
      <c r="A32" t="s">
        <v>2325</v>
      </c>
      <c r="B32" s="6" t="s">
        <v>2343</v>
      </c>
      <c r="C32" t="s">
        <v>2319</v>
      </c>
      <c r="D32" t="s">
        <v>44</v>
      </c>
      <c r="E32">
        <v>2</v>
      </c>
      <c r="F32" s="6"/>
      <c r="I32" s="6" t="s">
        <v>263</v>
      </c>
      <c r="J32" s="6" t="s">
        <v>2344</v>
      </c>
      <c r="K32" t="s">
        <v>2302</v>
      </c>
      <c r="L32" t="s">
        <v>157</v>
      </c>
      <c r="P3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3" spans="1:16">
      <c r="A33" t="s">
        <v>2325</v>
      </c>
      <c r="B33" s="6" t="s">
        <v>2345</v>
      </c>
      <c r="C33" t="s">
        <v>2319</v>
      </c>
      <c r="D33" t="s">
        <v>44</v>
      </c>
      <c r="E33">
        <v>2</v>
      </c>
      <c r="F33" s="6"/>
      <c r="I33" s="6" t="s">
        <v>295</v>
      </c>
      <c r="J33" s="6" t="s">
        <v>2346</v>
      </c>
      <c r="K33" t="s">
        <v>2302</v>
      </c>
      <c r="L33" t="s">
        <v>157</v>
      </c>
      <c r="P3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4" spans="1:16">
      <c r="A34" t="s">
        <v>2325</v>
      </c>
      <c r="B34" s="6" t="s">
        <v>2347</v>
      </c>
      <c r="C34" t="s">
        <v>2319</v>
      </c>
      <c r="D34" t="s">
        <v>44</v>
      </c>
      <c r="E34">
        <v>2</v>
      </c>
      <c r="F34" s="6"/>
      <c r="I34" s="6" t="s">
        <v>295</v>
      </c>
      <c r="J34" s="6" t="s">
        <v>2346</v>
      </c>
      <c r="K34" t="s">
        <v>2302</v>
      </c>
      <c r="L34" t="s">
        <v>157</v>
      </c>
      <c r="P3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5" spans="1:16">
      <c r="A35" t="s">
        <v>2325</v>
      </c>
      <c r="B35" s="6" t="s">
        <v>2348</v>
      </c>
      <c r="C35" t="s">
        <v>2319</v>
      </c>
      <c r="D35" t="s">
        <v>44</v>
      </c>
      <c r="E35">
        <v>2</v>
      </c>
      <c r="F35" s="6"/>
      <c r="I35" s="6" t="s">
        <v>295</v>
      </c>
      <c r="J35" s="6" t="s">
        <v>2349</v>
      </c>
      <c r="K35" t="s">
        <v>2302</v>
      </c>
      <c r="L35" t="s">
        <v>157</v>
      </c>
      <c r="P3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6" spans="1:16">
      <c r="A36" t="s">
        <v>2325</v>
      </c>
      <c r="B36" s="6" t="s">
        <v>2350</v>
      </c>
      <c r="C36" t="s">
        <v>2319</v>
      </c>
      <c r="D36" t="s">
        <v>44</v>
      </c>
      <c r="E36">
        <v>2</v>
      </c>
      <c r="F36" s="6"/>
      <c r="I36" s="6" t="s">
        <v>307</v>
      </c>
      <c r="J36" s="6" t="s">
        <v>2351</v>
      </c>
      <c r="K36" t="s">
        <v>2302</v>
      </c>
      <c r="L36" t="s">
        <v>157</v>
      </c>
      <c r="P3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7" spans="1:16">
      <c r="A37" t="s">
        <v>2325</v>
      </c>
      <c r="B37" s="6" t="s">
        <v>2352</v>
      </c>
      <c r="C37" t="s">
        <v>2319</v>
      </c>
      <c r="D37" t="s">
        <v>44</v>
      </c>
      <c r="E37">
        <v>2</v>
      </c>
      <c r="F37" s="6"/>
      <c r="I37" s="6" t="s">
        <v>307</v>
      </c>
      <c r="J37" s="6" t="s">
        <v>2351</v>
      </c>
      <c r="K37" t="s">
        <v>2302</v>
      </c>
      <c r="L37" t="s">
        <v>157</v>
      </c>
      <c r="P3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8" spans="1:16">
      <c r="A38" t="s">
        <v>2325</v>
      </c>
      <c r="B38" s="6" t="s">
        <v>2353</v>
      </c>
      <c r="C38" t="s">
        <v>2319</v>
      </c>
      <c r="D38" t="s">
        <v>44</v>
      </c>
      <c r="E38">
        <v>2</v>
      </c>
      <c r="F38" s="6"/>
      <c r="I38" s="6" t="s">
        <v>307</v>
      </c>
      <c r="J38" s="6" t="s">
        <v>2354</v>
      </c>
      <c r="K38" t="s">
        <v>2302</v>
      </c>
      <c r="L38" t="s">
        <v>157</v>
      </c>
      <c r="P3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9" spans="1:16">
      <c r="A39" t="s">
        <v>2325</v>
      </c>
      <c r="B39" s="6" t="s">
        <v>2355</v>
      </c>
      <c r="C39" t="s">
        <v>2319</v>
      </c>
      <c r="D39" t="s">
        <v>44</v>
      </c>
      <c r="E39">
        <v>2</v>
      </c>
      <c r="F39" s="6"/>
      <c r="I39" s="6" t="s">
        <v>311</v>
      </c>
      <c r="J39" s="6" t="s">
        <v>2356</v>
      </c>
      <c r="K39" t="s">
        <v>2302</v>
      </c>
      <c r="L39" t="s">
        <v>157</v>
      </c>
      <c r="P3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0" spans="1:16">
      <c r="A40" t="s">
        <v>2325</v>
      </c>
      <c r="B40" s="6" t="s">
        <v>2357</v>
      </c>
      <c r="C40" t="s">
        <v>2319</v>
      </c>
      <c r="D40" t="s">
        <v>44</v>
      </c>
      <c r="E40">
        <v>2</v>
      </c>
      <c r="F40" s="6"/>
      <c r="I40" s="6" t="s">
        <v>311</v>
      </c>
      <c r="J40" s="6" t="s">
        <v>2356</v>
      </c>
      <c r="K40" t="s">
        <v>2302</v>
      </c>
      <c r="L40" t="s">
        <v>157</v>
      </c>
      <c r="P4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1" spans="1:16">
      <c r="A41" t="s">
        <v>2325</v>
      </c>
      <c r="B41" s="6" t="s">
        <v>2358</v>
      </c>
      <c r="C41" t="s">
        <v>2319</v>
      </c>
      <c r="D41" t="s">
        <v>44</v>
      </c>
      <c r="E41">
        <v>2</v>
      </c>
      <c r="F41" s="6"/>
      <c r="I41" s="6" t="s">
        <v>311</v>
      </c>
      <c r="J41" s="6" t="s">
        <v>2359</v>
      </c>
      <c r="K41" t="s">
        <v>2302</v>
      </c>
      <c r="L41" t="s">
        <v>157</v>
      </c>
      <c r="P4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2" spans="1:16">
      <c r="A42" t="s">
        <v>2325</v>
      </c>
      <c r="B42" s="6" t="s">
        <v>2360</v>
      </c>
      <c r="C42" t="s">
        <v>2319</v>
      </c>
      <c r="D42" t="s">
        <v>44</v>
      </c>
      <c r="E42">
        <v>2</v>
      </c>
      <c r="F42" s="6"/>
      <c r="I42" s="6" t="s">
        <v>322</v>
      </c>
      <c r="J42" s="6" t="s">
        <v>2361</v>
      </c>
      <c r="K42" t="s">
        <v>2302</v>
      </c>
      <c r="L42" t="s">
        <v>157</v>
      </c>
      <c r="P4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3" spans="1:16">
      <c r="A43" t="s">
        <v>2325</v>
      </c>
      <c r="B43" s="6" t="s">
        <v>2362</v>
      </c>
      <c r="C43" t="s">
        <v>2319</v>
      </c>
      <c r="D43" t="s">
        <v>44</v>
      </c>
      <c r="E43">
        <v>2</v>
      </c>
      <c r="F43" s="6"/>
      <c r="I43" s="6" t="s">
        <v>322</v>
      </c>
      <c r="J43" s="6" t="s">
        <v>2361</v>
      </c>
      <c r="K43" t="s">
        <v>2302</v>
      </c>
      <c r="L43" t="s">
        <v>157</v>
      </c>
      <c r="P4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4" spans="1:16">
      <c r="A44" t="s">
        <v>2325</v>
      </c>
      <c r="B44" s="6" t="s">
        <v>2363</v>
      </c>
      <c r="C44" t="s">
        <v>2319</v>
      </c>
      <c r="D44" t="s">
        <v>44</v>
      </c>
      <c r="E44">
        <v>2</v>
      </c>
      <c r="F44" s="6"/>
      <c r="I44" s="6" t="s">
        <v>322</v>
      </c>
      <c r="J44" s="6" t="s">
        <v>2361</v>
      </c>
      <c r="K44" t="s">
        <v>2302</v>
      </c>
      <c r="L44" t="s">
        <v>157</v>
      </c>
      <c r="P4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5" spans="1:16">
      <c r="A45" t="s">
        <v>2325</v>
      </c>
      <c r="B45" s="6" t="s">
        <v>2364</v>
      </c>
      <c r="C45" t="s">
        <v>2319</v>
      </c>
      <c r="D45" t="s">
        <v>44</v>
      </c>
      <c r="E45">
        <v>2</v>
      </c>
      <c r="F45" s="6"/>
      <c r="I45" s="6" t="s">
        <v>322</v>
      </c>
      <c r="J45" s="6" t="s">
        <v>2365</v>
      </c>
      <c r="K45" t="s">
        <v>2302</v>
      </c>
      <c r="L45" t="s">
        <v>157</v>
      </c>
      <c r="P4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6" spans="1:16">
      <c r="A46" t="s">
        <v>2325</v>
      </c>
      <c r="B46" s="6" t="s">
        <v>2366</v>
      </c>
      <c r="C46" t="s">
        <v>2319</v>
      </c>
      <c r="D46" t="s">
        <v>44</v>
      </c>
      <c r="E46">
        <v>2</v>
      </c>
      <c r="F46" s="6"/>
      <c r="I46" s="6" t="s">
        <v>337</v>
      </c>
      <c r="J46" s="6" t="s">
        <v>2337</v>
      </c>
      <c r="K46" t="s">
        <v>2302</v>
      </c>
      <c r="L46" t="s">
        <v>157</v>
      </c>
      <c r="P4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7" spans="1:16">
      <c r="A47" t="s">
        <v>2325</v>
      </c>
      <c r="B47" s="6" t="s">
        <v>2367</v>
      </c>
      <c r="C47" t="s">
        <v>2319</v>
      </c>
      <c r="D47" t="s">
        <v>44</v>
      </c>
      <c r="E47">
        <v>2</v>
      </c>
      <c r="F47" s="6"/>
      <c r="I47" s="6" t="s">
        <v>430</v>
      </c>
      <c r="J47" s="6" t="s">
        <v>2368</v>
      </c>
      <c r="K47" t="s">
        <v>2302</v>
      </c>
      <c r="L47" t="s">
        <v>157</v>
      </c>
      <c r="P4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8" spans="1:16">
      <c r="A48" t="s">
        <v>2325</v>
      </c>
      <c r="B48" s="6" t="s">
        <v>2369</v>
      </c>
      <c r="C48" t="s">
        <v>2319</v>
      </c>
      <c r="D48" t="s">
        <v>44</v>
      </c>
      <c r="E48">
        <v>2</v>
      </c>
      <c r="F48" s="6"/>
      <c r="I48" s="6" t="s">
        <v>506</v>
      </c>
      <c r="J48" s="6" t="s">
        <v>2370</v>
      </c>
      <c r="K48" t="s">
        <v>2302</v>
      </c>
      <c r="L48" t="s">
        <v>157</v>
      </c>
      <c r="P4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9" spans="1:16">
      <c r="A49" t="s">
        <v>2325</v>
      </c>
      <c r="B49" s="6" t="s">
        <v>2371</v>
      </c>
      <c r="C49" t="s">
        <v>2319</v>
      </c>
      <c r="D49" t="s">
        <v>44</v>
      </c>
      <c r="E49">
        <v>2</v>
      </c>
      <c r="F49" s="6"/>
      <c r="I49" s="6" t="s">
        <v>515</v>
      </c>
      <c r="J49" s="6" t="s">
        <v>2372</v>
      </c>
      <c r="K49" t="s">
        <v>2302</v>
      </c>
      <c r="L49" t="s">
        <v>157</v>
      </c>
      <c r="P4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50" spans="1:16">
      <c r="A50" t="s">
        <v>2325</v>
      </c>
      <c r="B50" s="6" t="s">
        <v>2373</v>
      </c>
      <c r="C50" t="s">
        <v>2319</v>
      </c>
      <c r="D50" t="s">
        <v>44</v>
      </c>
      <c r="E50">
        <v>2</v>
      </c>
      <c r="F50" s="6"/>
      <c r="I50" s="6" t="s">
        <v>515</v>
      </c>
      <c r="J50" s="6" t="s">
        <v>2372</v>
      </c>
      <c r="K50" t="s">
        <v>2302</v>
      </c>
      <c r="L50" t="s">
        <v>157</v>
      </c>
      <c r="P5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51" spans="1:16">
      <c r="A51" t="s">
        <v>2325</v>
      </c>
      <c r="B51" s="6" t="s">
        <v>2374</v>
      </c>
      <c r="C51" t="s">
        <v>2319</v>
      </c>
      <c r="D51" t="s">
        <v>44</v>
      </c>
      <c r="E51">
        <v>2</v>
      </c>
      <c r="F51" s="6"/>
      <c r="I51" s="6" t="s">
        <v>515</v>
      </c>
      <c r="J51" s="6" t="s">
        <v>2375</v>
      </c>
      <c r="K51" t="s">
        <v>2302</v>
      </c>
      <c r="L51" t="s">
        <v>157</v>
      </c>
      <c r="P5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52" spans="1:16">
      <c r="A52" t="s">
        <v>2325</v>
      </c>
      <c r="B52" s="6" t="s">
        <v>2376</v>
      </c>
      <c r="C52" t="s">
        <v>2319</v>
      </c>
      <c r="D52" t="s">
        <v>44</v>
      </c>
      <c r="E52">
        <v>2</v>
      </c>
      <c r="F52" s="6"/>
      <c r="I52" s="6" t="s">
        <v>532</v>
      </c>
      <c r="J52" s="6" t="s">
        <v>2368</v>
      </c>
      <c r="K52" t="s">
        <v>2302</v>
      </c>
      <c r="L52" t="s">
        <v>157</v>
      </c>
      <c r="P5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53" spans="1:16">
      <c r="A53" t="s">
        <v>2325</v>
      </c>
      <c r="B53" s="6" t="s">
        <v>2377</v>
      </c>
      <c r="C53" t="s">
        <v>2319</v>
      </c>
      <c r="D53" t="s">
        <v>44</v>
      </c>
      <c r="E53">
        <v>2</v>
      </c>
      <c r="F53" s="6"/>
      <c r="I53" s="6" t="s">
        <v>545</v>
      </c>
      <c r="J53" s="6" t="s">
        <v>2378</v>
      </c>
      <c r="K53" t="s">
        <v>2302</v>
      </c>
      <c r="L53" t="s">
        <v>157</v>
      </c>
      <c r="P5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54" spans="1:16">
      <c r="A54" t="s">
        <v>2325</v>
      </c>
      <c r="B54" s="6" t="s">
        <v>2379</v>
      </c>
      <c r="C54" t="s">
        <v>2319</v>
      </c>
      <c r="D54" t="s">
        <v>44</v>
      </c>
      <c r="E54">
        <v>2</v>
      </c>
      <c r="F54" s="6"/>
      <c r="I54" s="6" t="s">
        <v>554</v>
      </c>
      <c r="J54" s="6" t="s">
        <v>2359</v>
      </c>
      <c r="K54" t="s">
        <v>2302</v>
      </c>
      <c r="L54" t="s">
        <v>157</v>
      </c>
      <c r="P5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55" spans="1:16">
      <c r="A55" t="s">
        <v>2325</v>
      </c>
      <c r="B55" s="6" t="s">
        <v>2380</v>
      </c>
      <c r="C55" t="s">
        <v>2319</v>
      </c>
      <c r="D55" t="s">
        <v>44</v>
      </c>
      <c r="E55">
        <v>2</v>
      </c>
      <c r="F55" s="6"/>
      <c r="I55" s="6" t="s">
        <v>557</v>
      </c>
      <c r="J55" s="6" t="s">
        <v>2381</v>
      </c>
      <c r="K55" t="s">
        <v>2302</v>
      </c>
      <c r="L55" t="s">
        <v>157</v>
      </c>
      <c r="P5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56" spans="1:16">
      <c r="A56" t="s">
        <v>2325</v>
      </c>
      <c r="B56" s="6" t="s">
        <v>2382</v>
      </c>
      <c r="C56" t="s">
        <v>2319</v>
      </c>
      <c r="D56" t="s">
        <v>44</v>
      </c>
      <c r="E56">
        <v>2</v>
      </c>
      <c r="F56" s="6"/>
      <c r="I56" s="6" t="s">
        <v>557</v>
      </c>
      <c r="J56" s="6" t="s">
        <v>2361</v>
      </c>
      <c r="K56" t="s">
        <v>2302</v>
      </c>
      <c r="L56" t="s">
        <v>157</v>
      </c>
      <c r="P5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57" spans="1:16">
      <c r="A57" t="s">
        <v>2325</v>
      </c>
      <c r="B57" s="6" t="s">
        <v>2383</v>
      </c>
      <c r="C57" t="s">
        <v>2319</v>
      </c>
      <c r="D57" t="s">
        <v>44</v>
      </c>
      <c r="E57">
        <v>2</v>
      </c>
      <c r="F57" s="6"/>
      <c r="I57" s="6" t="s">
        <v>557</v>
      </c>
      <c r="J57" s="6" t="s">
        <v>2361</v>
      </c>
      <c r="K57" t="s">
        <v>2302</v>
      </c>
      <c r="L57" t="s">
        <v>157</v>
      </c>
      <c r="P5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58" spans="1:16">
      <c r="A58" t="s">
        <v>2325</v>
      </c>
      <c r="B58" s="6" t="s">
        <v>2384</v>
      </c>
      <c r="C58" t="s">
        <v>2319</v>
      </c>
      <c r="D58" t="s">
        <v>44</v>
      </c>
      <c r="E58">
        <v>2</v>
      </c>
      <c r="F58" s="6"/>
      <c r="I58" s="6" t="s">
        <v>557</v>
      </c>
      <c r="J58" s="6" t="s">
        <v>2361</v>
      </c>
      <c r="K58" t="s">
        <v>2302</v>
      </c>
      <c r="L58" t="s">
        <v>157</v>
      </c>
      <c r="P5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59" spans="1:16">
      <c r="A59" t="s">
        <v>2325</v>
      </c>
      <c r="B59" s="6" t="s">
        <v>2385</v>
      </c>
      <c r="C59" t="s">
        <v>2319</v>
      </c>
      <c r="D59" t="s">
        <v>44</v>
      </c>
      <c r="E59">
        <v>2</v>
      </c>
      <c r="F59" s="6"/>
      <c r="I59" s="6" t="s">
        <v>557</v>
      </c>
      <c r="J59" s="6" t="s">
        <v>2365</v>
      </c>
      <c r="K59" t="s">
        <v>2302</v>
      </c>
      <c r="L59" t="s">
        <v>157</v>
      </c>
      <c r="P5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60" spans="1:16">
      <c r="A60" t="s">
        <v>2325</v>
      </c>
      <c r="B60" s="6" t="s">
        <v>2386</v>
      </c>
      <c r="C60" t="s">
        <v>2319</v>
      </c>
      <c r="D60" t="s">
        <v>44</v>
      </c>
      <c r="E60">
        <v>2</v>
      </c>
      <c r="F60" s="6"/>
      <c r="I60" s="6" t="s">
        <v>558</v>
      </c>
      <c r="J60" s="6" t="s">
        <v>2387</v>
      </c>
      <c r="K60" t="s">
        <v>2302</v>
      </c>
      <c r="L60" t="s">
        <v>157</v>
      </c>
      <c r="P6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61" spans="1:16">
      <c r="A61" t="s">
        <v>2325</v>
      </c>
      <c r="B61" s="6" t="s">
        <v>2388</v>
      </c>
      <c r="C61" t="s">
        <v>2319</v>
      </c>
      <c r="D61" t="s">
        <v>44</v>
      </c>
      <c r="E61">
        <v>2</v>
      </c>
      <c r="F61" s="6"/>
      <c r="I61" s="6" t="s">
        <v>572</v>
      </c>
      <c r="J61" s="6" t="s">
        <v>2349</v>
      </c>
      <c r="K61" t="s">
        <v>2302</v>
      </c>
      <c r="L61" t="s">
        <v>157</v>
      </c>
      <c r="P6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62" spans="1:16">
      <c r="A62" t="s">
        <v>2325</v>
      </c>
      <c r="B62" s="6" t="s">
        <v>2389</v>
      </c>
      <c r="C62" t="s">
        <v>2319</v>
      </c>
      <c r="D62" t="s">
        <v>44</v>
      </c>
      <c r="E62">
        <v>2</v>
      </c>
      <c r="F62" s="6"/>
      <c r="I62" s="6" t="s">
        <v>581</v>
      </c>
      <c r="J62" s="6" t="s">
        <v>2337</v>
      </c>
      <c r="K62" t="s">
        <v>2302</v>
      </c>
      <c r="L62" t="s">
        <v>157</v>
      </c>
      <c r="P6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63" spans="1:16">
      <c r="A63" t="s">
        <v>2325</v>
      </c>
      <c r="B63" s="6" t="s">
        <v>2390</v>
      </c>
      <c r="C63" t="s">
        <v>2319</v>
      </c>
      <c r="D63" t="s">
        <v>44</v>
      </c>
      <c r="E63">
        <v>2</v>
      </c>
      <c r="F63" s="6"/>
      <c r="I63" s="6" t="s">
        <v>583</v>
      </c>
      <c r="J63" s="6" t="s">
        <v>2339</v>
      </c>
      <c r="K63" t="s">
        <v>2302</v>
      </c>
      <c r="L63" t="s">
        <v>157</v>
      </c>
      <c r="P6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64" spans="1:16">
      <c r="A64" t="s">
        <v>2325</v>
      </c>
      <c r="B64" s="6" t="s">
        <v>2391</v>
      </c>
      <c r="C64" t="s">
        <v>2319</v>
      </c>
      <c r="D64" t="s">
        <v>44</v>
      </c>
      <c r="E64">
        <v>2</v>
      </c>
      <c r="F64" s="6"/>
      <c r="I64" s="6" t="s">
        <v>583</v>
      </c>
      <c r="J64" s="6" t="s">
        <v>2339</v>
      </c>
      <c r="K64" t="s">
        <v>2302</v>
      </c>
      <c r="L64" t="s">
        <v>157</v>
      </c>
      <c r="P6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65" spans="1:16">
      <c r="A65" t="s">
        <v>2325</v>
      </c>
      <c r="B65" s="6" t="s">
        <v>2392</v>
      </c>
      <c r="C65" t="s">
        <v>2319</v>
      </c>
      <c r="D65" t="s">
        <v>44</v>
      </c>
      <c r="E65">
        <v>2</v>
      </c>
      <c r="F65" s="6"/>
      <c r="I65" s="6" t="s">
        <v>583</v>
      </c>
      <c r="J65" s="6" t="s">
        <v>2342</v>
      </c>
      <c r="K65" t="s">
        <v>2302</v>
      </c>
      <c r="L65" t="s">
        <v>157</v>
      </c>
      <c r="P6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66" spans="1:16">
      <c r="A66" t="s">
        <v>2325</v>
      </c>
      <c r="B66" s="6" t="s">
        <v>2393</v>
      </c>
      <c r="C66" t="s">
        <v>2319</v>
      </c>
      <c r="D66" t="s">
        <v>44</v>
      </c>
      <c r="E66">
        <v>2</v>
      </c>
      <c r="F66" s="6"/>
      <c r="I66" s="6" t="s">
        <v>589</v>
      </c>
      <c r="J66" s="6" t="s">
        <v>2327</v>
      </c>
      <c r="K66" t="s">
        <v>2302</v>
      </c>
      <c r="L66" t="s">
        <v>157</v>
      </c>
      <c r="P6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67" spans="1:16">
      <c r="A67" t="s">
        <v>2325</v>
      </c>
      <c r="B67" s="6" t="s">
        <v>2394</v>
      </c>
      <c r="C67" t="s">
        <v>2319</v>
      </c>
      <c r="D67" t="s">
        <v>44</v>
      </c>
      <c r="E67">
        <v>2</v>
      </c>
      <c r="F67" s="6"/>
      <c r="I67" s="6" t="s">
        <v>635</v>
      </c>
      <c r="J67" s="6" t="s">
        <v>2344</v>
      </c>
      <c r="K67" t="s">
        <v>2302</v>
      </c>
      <c r="L67" t="s">
        <v>157</v>
      </c>
      <c r="P6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68" spans="1:16">
      <c r="A68" t="s">
        <v>2325</v>
      </c>
      <c r="B68" s="6" t="s">
        <v>2395</v>
      </c>
      <c r="C68" t="s">
        <v>2319</v>
      </c>
      <c r="D68" t="s">
        <v>44</v>
      </c>
      <c r="E68">
        <v>2</v>
      </c>
      <c r="F68" s="6"/>
      <c r="I68" s="6" t="s">
        <v>638</v>
      </c>
      <c r="J68" s="6" t="s">
        <v>2396</v>
      </c>
      <c r="K68" t="s">
        <v>2302</v>
      </c>
      <c r="L68" t="s">
        <v>157</v>
      </c>
      <c r="P6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69" spans="1:16">
      <c r="A69" t="s">
        <v>2325</v>
      </c>
      <c r="B69" s="6" t="s">
        <v>2397</v>
      </c>
      <c r="C69" t="s">
        <v>2319</v>
      </c>
      <c r="D69" t="s">
        <v>44</v>
      </c>
      <c r="E69">
        <v>2</v>
      </c>
      <c r="F69" s="6"/>
      <c r="I69" s="6" t="s">
        <v>638</v>
      </c>
      <c r="J69" s="6" t="s">
        <v>2398</v>
      </c>
      <c r="K69" t="s">
        <v>2302</v>
      </c>
      <c r="L69" t="s">
        <v>157</v>
      </c>
      <c r="P6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70" spans="1:16">
      <c r="A70" t="s">
        <v>2325</v>
      </c>
      <c r="B70" s="6" t="s">
        <v>2399</v>
      </c>
      <c r="C70" t="s">
        <v>2319</v>
      </c>
      <c r="D70" t="s">
        <v>44</v>
      </c>
      <c r="E70">
        <v>2</v>
      </c>
      <c r="F70" s="6"/>
      <c r="I70" s="6" t="s">
        <v>638</v>
      </c>
      <c r="J70" s="6" t="s">
        <v>2398</v>
      </c>
      <c r="K70" t="s">
        <v>2302</v>
      </c>
      <c r="L70" t="s">
        <v>157</v>
      </c>
      <c r="P7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71" spans="1:16">
      <c r="A71" t="s">
        <v>2325</v>
      </c>
      <c r="B71" s="6" t="s">
        <v>2400</v>
      </c>
      <c r="C71" t="s">
        <v>2319</v>
      </c>
      <c r="D71" t="s">
        <v>44</v>
      </c>
      <c r="E71">
        <v>2</v>
      </c>
      <c r="F71" s="6"/>
      <c r="I71" s="6" t="s">
        <v>638</v>
      </c>
      <c r="J71" s="6" t="s">
        <v>2401</v>
      </c>
      <c r="K71" t="s">
        <v>2302</v>
      </c>
      <c r="L71" t="s">
        <v>157</v>
      </c>
      <c r="P7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72" spans="1:16">
      <c r="A72" t="s">
        <v>2325</v>
      </c>
      <c r="B72" s="6" t="s">
        <v>2402</v>
      </c>
      <c r="C72" t="s">
        <v>2319</v>
      </c>
      <c r="D72" t="s">
        <v>44</v>
      </c>
      <c r="E72">
        <v>2</v>
      </c>
      <c r="F72" s="6"/>
      <c r="I72" s="6" t="s">
        <v>641</v>
      </c>
      <c r="J72" s="6" t="s">
        <v>2403</v>
      </c>
      <c r="K72" t="s">
        <v>2302</v>
      </c>
      <c r="L72" t="s">
        <v>157</v>
      </c>
      <c r="P7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73" spans="1:16">
      <c r="A73" t="s">
        <v>2325</v>
      </c>
      <c r="B73" s="6" t="s">
        <v>2404</v>
      </c>
      <c r="C73" t="s">
        <v>2319</v>
      </c>
      <c r="D73" t="s">
        <v>44</v>
      </c>
      <c r="E73">
        <v>2</v>
      </c>
      <c r="F73" s="6"/>
      <c r="I73" s="6" t="s">
        <v>641</v>
      </c>
      <c r="J73" s="6" t="s">
        <v>2405</v>
      </c>
      <c r="K73" t="s">
        <v>2302</v>
      </c>
      <c r="L73" t="s">
        <v>157</v>
      </c>
      <c r="P7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74" spans="1:16">
      <c r="A74" t="s">
        <v>2325</v>
      </c>
      <c r="B74" s="6" t="s">
        <v>2406</v>
      </c>
      <c r="C74" t="s">
        <v>2319</v>
      </c>
      <c r="D74" t="s">
        <v>44</v>
      </c>
      <c r="E74">
        <v>2</v>
      </c>
      <c r="F74" s="6"/>
      <c r="I74" s="6" t="s">
        <v>641</v>
      </c>
      <c r="J74" s="6" t="s">
        <v>2405</v>
      </c>
      <c r="K74" t="s">
        <v>2302</v>
      </c>
      <c r="L74" t="s">
        <v>157</v>
      </c>
      <c r="P7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75" spans="1:16">
      <c r="A75" t="s">
        <v>2325</v>
      </c>
      <c r="B75" s="6" t="s">
        <v>2407</v>
      </c>
      <c r="C75" t="s">
        <v>2319</v>
      </c>
      <c r="D75" t="s">
        <v>44</v>
      </c>
      <c r="E75">
        <v>2</v>
      </c>
      <c r="F75" s="6"/>
      <c r="I75" s="6" t="s">
        <v>641</v>
      </c>
      <c r="J75" s="6" t="s">
        <v>2408</v>
      </c>
      <c r="K75" t="s">
        <v>2302</v>
      </c>
      <c r="L75" t="s">
        <v>157</v>
      </c>
      <c r="P7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76" spans="1:16">
      <c r="A76" t="s">
        <v>2325</v>
      </c>
      <c r="B76" s="6" t="s">
        <v>2409</v>
      </c>
      <c r="C76" t="s">
        <v>2319</v>
      </c>
      <c r="D76" t="s">
        <v>44</v>
      </c>
      <c r="E76">
        <v>2</v>
      </c>
      <c r="F76" s="6"/>
      <c r="I76" s="6" t="s">
        <v>677</v>
      </c>
      <c r="J76" s="6" t="s">
        <v>2410</v>
      </c>
      <c r="K76" t="s">
        <v>2302</v>
      </c>
      <c r="L76" t="s">
        <v>157</v>
      </c>
      <c r="P7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77" spans="1:16">
      <c r="A77" t="s">
        <v>2325</v>
      </c>
      <c r="B77" s="6" t="s">
        <v>2411</v>
      </c>
      <c r="C77" t="s">
        <v>2319</v>
      </c>
      <c r="D77" t="s">
        <v>44</v>
      </c>
      <c r="E77">
        <v>2</v>
      </c>
      <c r="F77" s="6"/>
      <c r="I77" s="6" t="s">
        <v>712</v>
      </c>
      <c r="J77" s="6" t="s">
        <v>2329</v>
      </c>
      <c r="K77" t="s">
        <v>2302</v>
      </c>
      <c r="L77" t="s">
        <v>157</v>
      </c>
      <c r="P7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78" spans="1:16">
      <c r="A78" t="s">
        <v>2325</v>
      </c>
      <c r="B78" s="6" t="s">
        <v>2412</v>
      </c>
      <c r="C78" t="s">
        <v>2319</v>
      </c>
      <c r="D78" t="s">
        <v>44</v>
      </c>
      <c r="E78">
        <v>2</v>
      </c>
      <c r="F78" s="6"/>
      <c r="I78" s="6" t="s">
        <v>794</v>
      </c>
      <c r="J78" s="6" t="s">
        <v>2368</v>
      </c>
      <c r="K78" t="s">
        <v>2302</v>
      </c>
      <c r="L78" t="s">
        <v>157</v>
      </c>
      <c r="P7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79" spans="1:16">
      <c r="A79" t="s">
        <v>2325</v>
      </c>
      <c r="B79" s="6" t="s">
        <v>2413</v>
      </c>
      <c r="C79" t="s">
        <v>2319</v>
      </c>
      <c r="D79" t="s">
        <v>44</v>
      </c>
      <c r="E79">
        <v>2</v>
      </c>
      <c r="F79" s="6"/>
      <c r="I79" s="6" t="s">
        <v>854</v>
      </c>
      <c r="J79" s="6" t="s">
        <v>2414</v>
      </c>
      <c r="K79" t="s">
        <v>2302</v>
      </c>
      <c r="L79" t="s">
        <v>157</v>
      </c>
      <c r="P7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80" spans="1:16">
      <c r="A80" t="s">
        <v>2325</v>
      </c>
      <c r="B80" s="6" t="s">
        <v>2415</v>
      </c>
      <c r="C80" t="s">
        <v>2319</v>
      </c>
      <c r="D80" t="s">
        <v>44</v>
      </c>
      <c r="E80">
        <v>2</v>
      </c>
      <c r="F80" s="6"/>
      <c r="I80" s="6" t="s">
        <v>918</v>
      </c>
      <c r="J80" s="6" t="s">
        <v>2416</v>
      </c>
      <c r="K80" t="s">
        <v>2302</v>
      </c>
      <c r="L80" t="s">
        <v>157</v>
      </c>
      <c r="P8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81" spans="1:16">
      <c r="A81" t="s">
        <v>2325</v>
      </c>
      <c r="B81" s="6" t="s">
        <v>2417</v>
      </c>
      <c r="C81" t="s">
        <v>2319</v>
      </c>
      <c r="D81" t="s">
        <v>44</v>
      </c>
      <c r="E81">
        <v>2</v>
      </c>
      <c r="F81" s="6"/>
      <c r="I81" s="6" t="s">
        <v>968</v>
      </c>
      <c r="J81" s="6" t="s">
        <v>2418</v>
      </c>
      <c r="K81" t="s">
        <v>2302</v>
      </c>
      <c r="L81" t="s">
        <v>157</v>
      </c>
      <c r="P8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82" spans="1:16">
      <c r="A82" t="s">
        <v>2325</v>
      </c>
      <c r="B82" s="6" t="s">
        <v>2419</v>
      </c>
      <c r="C82" t="s">
        <v>2319</v>
      </c>
      <c r="D82" t="s">
        <v>44</v>
      </c>
      <c r="E82">
        <v>2</v>
      </c>
      <c r="F82" s="6"/>
      <c r="I82" s="6" t="s">
        <v>968</v>
      </c>
      <c r="J82" s="6" t="s">
        <v>2420</v>
      </c>
      <c r="K82" t="s">
        <v>2302</v>
      </c>
      <c r="L82" t="s">
        <v>157</v>
      </c>
      <c r="P8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83" spans="1:16">
      <c r="A83" t="s">
        <v>2325</v>
      </c>
      <c r="B83" s="6" t="s">
        <v>2421</v>
      </c>
      <c r="C83" t="s">
        <v>2319</v>
      </c>
      <c r="D83" t="s">
        <v>44</v>
      </c>
      <c r="E83">
        <v>2</v>
      </c>
      <c r="F83" s="6"/>
      <c r="I83" s="6" t="s">
        <v>1003</v>
      </c>
      <c r="J83" s="6" t="s">
        <v>2422</v>
      </c>
      <c r="K83" t="s">
        <v>2302</v>
      </c>
      <c r="L83" t="s">
        <v>157</v>
      </c>
      <c r="P8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84" spans="1:16">
      <c r="A84" t="s">
        <v>2325</v>
      </c>
      <c r="B84" s="6" t="s">
        <v>2423</v>
      </c>
      <c r="C84" t="s">
        <v>2319</v>
      </c>
      <c r="D84" t="s">
        <v>44</v>
      </c>
      <c r="E84">
        <v>2</v>
      </c>
      <c r="F84" s="6"/>
      <c r="I84" s="6" t="s">
        <v>1003</v>
      </c>
      <c r="J84" s="6" t="s">
        <v>2422</v>
      </c>
      <c r="K84" t="s">
        <v>2302</v>
      </c>
      <c r="L84" t="s">
        <v>157</v>
      </c>
      <c r="P8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85" spans="1:16">
      <c r="A85" t="s">
        <v>2325</v>
      </c>
      <c r="B85" s="6" t="s">
        <v>2424</v>
      </c>
      <c r="C85" t="s">
        <v>2319</v>
      </c>
      <c r="D85" t="s">
        <v>44</v>
      </c>
      <c r="E85">
        <v>2</v>
      </c>
      <c r="F85" s="6"/>
      <c r="I85" s="6" t="s">
        <v>1003</v>
      </c>
      <c r="J85" s="6" t="s">
        <v>2422</v>
      </c>
      <c r="K85" t="s">
        <v>2302</v>
      </c>
      <c r="L85" t="s">
        <v>157</v>
      </c>
      <c r="P8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86" spans="1:16">
      <c r="A86" t="s">
        <v>2325</v>
      </c>
      <c r="B86" s="6" t="s">
        <v>2425</v>
      </c>
      <c r="C86" t="s">
        <v>2319</v>
      </c>
      <c r="D86" t="s">
        <v>44</v>
      </c>
      <c r="E86">
        <v>2</v>
      </c>
      <c r="F86" s="6"/>
      <c r="I86" s="6" t="s">
        <v>1003</v>
      </c>
      <c r="J86" s="6" t="s">
        <v>2422</v>
      </c>
      <c r="K86" t="s">
        <v>2302</v>
      </c>
      <c r="L86" t="s">
        <v>157</v>
      </c>
      <c r="P8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87" spans="1:16">
      <c r="A87" t="s">
        <v>2325</v>
      </c>
      <c r="B87" s="6" t="s">
        <v>2426</v>
      </c>
      <c r="C87" t="s">
        <v>2319</v>
      </c>
      <c r="D87" t="s">
        <v>44</v>
      </c>
      <c r="E87">
        <v>2</v>
      </c>
      <c r="F87" s="6"/>
      <c r="I87" s="6" t="s">
        <v>1003</v>
      </c>
      <c r="J87" s="6" t="s">
        <v>2422</v>
      </c>
      <c r="K87" t="s">
        <v>2302</v>
      </c>
      <c r="L87" t="s">
        <v>157</v>
      </c>
      <c r="P8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88" spans="1:16">
      <c r="A88" t="s">
        <v>2325</v>
      </c>
      <c r="B88" s="6" t="s">
        <v>2427</v>
      </c>
      <c r="C88" t="s">
        <v>2319</v>
      </c>
      <c r="D88" t="s">
        <v>44</v>
      </c>
      <c r="E88">
        <v>2</v>
      </c>
      <c r="F88" s="6"/>
      <c r="I88" s="6" t="s">
        <v>1047</v>
      </c>
      <c r="J88" s="6" t="s">
        <v>2428</v>
      </c>
      <c r="K88" t="s">
        <v>2302</v>
      </c>
      <c r="L88" t="s">
        <v>157</v>
      </c>
      <c r="P8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89" spans="1:16">
      <c r="A89" t="s">
        <v>2325</v>
      </c>
      <c r="B89" s="6" t="s">
        <v>2429</v>
      </c>
      <c r="C89" t="s">
        <v>2319</v>
      </c>
      <c r="D89" t="s">
        <v>44</v>
      </c>
      <c r="E89">
        <v>2</v>
      </c>
      <c r="F89" s="6"/>
      <c r="I89" s="6" t="s">
        <v>1056</v>
      </c>
      <c r="J89" s="6" t="s">
        <v>2430</v>
      </c>
      <c r="K89" t="s">
        <v>2302</v>
      </c>
      <c r="L89" t="s">
        <v>157</v>
      </c>
      <c r="P8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90" spans="1:16">
      <c r="A90" t="s">
        <v>2325</v>
      </c>
      <c r="B90" s="6" t="s">
        <v>2431</v>
      </c>
      <c r="C90" t="s">
        <v>2319</v>
      </c>
      <c r="D90" t="s">
        <v>44</v>
      </c>
      <c r="E90">
        <v>2</v>
      </c>
      <c r="F90" s="6"/>
      <c r="I90" s="6" t="s">
        <v>1072</v>
      </c>
      <c r="J90" s="6" t="s">
        <v>2356</v>
      </c>
      <c r="K90" t="s">
        <v>2302</v>
      </c>
      <c r="L90" t="s">
        <v>157</v>
      </c>
      <c r="P9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91" spans="1:16">
      <c r="A91" t="s">
        <v>2325</v>
      </c>
      <c r="B91" s="6" t="s">
        <v>2432</v>
      </c>
      <c r="C91" t="s">
        <v>2319</v>
      </c>
      <c r="D91" t="s">
        <v>44</v>
      </c>
      <c r="E91">
        <v>2</v>
      </c>
      <c r="F91" s="6"/>
      <c r="I91" s="6" t="s">
        <v>1072</v>
      </c>
      <c r="J91" s="6" t="s">
        <v>2359</v>
      </c>
      <c r="K91" t="s">
        <v>2302</v>
      </c>
      <c r="L91" t="s">
        <v>157</v>
      </c>
      <c r="P9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92" spans="1:16">
      <c r="A92" t="s">
        <v>2325</v>
      </c>
      <c r="B92" s="6" t="s">
        <v>2433</v>
      </c>
      <c r="C92" t="s">
        <v>2319</v>
      </c>
      <c r="D92" t="s">
        <v>44</v>
      </c>
      <c r="E92">
        <v>2</v>
      </c>
      <c r="F92" s="6"/>
      <c r="I92" s="6" t="s">
        <v>1102</v>
      </c>
      <c r="J92" s="6" t="s">
        <v>2434</v>
      </c>
      <c r="K92" t="s">
        <v>2302</v>
      </c>
      <c r="L92" t="s">
        <v>157</v>
      </c>
      <c r="P9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93" spans="1:16">
      <c r="A93" t="s">
        <v>2325</v>
      </c>
      <c r="B93" s="6" t="s">
        <v>2435</v>
      </c>
      <c r="C93" t="s">
        <v>2319</v>
      </c>
      <c r="D93" t="s">
        <v>44</v>
      </c>
      <c r="E93">
        <v>2</v>
      </c>
      <c r="F93" s="6"/>
      <c r="I93" s="6" t="s">
        <v>1125</v>
      </c>
      <c r="J93" s="6" t="s">
        <v>2349</v>
      </c>
      <c r="K93" t="s">
        <v>2302</v>
      </c>
      <c r="L93" t="s">
        <v>157</v>
      </c>
      <c r="P9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94" spans="1:16">
      <c r="A94" t="s">
        <v>2325</v>
      </c>
      <c r="B94" s="6" t="s">
        <v>2436</v>
      </c>
      <c r="C94" t="s">
        <v>2319</v>
      </c>
      <c r="D94" t="s">
        <v>44</v>
      </c>
      <c r="E94">
        <v>2</v>
      </c>
      <c r="F94" s="6"/>
      <c r="I94" s="6" t="s">
        <v>1133</v>
      </c>
      <c r="J94" s="6" t="s">
        <v>2329</v>
      </c>
      <c r="K94" t="s">
        <v>2302</v>
      </c>
      <c r="L94" t="s">
        <v>157</v>
      </c>
      <c r="P9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95" spans="1:16">
      <c r="A95" t="s">
        <v>2325</v>
      </c>
      <c r="B95" s="6" t="s">
        <v>2437</v>
      </c>
      <c r="C95" t="s">
        <v>2319</v>
      </c>
      <c r="D95" t="s">
        <v>44</v>
      </c>
      <c r="E95">
        <v>2</v>
      </c>
      <c r="F95" s="6"/>
      <c r="I95" s="6" t="s">
        <v>1171</v>
      </c>
      <c r="J95" s="6" t="s">
        <v>2378</v>
      </c>
      <c r="K95" t="s">
        <v>2302</v>
      </c>
      <c r="L95" t="s">
        <v>157</v>
      </c>
      <c r="P9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96" spans="1:16">
      <c r="A96" t="s">
        <v>2325</v>
      </c>
      <c r="B96" s="6" t="s">
        <v>2438</v>
      </c>
      <c r="C96" t="s">
        <v>2319</v>
      </c>
      <c r="D96" t="s">
        <v>44</v>
      </c>
      <c r="E96">
        <v>2</v>
      </c>
      <c r="F96" s="6"/>
      <c r="I96" s="6" t="s">
        <v>1176</v>
      </c>
      <c r="J96" s="6" t="s">
        <v>2344</v>
      </c>
      <c r="K96" t="s">
        <v>2302</v>
      </c>
      <c r="L96" t="s">
        <v>157</v>
      </c>
      <c r="P9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97" spans="1:16">
      <c r="A97" t="s">
        <v>2325</v>
      </c>
      <c r="B97" s="6" t="s">
        <v>2439</v>
      </c>
      <c r="C97" t="s">
        <v>2319</v>
      </c>
      <c r="D97" t="s">
        <v>44</v>
      </c>
      <c r="E97">
        <v>2</v>
      </c>
      <c r="F97" s="6"/>
      <c r="I97" s="6" t="s">
        <v>1208</v>
      </c>
      <c r="J97" s="6" t="s">
        <v>2370</v>
      </c>
      <c r="K97" t="s">
        <v>2302</v>
      </c>
      <c r="L97" t="s">
        <v>157</v>
      </c>
      <c r="P9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98" spans="1:16">
      <c r="A98" t="s">
        <v>2325</v>
      </c>
      <c r="B98" s="6" t="s">
        <v>2440</v>
      </c>
      <c r="C98" t="s">
        <v>2319</v>
      </c>
      <c r="D98" t="s">
        <v>44</v>
      </c>
      <c r="E98">
        <v>2</v>
      </c>
      <c r="F98" s="6"/>
      <c r="I98" s="6" t="s">
        <v>1219</v>
      </c>
      <c r="J98" s="6" t="s">
        <v>2368</v>
      </c>
      <c r="K98" t="s">
        <v>2302</v>
      </c>
      <c r="L98" t="s">
        <v>157</v>
      </c>
      <c r="P9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99" spans="1:16">
      <c r="A99" t="s">
        <v>2325</v>
      </c>
      <c r="B99" s="6" t="s">
        <v>2441</v>
      </c>
      <c r="C99" t="s">
        <v>2319</v>
      </c>
      <c r="D99" t="s">
        <v>44</v>
      </c>
      <c r="E99">
        <v>2</v>
      </c>
      <c r="F99" s="6"/>
      <c r="I99" s="6" t="s">
        <v>1222</v>
      </c>
      <c r="J99" s="6" t="s">
        <v>2327</v>
      </c>
      <c r="K99" t="s">
        <v>2302</v>
      </c>
      <c r="L99" t="s">
        <v>157</v>
      </c>
      <c r="P9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00" spans="1:16">
      <c r="A100" t="s">
        <v>2325</v>
      </c>
      <c r="B100" s="6" t="s">
        <v>2442</v>
      </c>
      <c r="C100" t="s">
        <v>2319</v>
      </c>
      <c r="D100" t="s">
        <v>44</v>
      </c>
      <c r="E100">
        <v>2</v>
      </c>
      <c r="F100" s="6"/>
      <c r="I100" s="6" t="s">
        <v>1301</v>
      </c>
      <c r="J100" s="6" t="s">
        <v>2337</v>
      </c>
      <c r="K100" t="s">
        <v>2302</v>
      </c>
      <c r="L100" t="s">
        <v>157</v>
      </c>
      <c r="P10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01" spans="1:16">
      <c r="A101" t="s">
        <v>2325</v>
      </c>
      <c r="B101" s="6" t="s">
        <v>2443</v>
      </c>
      <c r="C101" t="s">
        <v>2319</v>
      </c>
      <c r="D101" t="s">
        <v>44</v>
      </c>
      <c r="E101">
        <v>2</v>
      </c>
      <c r="F101" s="6"/>
      <c r="I101" s="6" t="s">
        <v>1307</v>
      </c>
      <c r="J101" s="6" t="s">
        <v>2444</v>
      </c>
      <c r="K101" t="s">
        <v>2302</v>
      </c>
      <c r="L101" t="s">
        <v>157</v>
      </c>
      <c r="P10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02" spans="1:16">
      <c r="A102" t="s">
        <v>2325</v>
      </c>
      <c r="B102" s="6" t="s">
        <v>2445</v>
      </c>
      <c r="C102" t="s">
        <v>2319</v>
      </c>
      <c r="D102" t="s">
        <v>44</v>
      </c>
      <c r="E102">
        <v>2</v>
      </c>
      <c r="F102" s="6"/>
      <c r="I102" s="6" t="s">
        <v>1323</v>
      </c>
      <c r="J102" s="6" t="s">
        <v>2446</v>
      </c>
      <c r="K102" t="s">
        <v>2302</v>
      </c>
      <c r="L102" t="s">
        <v>157</v>
      </c>
      <c r="P10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03" spans="1:16">
      <c r="A103" t="s">
        <v>2325</v>
      </c>
      <c r="B103" s="6" t="s">
        <v>2447</v>
      </c>
      <c r="C103" t="s">
        <v>2319</v>
      </c>
      <c r="D103" t="s">
        <v>44</v>
      </c>
      <c r="E103">
        <v>2</v>
      </c>
      <c r="F103" s="6"/>
      <c r="I103" s="6" t="s">
        <v>1389</v>
      </c>
      <c r="J103" s="6" t="s">
        <v>2359</v>
      </c>
      <c r="K103" t="s">
        <v>2302</v>
      </c>
      <c r="L103" t="s">
        <v>157</v>
      </c>
      <c r="P10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04" spans="1:16">
      <c r="A104" t="s">
        <v>2325</v>
      </c>
      <c r="B104" s="6" t="s">
        <v>2448</v>
      </c>
      <c r="C104" t="s">
        <v>2319</v>
      </c>
      <c r="D104" t="s">
        <v>44</v>
      </c>
      <c r="E104">
        <v>2</v>
      </c>
      <c r="F104" s="6"/>
      <c r="I104" s="6" t="s">
        <v>1395</v>
      </c>
      <c r="J104" s="6" t="s">
        <v>2446</v>
      </c>
      <c r="K104" t="s">
        <v>2302</v>
      </c>
      <c r="L104" t="s">
        <v>157</v>
      </c>
      <c r="P10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05" spans="1:16">
      <c r="A105" t="s">
        <v>2325</v>
      </c>
      <c r="B105" s="6" t="s">
        <v>2449</v>
      </c>
      <c r="C105" t="s">
        <v>2319</v>
      </c>
      <c r="D105" t="s">
        <v>44</v>
      </c>
      <c r="E105">
        <v>2</v>
      </c>
      <c r="F105" s="6"/>
      <c r="I105" s="6" t="s">
        <v>1428</v>
      </c>
      <c r="J105" s="6" t="s">
        <v>2359</v>
      </c>
      <c r="K105" t="s">
        <v>2302</v>
      </c>
      <c r="L105" t="s">
        <v>157</v>
      </c>
      <c r="P10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06" spans="1:16">
      <c r="A106" t="s">
        <v>2325</v>
      </c>
      <c r="B106" s="6" t="s">
        <v>2450</v>
      </c>
      <c r="C106" t="s">
        <v>2319</v>
      </c>
      <c r="D106" t="s">
        <v>44</v>
      </c>
      <c r="E106">
        <v>2</v>
      </c>
      <c r="F106" s="6"/>
      <c r="I106" s="6" t="s">
        <v>1467</v>
      </c>
      <c r="J106" s="6" t="s">
        <v>2349</v>
      </c>
      <c r="K106" t="s">
        <v>2302</v>
      </c>
      <c r="L106" t="s">
        <v>157</v>
      </c>
      <c r="P10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07" spans="1:16">
      <c r="A107" t="s">
        <v>2325</v>
      </c>
      <c r="B107" s="6" t="s">
        <v>2451</v>
      </c>
      <c r="C107" t="s">
        <v>2319</v>
      </c>
      <c r="D107" t="s">
        <v>44</v>
      </c>
      <c r="E107">
        <v>2</v>
      </c>
      <c r="F107" s="6"/>
      <c r="I107" s="6" t="s">
        <v>1469</v>
      </c>
      <c r="J107" s="6" t="s">
        <v>2337</v>
      </c>
      <c r="K107" t="s">
        <v>2302</v>
      </c>
      <c r="L107" t="s">
        <v>157</v>
      </c>
      <c r="P10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08" spans="1:16">
      <c r="A108" t="s">
        <v>2325</v>
      </c>
      <c r="B108" s="6" t="s">
        <v>2452</v>
      </c>
      <c r="C108" t="s">
        <v>2319</v>
      </c>
      <c r="D108" t="s">
        <v>44</v>
      </c>
      <c r="E108">
        <v>2</v>
      </c>
      <c r="F108" s="6"/>
      <c r="I108" s="6" t="s">
        <v>1472</v>
      </c>
      <c r="J108" s="6" t="s">
        <v>2453</v>
      </c>
      <c r="K108" t="s">
        <v>2302</v>
      </c>
      <c r="L108" t="s">
        <v>157</v>
      </c>
      <c r="P10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09" spans="1:16">
      <c r="A109" t="s">
        <v>2325</v>
      </c>
      <c r="B109" s="6" t="s">
        <v>2454</v>
      </c>
      <c r="C109" t="s">
        <v>2319</v>
      </c>
      <c r="D109" t="s">
        <v>44</v>
      </c>
      <c r="E109">
        <v>2</v>
      </c>
      <c r="F109" s="6"/>
      <c r="I109" s="6" t="s">
        <v>1522</v>
      </c>
      <c r="J109" s="6" t="s">
        <v>2329</v>
      </c>
      <c r="K109" t="s">
        <v>2302</v>
      </c>
      <c r="L109" t="s">
        <v>157</v>
      </c>
      <c r="P10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10" spans="1:16">
      <c r="A110" t="s">
        <v>2325</v>
      </c>
      <c r="B110" s="6" t="s">
        <v>2455</v>
      </c>
      <c r="C110" t="s">
        <v>2319</v>
      </c>
      <c r="D110" t="s">
        <v>44</v>
      </c>
      <c r="E110">
        <v>2</v>
      </c>
      <c r="F110" s="6"/>
      <c r="I110" s="6" t="s">
        <v>1549</v>
      </c>
      <c r="J110" s="6" t="s">
        <v>2344</v>
      </c>
      <c r="K110" t="s">
        <v>2302</v>
      </c>
      <c r="L110" t="s">
        <v>157</v>
      </c>
      <c r="P11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11" spans="1:16">
      <c r="A111" t="s">
        <v>2325</v>
      </c>
      <c r="B111" s="6" t="s">
        <v>2456</v>
      </c>
      <c r="C111" t="s">
        <v>2319</v>
      </c>
      <c r="D111" t="s">
        <v>44</v>
      </c>
      <c r="E111">
        <v>2</v>
      </c>
      <c r="F111" s="6"/>
      <c r="I111" s="6" t="s">
        <v>1600</v>
      </c>
      <c r="J111" s="6" t="s">
        <v>2337</v>
      </c>
      <c r="K111" t="s">
        <v>2302</v>
      </c>
      <c r="L111" t="s">
        <v>157</v>
      </c>
      <c r="P11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12" spans="1:16">
      <c r="A112" t="s">
        <v>2325</v>
      </c>
      <c r="B112" s="6" t="s">
        <v>2457</v>
      </c>
      <c r="C112" t="s">
        <v>2319</v>
      </c>
      <c r="D112" t="s">
        <v>44</v>
      </c>
      <c r="E112">
        <v>2</v>
      </c>
      <c r="F112" s="6"/>
      <c r="I112" s="6" t="s">
        <v>1617</v>
      </c>
      <c r="J112" s="6" t="s">
        <v>2354</v>
      </c>
      <c r="K112" t="s">
        <v>2302</v>
      </c>
      <c r="L112" t="s">
        <v>157</v>
      </c>
      <c r="P11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13" spans="1:16">
      <c r="A113" t="s">
        <v>2325</v>
      </c>
      <c r="B113" s="6" t="s">
        <v>2458</v>
      </c>
      <c r="C113" t="s">
        <v>2319</v>
      </c>
      <c r="D113" t="s">
        <v>44</v>
      </c>
      <c r="E113">
        <v>2</v>
      </c>
      <c r="F113" s="6"/>
      <c r="I113" s="6" t="s">
        <v>1621</v>
      </c>
      <c r="J113" s="6" t="s">
        <v>2459</v>
      </c>
      <c r="K113" t="s">
        <v>2302</v>
      </c>
      <c r="L113" t="s">
        <v>157</v>
      </c>
      <c r="P11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14" spans="1:16">
      <c r="A114" t="s">
        <v>2325</v>
      </c>
      <c r="B114" s="6" t="s">
        <v>2460</v>
      </c>
      <c r="C114" t="s">
        <v>2319</v>
      </c>
      <c r="D114" t="s">
        <v>44</v>
      </c>
      <c r="E114">
        <v>2</v>
      </c>
      <c r="F114" s="6"/>
      <c r="I114" s="6" t="s">
        <v>1621</v>
      </c>
      <c r="J114" s="6" t="s">
        <v>2461</v>
      </c>
      <c r="K114" t="s">
        <v>2302</v>
      </c>
      <c r="L114" t="s">
        <v>157</v>
      </c>
      <c r="P11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15" spans="1:16">
      <c r="A115" t="s">
        <v>2325</v>
      </c>
      <c r="B115" s="6" t="s">
        <v>2462</v>
      </c>
      <c r="C115" t="s">
        <v>2319</v>
      </c>
      <c r="D115" t="s">
        <v>44</v>
      </c>
      <c r="E115">
        <v>2</v>
      </c>
      <c r="F115" s="6"/>
      <c r="I115" s="6" t="s">
        <v>1627</v>
      </c>
      <c r="J115" s="6" t="s">
        <v>2463</v>
      </c>
      <c r="K115" t="s">
        <v>2302</v>
      </c>
      <c r="L115" t="s">
        <v>157</v>
      </c>
      <c r="P11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16" spans="1:16">
      <c r="A116" t="s">
        <v>2325</v>
      </c>
      <c r="B116" s="6" t="s">
        <v>2464</v>
      </c>
      <c r="C116" t="s">
        <v>2319</v>
      </c>
      <c r="D116" t="s">
        <v>44</v>
      </c>
      <c r="E116">
        <v>2</v>
      </c>
      <c r="F116" s="6"/>
      <c r="I116" s="6" t="s">
        <v>1650</v>
      </c>
      <c r="J116" s="6" t="s">
        <v>2359</v>
      </c>
      <c r="K116" t="s">
        <v>2302</v>
      </c>
      <c r="L116" t="s">
        <v>157</v>
      </c>
      <c r="P11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17" spans="1:16">
      <c r="A117" t="s">
        <v>2325</v>
      </c>
      <c r="B117" s="6" t="s">
        <v>2465</v>
      </c>
      <c r="C117" t="s">
        <v>2319</v>
      </c>
      <c r="D117" t="s">
        <v>44</v>
      </c>
      <c r="E117">
        <v>2</v>
      </c>
      <c r="F117" s="6"/>
      <c r="I117" s="6" t="s">
        <v>1672</v>
      </c>
      <c r="J117" s="6" t="s">
        <v>2349</v>
      </c>
      <c r="K117" t="s">
        <v>2302</v>
      </c>
      <c r="L117" t="s">
        <v>157</v>
      </c>
      <c r="P11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18" spans="1:16">
      <c r="A118" t="s">
        <v>2325</v>
      </c>
      <c r="B118" s="6" t="s">
        <v>2466</v>
      </c>
      <c r="C118" t="s">
        <v>2319</v>
      </c>
      <c r="D118" t="s">
        <v>44</v>
      </c>
      <c r="E118">
        <v>2</v>
      </c>
      <c r="F118" s="6"/>
      <c r="I118" s="6" t="s">
        <v>1674</v>
      </c>
      <c r="J118" s="6" t="s">
        <v>2467</v>
      </c>
      <c r="K118" t="s">
        <v>2302</v>
      </c>
      <c r="L118" t="s">
        <v>157</v>
      </c>
      <c r="P11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19" spans="1:16">
      <c r="A119" t="s">
        <v>2325</v>
      </c>
      <c r="B119" s="6" t="s">
        <v>2468</v>
      </c>
      <c r="C119" t="s">
        <v>2319</v>
      </c>
      <c r="D119" t="s">
        <v>44</v>
      </c>
      <c r="E119">
        <v>2</v>
      </c>
      <c r="F119" s="6"/>
      <c r="I119" s="6" t="s">
        <v>1718</v>
      </c>
      <c r="J119" s="6" t="s">
        <v>2365</v>
      </c>
      <c r="K119" t="s">
        <v>2302</v>
      </c>
      <c r="L119" t="s">
        <v>157</v>
      </c>
      <c r="P11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20" spans="1:16">
      <c r="A120" t="s">
        <v>2325</v>
      </c>
      <c r="B120" s="6" t="s">
        <v>2469</v>
      </c>
      <c r="C120" t="s">
        <v>2319</v>
      </c>
      <c r="D120" t="s">
        <v>44</v>
      </c>
      <c r="E120">
        <v>2</v>
      </c>
      <c r="F120" s="6"/>
      <c r="I120" s="6" t="s">
        <v>1767</v>
      </c>
      <c r="J120" s="6" t="s">
        <v>2370</v>
      </c>
      <c r="K120" t="s">
        <v>2302</v>
      </c>
      <c r="L120" t="s">
        <v>157</v>
      </c>
      <c r="P12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21" spans="1:16">
      <c r="A121" t="s">
        <v>2325</v>
      </c>
      <c r="B121" s="6" t="s">
        <v>2470</v>
      </c>
      <c r="C121" t="s">
        <v>2319</v>
      </c>
      <c r="D121" t="s">
        <v>44</v>
      </c>
      <c r="E121">
        <v>2</v>
      </c>
      <c r="F121" s="6"/>
      <c r="I121" s="6" t="s">
        <v>1799</v>
      </c>
      <c r="J121" s="6" t="s">
        <v>2368</v>
      </c>
      <c r="K121" t="s">
        <v>2302</v>
      </c>
      <c r="L121" t="s">
        <v>157</v>
      </c>
      <c r="P12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22" spans="1:16">
      <c r="A122" t="s">
        <v>2325</v>
      </c>
      <c r="B122" s="6" t="s">
        <v>2471</v>
      </c>
      <c r="C122" t="s">
        <v>2319</v>
      </c>
      <c r="D122" t="s">
        <v>44</v>
      </c>
      <c r="E122">
        <v>2</v>
      </c>
      <c r="F122" s="6"/>
      <c r="I122" s="6" t="s">
        <v>1807</v>
      </c>
      <c r="J122" s="6" t="s">
        <v>2401</v>
      </c>
      <c r="K122" t="s">
        <v>2302</v>
      </c>
      <c r="L122" t="s">
        <v>157</v>
      </c>
      <c r="P12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23" spans="1:16">
      <c r="A123" t="s">
        <v>2325</v>
      </c>
      <c r="B123" s="6" t="s">
        <v>2472</v>
      </c>
      <c r="C123" t="s">
        <v>2319</v>
      </c>
      <c r="D123" t="s">
        <v>44</v>
      </c>
      <c r="E123">
        <v>2</v>
      </c>
      <c r="F123" s="6"/>
      <c r="I123" s="6" t="s">
        <v>1814</v>
      </c>
      <c r="J123" s="6" t="s">
        <v>2446</v>
      </c>
      <c r="K123" t="s">
        <v>2302</v>
      </c>
      <c r="L123" t="s">
        <v>157</v>
      </c>
      <c r="P12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24" spans="1:16">
      <c r="A124" t="s">
        <v>2325</v>
      </c>
      <c r="B124" s="6" t="s">
        <v>2473</v>
      </c>
      <c r="C124" t="s">
        <v>2319</v>
      </c>
      <c r="D124" t="s">
        <v>44</v>
      </c>
      <c r="E124">
        <v>2</v>
      </c>
      <c r="F124" s="6"/>
      <c r="I124" s="6" t="s">
        <v>1854</v>
      </c>
      <c r="J124" s="6" t="s">
        <v>2375</v>
      </c>
      <c r="K124" t="s">
        <v>2302</v>
      </c>
      <c r="L124" t="s">
        <v>157</v>
      </c>
      <c r="P12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25" spans="1:16">
      <c r="A125" t="s">
        <v>2325</v>
      </c>
      <c r="B125" s="6" t="s">
        <v>2474</v>
      </c>
      <c r="C125" t="s">
        <v>2319</v>
      </c>
      <c r="D125" t="s">
        <v>44</v>
      </c>
      <c r="E125">
        <v>2</v>
      </c>
      <c r="F125" s="6"/>
      <c r="I125" s="6" t="s">
        <v>1869</v>
      </c>
      <c r="J125" s="6" t="s">
        <v>2408</v>
      </c>
      <c r="K125" t="s">
        <v>2302</v>
      </c>
      <c r="L125" t="s">
        <v>157</v>
      </c>
      <c r="P12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26" spans="1:16">
      <c r="A126" t="s">
        <v>2325</v>
      </c>
      <c r="B126" s="6" t="s">
        <v>2475</v>
      </c>
      <c r="C126" t="s">
        <v>2319</v>
      </c>
      <c r="D126" t="s">
        <v>44</v>
      </c>
      <c r="E126">
        <v>2</v>
      </c>
      <c r="F126" s="6"/>
      <c r="I126" s="6" t="s">
        <v>1873</v>
      </c>
      <c r="J126" s="6" t="s">
        <v>2342</v>
      </c>
      <c r="K126" t="s">
        <v>2302</v>
      </c>
      <c r="L126" t="s">
        <v>157</v>
      </c>
      <c r="P12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27" spans="1:16">
      <c r="A127" t="s">
        <v>2325</v>
      </c>
      <c r="B127" s="6" t="s">
        <v>2476</v>
      </c>
      <c r="C127" t="s">
        <v>2319</v>
      </c>
      <c r="D127" t="s">
        <v>44</v>
      </c>
      <c r="E127">
        <v>2</v>
      </c>
      <c r="F127" s="6"/>
      <c r="I127" s="6" t="s">
        <v>1890</v>
      </c>
      <c r="J127" s="6" t="s">
        <v>2477</v>
      </c>
      <c r="K127" t="s">
        <v>2302</v>
      </c>
      <c r="L127" t="s">
        <v>157</v>
      </c>
      <c r="P12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28" spans="1:16">
      <c r="A128" t="s">
        <v>2325</v>
      </c>
      <c r="B128" s="6" t="s">
        <v>2478</v>
      </c>
      <c r="C128" t="s">
        <v>2319</v>
      </c>
      <c r="D128" t="s">
        <v>44</v>
      </c>
      <c r="E128">
        <v>2</v>
      </c>
      <c r="F128" s="6"/>
      <c r="I128" s="6" t="s">
        <v>1896</v>
      </c>
      <c r="J128" s="6" t="s">
        <v>2479</v>
      </c>
      <c r="K128" t="s">
        <v>2302</v>
      </c>
      <c r="L128" t="s">
        <v>157</v>
      </c>
      <c r="P12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29" spans="1:16">
      <c r="A129" t="s">
        <v>2325</v>
      </c>
      <c r="B129" s="6" t="s">
        <v>2480</v>
      </c>
      <c r="C129" t="s">
        <v>2319</v>
      </c>
      <c r="D129" t="s">
        <v>44</v>
      </c>
      <c r="E129">
        <v>2</v>
      </c>
      <c r="F129" s="6"/>
      <c r="I129" s="6" t="s">
        <v>1912</v>
      </c>
      <c r="J129" s="6" t="s">
        <v>2327</v>
      </c>
      <c r="K129" t="s">
        <v>2302</v>
      </c>
      <c r="L129" t="s">
        <v>157</v>
      </c>
      <c r="P12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30" spans="1:16">
      <c r="A130" t="s">
        <v>2325</v>
      </c>
      <c r="B130" s="6" t="s">
        <v>2481</v>
      </c>
      <c r="C130" t="s">
        <v>2319</v>
      </c>
      <c r="D130" t="s">
        <v>44</v>
      </c>
      <c r="E130">
        <v>2</v>
      </c>
      <c r="F130" s="6"/>
      <c r="I130" s="6" t="s">
        <v>1925</v>
      </c>
      <c r="J130" s="6" t="s">
        <v>2482</v>
      </c>
      <c r="K130" t="s">
        <v>2302</v>
      </c>
      <c r="L130" t="s">
        <v>157</v>
      </c>
      <c r="P13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31" spans="1:16">
      <c r="A131" t="s">
        <v>2325</v>
      </c>
      <c r="B131" s="6" t="s">
        <v>2483</v>
      </c>
      <c r="C131" t="s">
        <v>2319</v>
      </c>
      <c r="D131" t="s">
        <v>44</v>
      </c>
      <c r="E131">
        <v>2</v>
      </c>
      <c r="F131" s="6"/>
      <c r="I131" s="6" t="s">
        <v>1925</v>
      </c>
      <c r="J131" s="6" t="s">
        <v>2484</v>
      </c>
      <c r="K131" t="s">
        <v>2302</v>
      </c>
      <c r="L131" t="s">
        <v>157</v>
      </c>
      <c r="P13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32" spans="1:16">
      <c r="A132" t="s">
        <v>2325</v>
      </c>
      <c r="B132" s="6" t="s">
        <v>2485</v>
      </c>
      <c r="C132" t="s">
        <v>2319</v>
      </c>
      <c r="D132" t="s">
        <v>44</v>
      </c>
      <c r="E132">
        <v>2</v>
      </c>
      <c r="F132" s="6"/>
      <c r="I132" s="6" t="s">
        <v>1937</v>
      </c>
      <c r="J132" s="6" t="s">
        <v>2344</v>
      </c>
      <c r="K132" t="s">
        <v>2302</v>
      </c>
      <c r="L132" t="s">
        <v>157</v>
      </c>
      <c r="P13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33" spans="1:16">
      <c r="A133" t="s">
        <v>2325</v>
      </c>
      <c r="B133" s="6" t="s">
        <v>2486</v>
      </c>
      <c r="C133" t="s">
        <v>2319</v>
      </c>
      <c r="D133" t="s">
        <v>44</v>
      </c>
      <c r="E133">
        <v>2</v>
      </c>
      <c r="F133" s="6"/>
      <c r="I133" s="6" t="s">
        <v>1939</v>
      </c>
      <c r="J133" s="6" t="s">
        <v>2487</v>
      </c>
      <c r="K133" t="s">
        <v>2302</v>
      </c>
      <c r="L133" t="s">
        <v>157</v>
      </c>
      <c r="P13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34" spans="1:16">
      <c r="A134" t="s">
        <v>2325</v>
      </c>
      <c r="B134" s="6" t="s">
        <v>2488</v>
      </c>
      <c r="C134" t="s">
        <v>2319</v>
      </c>
      <c r="D134" t="s">
        <v>44</v>
      </c>
      <c r="E134">
        <v>2</v>
      </c>
      <c r="F134" s="6"/>
      <c r="I134" s="6" t="s">
        <v>1939</v>
      </c>
      <c r="J134" s="6" t="s">
        <v>2378</v>
      </c>
      <c r="K134" t="s">
        <v>2302</v>
      </c>
      <c r="L134" t="s">
        <v>157</v>
      </c>
      <c r="P13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35" spans="1:16">
      <c r="A135" t="s">
        <v>2325</v>
      </c>
      <c r="B135" s="6" t="s">
        <v>2489</v>
      </c>
      <c r="C135" t="s">
        <v>2319</v>
      </c>
      <c r="D135" t="s">
        <v>44</v>
      </c>
      <c r="E135">
        <v>2</v>
      </c>
      <c r="F135" s="6"/>
      <c r="I135" s="6" t="s">
        <v>1941</v>
      </c>
      <c r="J135" s="6" t="s">
        <v>2368</v>
      </c>
      <c r="K135" t="s">
        <v>2302</v>
      </c>
      <c r="L135" t="s">
        <v>157</v>
      </c>
      <c r="P13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36" spans="1:16">
      <c r="A136" t="s">
        <v>2325</v>
      </c>
      <c r="B136" s="6" t="s">
        <v>2490</v>
      </c>
      <c r="C136" t="s">
        <v>2319</v>
      </c>
      <c r="D136" t="s">
        <v>44</v>
      </c>
      <c r="E136">
        <v>2</v>
      </c>
      <c r="F136" s="6"/>
      <c r="I136" s="6" t="s">
        <v>1943</v>
      </c>
      <c r="J136" s="6" t="s">
        <v>2491</v>
      </c>
      <c r="K136" t="s">
        <v>2302</v>
      </c>
      <c r="L136" t="s">
        <v>157</v>
      </c>
      <c r="P13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37" spans="1:16">
      <c r="A137" t="s">
        <v>2325</v>
      </c>
      <c r="B137" s="6" t="s">
        <v>2492</v>
      </c>
      <c r="C137" t="s">
        <v>2319</v>
      </c>
      <c r="D137" t="s">
        <v>44</v>
      </c>
      <c r="E137">
        <v>2</v>
      </c>
      <c r="F137" s="6"/>
      <c r="I137" s="6" t="s">
        <v>1943</v>
      </c>
      <c r="J137" s="6" t="s">
        <v>2370</v>
      </c>
      <c r="K137" t="s">
        <v>2302</v>
      </c>
      <c r="L137" t="s">
        <v>157</v>
      </c>
      <c r="P13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38" spans="1:16">
      <c r="A138" t="s">
        <v>2325</v>
      </c>
      <c r="B138" s="6" t="s">
        <v>2493</v>
      </c>
      <c r="C138" t="s">
        <v>2319</v>
      </c>
      <c r="D138" t="s">
        <v>44</v>
      </c>
      <c r="E138">
        <v>2</v>
      </c>
      <c r="F138" s="6"/>
      <c r="I138" s="6" t="s">
        <v>1949</v>
      </c>
      <c r="J138" s="6" t="s">
        <v>2333</v>
      </c>
      <c r="K138" t="s">
        <v>2302</v>
      </c>
      <c r="L138" t="s">
        <v>157</v>
      </c>
      <c r="P13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39" spans="1:16">
      <c r="A139" t="s">
        <v>2325</v>
      </c>
      <c r="B139" s="6" t="s">
        <v>2494</v>
      </c>
      <c r="C139" t="s">
        <v>2319</v>
      </c>
      <c r="D139" t="s">
        <v>44</v>
      </c>
      <c r="E139">
        <v>2</v>
      </c>
      <c r="F139" s="6"/>
      <c r="I139" s="6" t="s">
        <v>1949</v>
      </c>
      <c r="J139" s="6" t="s">
        <v>2337</v>
      </c>
      <c r="K139" t="s">
        <v>2302</v>
      </c>
      <c r="L139" t="s">
        <v>157</v>
      </c>
      <c r="P13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40" spans="1:16">
      <c r="A140" t="s">
        <v>2325</v>
      </c>
      <c r="B140" s="6" t="s">
        <v>2495</v>
      </c>
      <c r="C140" t="s">
        <v>2319</v>
      </c>
      <c r="D140" t="s">
        <v>44</v>
      </c>
      <c r="E140">
        <v>2</v>
      </c>
      <c r="F140" s="6"/>
      <c r="I140" s="6" t="s">
        <v>1955</v>
      </c>
      <c r="J140" s="6" t="s">
        <v>2327</v>
      </c>
      <c r="K140" t="s">
        <v>2302</v>
      </c>
      <c r="L140" t="s">
        <v>157</v>
      </c>
      <c r="P14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41" spans="1:16">
      <c r="A141" t="s">
        <v>2325</v>
      </c>
      <c r="B141" s="6" t="s">
        <v>2496</v>
      </c>
      <c r="C141" t="s">
        <v>2319</v>
      </c>
      <c r="D141" t="s">
        <v>44</v>
      </c>
      <c r="E141">
        <v>2</v>
      </c>
      <c r="F141" s="6"/>
      <c r="I141" s="6" t="s">
        <v>1968</v>
      </c>
      <c r="J141" s="6" t="s">
        <v>2497</v>
      </c>
      <c r="K141" t="s">
        <v>2302</v>
      </c>
      <c r="L141" t="s">
        <v>157</v>
      </c>
      <c r="P14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42" spans="1:16">
      <c r="A142" t="s">
        <v>2325</v>
      </c>
      <c r="B142" s="6" t="s">
        <v>2498</v>
      </c>
      <c r="C142" t="s">
        <v>2319</v>
      </c>
      <c r="D142" t="s">
        <v>44</v>
      </c>
      <c r="E142">
        <v>2</v>
      </c>
      <c r="F142" s="6"/>
      <c r="I142" s="6" t="s">
        <v>1968</v>
      </c>
      <c r="J142" s="6" t="s">
        <v>2446</v>
      </c>
      <c r="K142" t="s">
        <v>2302</v>
      </c>
      <c r="L142" t="s">
        <v>157</v>
      </c>
      <c r="P14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43" spans="1:16">
      <c r="A143" t="s">
        <v>2325</v>
      </c>
      <c r="B143" s="6" t="s">
        <v>2499</v>
      </c>
      <c r="C143" t="s">
        <v>2319</v>
      </c>
      <c r="D143" t="s">
        <v>44</v>
      </c>
      <c r="E143">
        <v>2</v>
      </c>
      <c r="F143" s="6"/>
      <c r="I143" s="6" t="s">
        <v>1976</v>
      </c>
      <c r="J143" s="6" t="s">
        <v>2346</v>
      </c>
      <c r="K143" t="s">
        <v>2302</v>
      </c>
      <c r="L143" t="s">
        <v>157</v>
      </c>
      <c r="P14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44" spans="1:16">
      <c r="A144" t="s">
        <v>2325</v>
      </c>
      <c r="B144" s="6" t="s">
        <v>2500</v>
      </c>
      <c r="C144" t="s">
        <v>2319</v>
      </c>
      <c r="D144" t="s">
        <v>44</v>
      </c>
      <c r="E144">
        <v>2</v>
      </c>
      <c r="F144" s="6"/>
      <c r="I144" s="6" t="s">
        <v>1976</v>
      </c>
      <c r="J144" s="6" t="s">
        <v>2349</v>
      </c>
      <c r="K144" t="s">
        <v>2302</v>
      </c>
      <c r="L144" t="s">
        <v>157</v>
      </c>
      <c r="P14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45" spans="1:16">
      <c r="A145" t="s">
        <v>2325</v>
      </c>
      <c r="B145" s="6" t="s">
        <v>2501</v>
      </c>
      <c r="C145" t="s">
        <v>2319</v>
      </c>
      <c r="D145" t="s">
        <v>44</v>
      </c>
      <c r="E145">
        <v>2</v>
      </c>
      <c r="F145" s="6"/>
      <c r="I145" s="6" t="s">
        <v>1978</v>
      </c>
      <c r="J145" s="6" t="s">
        <v>2359</v>
      </c>
      <c r="K145" t="s">
        <v>2302</v>
      </c>
      <c r="L145" t="s">
        <v>157</v>
      </c>
      <c r="P14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46" spans="1:16">
      <c r="A146" t="s">
        <v>2325</v>
      </c>
      <c r="B146" s="6" t="s">
        <v>2502</v>
      </c>
      <c r="C146" t="s">
        <v>2319</v>
      </c>
      <c r="D146" t="s">
        <v>44</v>
      </c>
      <c r="E146">
        <v>2</v>
      </c>
      <c r="F146" s="6"/>
      <c r="I146" s="6" t="s">
        <v>1988</v>
      </c>
      <c r="J146" s="6" t="s">
        <v>2329</v>
      </c>
      <c r="K146" t="s">
        <v>2302</v>
      </c>
      <c r="L146" t="s">
        <v>157</v>
      </c>
      <c r="P14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47" spans="1:16">
      <c r="A147" t="s">
        <v>2325</v>
      </c>
      <c r="B147" s="6" t="s">
        <v>2503</v>
      </c>
      <c r="C147" t="s">
        <v>2319</v>
      </c>
      <c r="D147" t="s">
        <v>44</v>
      </c>
      <c r="E147">
        <v>2</v>
      </c>
      <c r="F147" s="6"/>
      <c r="I147" s="6" t="s">
        <v>1996</v>
      </c>
      <c r="J147" s="6" t="s">
        <v>2344</v>
      </c>
      <c r="K147" t="s">
        <v>2302</v>
      </c>
      <c r="L147" t="s">
        <v>157</v>
      </c>
      <c r="P14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48" spans="1:16">
      <c r="A148" t="s">
        <v>2325</v>
      </c>
      <c r="B148" s="6" t="s">
        <v>2504</v>
      </c>
      <c r="C148" t="s">
        <v>2319</v>
      </c>
      <c r="D148" t="s">
        <v>44</v>
      </c>
      <c r="E148">
        <v>2</v>
      </c>
      <c r="F148" s="6"/>
      <c r="I148" s="6" t="s">
        <v>1998</v>
      </c>
      <c r="J148" s="6" t="s">
        <v>2487</v>
      </c>
      <c r="K148" t="s">
        <v>2302</v>
      </c>
      <c r="L148" t="s">
        <v>157</v>
      </c>
      <c r="P14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49" spans="1:16">
      <c r="A149" t="s">
        <v>2325</v>
      </c>
      <c r="B149" s="6" t="s">
        <v>2505</v>
      </c>
      <c r="C149" t="s">
        <v>2319</v>
      </c>
      <c r="D149" t="s">
        <v>44</v>
      </c>
      <c r="E149">
        <v>2</v>
      </c>
      <c r="F149" s="6"/>
      <c r="I149" s="6" t="s">
        <v>1998</v>
      </c>
      <c r="J149" s="6" t="s">
        <v>2378</v>
      </c>
      <c r="K149" t="s">
        <v>2302</v>
      </c>
      <c r="L149" t="s">
        <v>157</v>
      </c>
      <c r="P14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50" spans="1:16">
      <c r="A150" t="s">
        <v>2325</v>
      </c>
      <c r="B150" s="6" t="s">
        <v>2506</v>
      </c>
      <c r="C150" t="s">
        <v>2319</v>
      </c>
      <c r="D150" t="s">
        <v>44</v>
      </c>
      <c r="E150">
        <v>2</v>
      </c>
      <c r="F150" s="6"/>
      <c r="I150" s="6" t="s">
        <v>1999</v>
      </c>
      <c r="J150" s="6" t="s">
        <v>2368</v>
      </c>
      <c r="K150" t="s">
        <v>2302</v>
      </c>
      <c r="L150" t="s">
        <v>157</v>
      </c>
      <c r="P15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51" spans="1:16">
      <c r="A151" t="s">
        <v>2325</v>
      </c>
      <c r="B151" s="6" t="s">
        <v>2507</v>
      </c>
      <c r="C151" t="s">
        <v>2319</v>
      </c>
      <c r="D151" t="s">
        <v>44</v>
      </c>
      <c r="E151">
        <v>2</v>
      </c>
      <c r="F151" s="6"/>
      <c r="I151" s="6" t="s">
        <v>2001</v>
      </c>
      <c r="J151" s="6" t="s">
        <v>2491</v>
      </c>
      <c r="K151" t="s">
        <v>2302</v>
      </c>
      <c r="L151" t="s">
        <v>157</v>
      </c>
      <c r="P15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52" spans="1:16">
      <c r="A152" t="s">
        <v>2325</v>
      </c>
      <c r="B152" s="6" t="s">
        <v>2508</v>
      </c>
      <c r="C152" t="s">
        <v>2319</v>
      </c>
      <c r="D152" t="s">
        <v>44</v>
      </c>
      <c r="E152">
        <v>2</v>
      </c>
      <c r="F152" s="6"/>
      <c r="I152" s="6" t="s">
        <v>2001</v>
      </c>
      <c r="J152" s="6" t="s">
        <v>2370</v>
      </c>
      <c r="K152" t="s">
        <v>2302</v>
      </c>
      <c r="L152" t="s">
        <v>157</v>
      </c>
      <c r="P15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53" spans="1:16">
      <c r="A153" t="s">
        <v>2325</v>
      </c>
      <c r="B153" s="6" t="s">
        <v>2509</v>
      </c>
      <c r="C153" t="s">
        <v>2319</v>
      </c>
      <c r="D153" t="s">
        <v>44</v>
      </c>
      <c r="E153">
        <v>2</v>
      </c>
      <c r="F153" s="6"/>
      <c r="I153" s="6" t="s">
        <v>2006</v>
      </c>
      <c r="J153" s="6" t="s">
        <v>2333</v>
      </c>
      <c r="K153" t="s">
        <v>2302</v>
      </c>
      <c r="L153" t="s">
        <v>157</v>
      </c>
      <c r="P15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54" spans="1:16">
      <c r="A154" t="s">
        <v>2325</v>
      </c>
      <c r="B154" s="6" t="s">
        <v>2510</v>
      </c>
      <c r="C154" t="s">
        <v>2319</v>
      </c>
      <c r="D154" t="s">
        <v>44</v>
      </c>
      <c r="E154">
        <v>2</v>
      </c>
      <c r="F154" s="6"/>
      <c r="I154" s="6" t="s">
        <v>2006</v>
      </c>
      <c r="J154" s="6" t="s">
        <v>2337</v>
      </c>
      <c r="K154" t="s">
        <v>2302</v>
      </c>
      <c r="L154" t="s">
        <v>157</v>
      </c>
      <c r="P15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55" spans="1:16">
      <c r="A155" t="s">
        <v>2325</v>
      </c>
      <c r="B155" s="6" t="s">
        <v>2511</v>
      </c>
      <c r="C155" t="s">
        <v>2319</v>
      </c>
      <c r="D155" t="s">
        <v>44</v>
      </c>
      <c r="E155">
        <v>2</v>
      </c>
      <c r="F155" s="6"/>
      <c r="I155" s="6" t="s">
        <v>2010</v>
      </c>
      <c r="J155" s="6" t="s">
        <v>2327</v>
      </c>
      <c r="K155" t="s">
        <v>2302</v>
      </c>
      <c r="L155" t="s">
        <v>157</v>
      </c>
      <c r="P15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56" spans="1:16">
      <c r="A156" t="s">
        <v>2325</v>
      </c>
      <c r="B156" s="6" t="s">
        <v>2512</v>
      </c>
      <c r="C156" t="s">
        <v>2319</v>
      </c>
      <c r="D156" t="s">
        <v>44</v>
      </c>
      <c r="E156">
        <v>2</v>
      </c>
      <c r="F156" s="6"/>
      <c r="I156" s="6" t="s">
        <v>2019</v>
      </c>
      <c r="J156" s="6" t="s">
        <v>2497</v>
      </c>
      <c r="K156" t="s">
        <v>2302</v>
      </c>
      <c r="L156" t="s">
        <v>157</v>
      </c>
      <c r="P15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57" spans="1:16">
      <c r="A157" t="s">
        <v>2325</v>
      </c>
      <c r="B157" s="6" t="s">
        <v>2513</v>
      </c>
      <c r="C157" t="s">
        <v>2319</v>
      </c>
      <c r="D157" t="s">
        <v>44</v>
      </c>
      <c r="E157">
        <v>2</v>
      </c>
      <c r="F157" s="6"/>
      <c r="I157" s="6" t="s">
        <v>2019</v>
      </c>
      <c r="J157" s="6" t="s">
        <v>2446</v>
      </c>
      <c r="K157" t="s">
        <v>2302</v>
      </c>
      <c r="L157" t="s">
        <v>157</v>
      </c>
      <c r="P15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58" spans="1:16">
      <c r="A158" t="s">
        <v>2325</v>
      </c>
      <c r="B158" s="6" t="s">
        <v>2514</v>
      </c>
      <c r="C158" t="s">
        <v>2319</v>
      </c>
      <c r="D158" t="s">
        <v>44</v>
      </c>
      <c r="E158">
        <v>2</v>
      </c>
      <c r="F158" s="6"/>
      <c r="I158" s="6" t="s">
        <v>2024</v>
      </c>
      <c r="J158" s="6" t="s">
        <v>2346</v>
      </c>
      <c r="K158" t="s">
        <v>2302</v>
      </c>
      <c r="L158" t="s">
        <v>157</v>
      </c>
      <c r="P15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59" spans="1:16">
      <c r="A159" t="s">
        <v>2325</v>
      </c>
      <c r="B159" s="6" t="s">
        <v>2515</v>
      </c>
      <c r="C159" t="s">
        <v>2319</v>
      </c>
      <c r="D159" t="s">
        <v>44</v>
      </c>
      <c r="E159">
        <v>2</v>
      </c>
      <c r="F159" s="6"/>
      <c r="I159" s="6" t="s">
        <v>2024</v>
      </c>
      <c r="J159" s="6" t="s">
        <v>2349</v>
      </c>
      <c r="K159" t="s">
        <v>2302</v>
      </c>
      <c r="L159" t="s">
        <v>157</v>
      </c>
      <c r="P15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60" spans="1:16">
      <c r="A160" t="s">
        <v>2325</v>
      </c>
      <c r="B160" s="6" t="s">
        <v>2516</v>
      </c>
      <c r="C160" t="s">
        <v>2319</v>
      </c>
      <c r="D160" t="s">
        <v>44</v>
      </c>
      <c r="E160">
        <v>2</v>
      </c>
      <c r="F160" s="6"/>
      <c r="I160" s="6" t="s">
        <v>2025</v>
      </c>
      <c r="J160" s="6" t="s">
        <v>2359</v>
      </c>
      <c r="K160" t="s">
        <v>2302</v>
      </c>
      <c r="L160" t="s">
        <v>157</v>
      </c>
      <c r="P16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61" spans="1:16">
      <c r="A161" t="s">
        <v>2325</v>
      </c>
      <c r="B161" s="6" t="s">
        <v>2517</v>
      </c>
      <c r="C161" t="s">
        <v>2319</v>
      </c>
      <c r="D161" t="s">
        <v>44</v>
      </c>
      <c r="E161">
        <v>2</v>
      </c>
      <c r="F161" s="6"/>
      <c r="I161" s="6" t="s">
        <v>2032</v>
      </c>
      <c r="J161" s="6" t="s">
        <v>2329</v>
      </c>
      <c r="K161" t="s">
        <v>2302</v>
      </c>
      <c r="L161" t="s">
        <v>157</v>
      </c>
      <c r="P16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62" spans="1:16">
      <c r="A162" t="s">
        <v>2325</v>
      </c>
      <c r="B162" s="6" t="s">
        <v>2518</v>
      </c>
      <c r="C162" t="s">
        <v>2319</v>
      </c>
      <c r="D162" t="s">
        <v>44</v>
      </c>
      <c r="E162">
        <v>2</v>
      </c>
      <c r="F162" s="6"/>
      <c r="I162" s="6" t="s">
        <v>2096</v>
      </c>
      <c r="J162" s="6" t="s">
        <v>2461</v>
      </c>
      <c r="K162" t="s">
        <v>2302</v>
      </c>
      <c r="L162" t="s">
        <v>157</v>
      </c>
      <c r="P16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63" spans="1:16">
      <c r="A163" t="s">
        <v>2325</v>
      </c>
      <c r="B163" s="6" t="s">
        <v>2519</v>
      </c>
      <c r="C163" t="s">
        <v>2319</v>
      </c>
      <c r="D163" t="s">
        <v>44</v>
      </c>
      <c r="E163">
        <v>2</v>
      </c>
      <c r="F163" s="6"/>
      <c r="I163" s="6" t="s">
        <v>2099</v>
      </c>
      <c r="J163" s="6" t="s">
        <v>2520</v>
      </c>
      <c r="K163" t="s">
        <v>2302</v>
      </c>
      <c r="L163" t="s">
        <v>157</v>
      </c>
      <c r="P16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64" spans="1:16">
      <c r="A164" t="s">
        <v>2299</v>
      </c>
      <c r="B164" s="6" t="s">
        <v>2521</v>
      </c>
      <c r="C164" t="s">
        <v>2319</v>
      </c>
      <c r="D164" t="s">
        <v>44</v>
      </c>
      <c r="E164">
        <v>1</v>
      </c>
      <c r="F164" s="6" t="s">
        <v>135</v>
      </c>
      <c r="I164" s="6" t="s">
        <v>133</v>
      </c>
      <c r="J164" s="6" t="s">
        <v>156</v>
      </c>
      <c r="K164" t="s">
        <v>2302</v>
      </c>
      <c r="L164" t="s">
        <v>157</v>
      </c>
      <c r="P16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65" spans="1:16">
      <c r="A165" t="s">
        <v>2299</v>
      </c>
      <c r="B165" s="6" t="s">
        <v>2522</v>
      </c>
      <c r="C165" t="s">
        <v>2319</v>
      </c>
      <c r="D165" t="s">
        <v>43</v>
      </c>
      <c r="E165">
        <v>1</v>
      </c>
      <c r="F165" s="6" t="s">
        <v>197</v>
      </c>
      <c r="I165" s="6" t="s">
        <v>196</v>
      </c>
      <c r="J165" s="6" t="s">
        <v>207</v>
      </c>
      <c r="K165" t="s">
        <v>2302</v>
      </c>
      <c r="L165" t="s">
        <v>157</v>
      </c>
      <c r="P16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66" spans="1:16">
      <c r="A166" t="s">
        <v>2299</v>
      </c>
      <c r="B166" s="6" t="s">
        <v>2523</v>
      </c>
      <c r="C166" t="s">
        <v>2319</v>
      </c>
      <c r="D166" t="s">
        <v>44</v>
      </c>
      <c r="E166">
        <v>1</v>
      </c>
      <c r="F166" s="6" t="s">
        <v>232</v>
      </c>
      <c r="I166" s="6" t="s">
        <v>231</v>
      </c>
      <c r="J166" s="6" t="s">
        <v>241</v>
      </c>
      <c r="K166" t="s">
        <v>2302</v>
      </c>
      <c r="L166" t="s">
        <v>157</v>
      </c>
      <c r="P16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67" spans="1:16">
      <c r="A167" t="s">
        <v>2299</v>
      </c>
      <c r="B167" s="6" t="s">
        <v>2524</v>
      </c>
      <c r="C167" t="s">
        <v>2319</v>
      </c>
      <c r="D167" t="s">
        <v>44</v>
      </c>
      <c r="E167">
        <v>1</v>
      </c>
      <c r="F167" s="6" t="s">
        <v>243</v>
      </c>
      <c r="I167" s="6" t="s">
        <v>242</v>
      </c>
      <c r="J167" s="6" t="s">
        <v>256</v>
      </c>
      <c r="K167" t="s">
        <v>2302</v>
      </c>
      <c r="L167" t="s">
        <v>157</v>
      </c>
      <c r="P16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68" spans="1:16">
      <c r="A168" t="s">
        <v>2299</v>
      </c>
      <c r="B168" s="6" t="s">
        <v>2525</v>
      </c>
      <c r="C168" t="s">
        <v>2319</v>
      </c>
      <c r="D168" t="s">
        <v>44</v>
      </c>
      <c r="E168">
        <v>1</v>
      </c>
      <c r="F168" s="6" t="s">
        <v>243</v>
      </c>
      <c r="I168" s="6" t="s">
        <v>257</v>
      </c>
      <c r="J168" s="6" t="s">
        <v>262</v>
      </c>
      <c r="K168" t="s">
        <v>2302</v>
      </c>
      <c r="L168" t="s">
        <v>157</v>
      </c>
      <c r="P16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69" spans="1:16">
      <c r="A169" t="s">
        <v>2299</v>
      </c>
      <c r="B169" s="6" t="s">
        <v>2526</v>
      </c>
      <c r="C169" t="s">
        <v>2319</v>
      </c>
      <c r="D169" t="s">
        <v>276</v>
      </c>
      <c r="E169">
        <v>1</v>
      </c>
      <c r="F169" s="6" t="s">
        <v>264</v>
      </c>
      <c r="I169" s="6" t="s">
        <v>263</v>
      </c>
      <c r="J169" s="6" t="s">
        <v>277</v>
      </c>
      <c r="K169" t="s">
        <v>2302</v>
      </c>
      <c r="L169" t="s">
        <v>157</v>
      </c>
      <c r="P16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70" spans="1:16">
      <c r="A170" t="s">
        <v>2299</v>
      </c>
      <c r="B170" s="6" t="s">
        <v>2527</v>
      </c>
      <c r="C170" t="s">
        <v>2319</v>
      </c>
      <c r="D170" t="s">
        <v>52</v>
      </c>
      <c r="E170">
        <v>1</v>
      </c>
      <c r="F170" s="6" t="s">
        <v>293</v>
      </c>
      <c r="I170" s="6" t="s">
        <v>292</v>
      </c>
      <c r="J170" s="6" t="s">
        <v>184</v>
      </c>
      <c r="K170" t="s">
        <v>2302</v>
      </c>
      <c r="L170" t="s">
        <v>157</v>
      </c>
      <c r="P17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71" spans="1:16">
      <c r="A171" t="s">
        <v>2299</v>
      </c>
      <c r="B171" s="6" t="s">
        <v>2528</v>
      </c>
      <c r="C171" t="s">
        <v>2319</v>
      </c>
      <c r="D171" t="s">
        <v>305</v>
      </c>
      <c r="E171">
        <v>1</v>
      </c>
      <c r="F171" s="6" t="s">
        <v>296</v>
      </c>
      <c r="I171" s="6" t="s">
        <v>295</v>
      </c>
      <c r="J171" s="6" t="s">
        <v>306</v>
      </c>
      <c r="K171" t="s">
        <v>2302</v>
      </c>
      <c r="L171" t="s">
        <v>157</v>
      </c>
      <c r="P17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72" spans="1:16">
      <c r="A172" t="s">
        <v>2299</v>
      </c>
      <c r="B172" s="6" t="s">
        <v>2529</v>
      </c>
      <c r="C172" t="s">
        <v>2319</v>
      </c>
      <c r="D172" t="s">
        <v>305</v>
      </c>
      <c r="E172">
        <v>1</v>
      </c>
      <c r="F172" s="6" t="s">
        <v>296</v>
      </c>
      <c r="I172" s="6" t="s">
        <v>307</v>
      </c>
      <c r="J172" s="6" t="s">
        <v>310</v>
      </c>
      <c r="K172" t="s">
        <v>2302</v>
      </c>
      <c r="L172" t="s">
        <v>157</v>
      </c>
      <c r="P17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73" spans="1:16">
      <c r="A173" t="s">
        <v>2299</v>
      </c>
      <c r="B173" s="6" t="s">
        <v>2530</v>
      </c>
      <c r="C173" t="s">
        <v>2319</v>
      </c>
      <c r="D173" t="s">
        <v>320</v>
      </c>
      <c r="E173">
        <v>1</v>
      </c>
      <c r="F173" s="6" t="s">
        <v>312</v>
      </c>
      <c r="I173" s="6" t="s">
        <v>311</v>
      </c>
      <c r="J173" s="6" t="s">
        <v>321</v>
      </c>
      <c r="K173" t="s">
        <v>2302</v>
      </c>
      <c r="L173" t="s">
        <v>157</v>
      </c>
      <c r="P17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74" spans="1:16">
      <c r="A174" t="s">
        <v>2299</v>
      </c>
      <c r="B174" s="6" t="s">
        <v>2531</v>
      </c>
      <c r="C174" t="s">
        <v>2319</v>
      </c>
      <c r="D174" t="s">
        <v>326</v>
      </c>
      <c r="E174">
        <v>1</v>
      </c>
      <c r="F174" s="6" t="s">
        <v>312</v>
      </c>
      <c r="I174" s="6" t="s">
        <v>322</v>
      </c>
      <c r="J174" s="6" t="s">
        <v>327</v>
      </c>
      <c r="K174" t="s">
        <v>2302</v>
      </c>
      <c r="L174" t="s">
        <v>157</v>
      </c>
      <c r="P17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75" spans="1:16">
      <c r="A175" t="s">
        <v>2299</v>
      </c>
      <c r="B175" s="6" t="s">
        <v>2532</v>
      </c>
      <c r="C175" t="s">
        <v>2319</v>
      </c>
      <c r="D175" t="s">
        <v>340</v>
      </c>
      <c r="E175">
        <v>1</v>
      </c>
      <c r="F175" s="6" t="s">
        <v>338</v>
      </c>
      <c r="I175" s="6" t="s">
        <v>337</v>
      </c>
      <c r="J175" s="6" t="s">
        <v>256</v>
      </c>
      <c r="K175" t="s">
        <v>2302</v>
      </c>
      <c r="L175" t="s">
        <v>157</v>
      </c>
      <c r="P17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76" spans="1:16">
      <c r="A176" t="s">
        <v>2299</v>
      </c>
      <c r="B176" s="6" t="s">
        <v>2533</v>
      </c>
      <c r="C176" t="s">
        <v>2319</v>
      </c>
      <c r="D176" t="s">
        <v>350</v>
      </c>
      <c r="E176">
        <v>1</v>
      </c>
      <c r="F176" s="6" t="s">
        <v>342</v>
      </c>
      <c r="I176" s="6" t="s">
        <v>341</v>
      </c>
      <c r="J176" s="6" t="s">
        <v>336</v>
      </c>
      <c r="K176" t="s">
        <v>2302</v>
      </c>
      <c r="L176" t="s">
        <v>157</v>
      </c>
      <c r="P17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77" spans="1:16">
      <c r="A177" t="s">
        <v>2299</v>
      </c>
      <c r="B177" s="6" t="s">
        <v>2534</v>
      </c>
      <c r="C177" t="s">
        <v>2319</v>
      </c>
      <c r="D177" t="s">
        <v>44</v>
      </c>
      <c r="E177">
        <v>1</v>
      </c>
      <c r="F177" s="6" t="s">
        <v>431</v>
      </c>
      <c r="I177" s="6" t="s">
        <v>430</v>
      </c>
      <c r="J177" s="6" t="s">
        <v>440</v>
      </c>
      <c r="K177" t="s">
        <v>2302</v>
      </c>
      <c r="L177" t="s">
        <v>157</v>
      </c>
      <c r="P17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78" spans="1:16">
      <c r="A178" t="s">
        <v>2299</v>
      </c>
      <c r="B178" s="6" t="s">
        <v>2535</v>
      </c>
      <c r="C178" t="s">
        <v>2319</v>
      </c>
      <c r="D178" t="s">
        <v>43</v>
      </c>
      <c r="E178">
        <v>1</v>
      </c>
      <c r="F178" s="6" t="s">
        <v>487</v>
      </c>
      <c r="I178" s="6" t="s">
        <v>486</v>
      </c>
      <c r="J178" s="6" t="s">
        <v>367</v>
      </c>
      <c r="K178" t="s">
        <v>2302</v>
      </c>
      <c r="L178" t="s">
        <v>157</v>
      </c>
      <c r="P17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79" spans="1:16">
      <c r="A179" t="s">
        <v>2299</v>
      </c>
      <c r="B179" s="6" t="s">
        <v>2536</v>
      </c>
      <c r="C179" t="s">
        <v>2319</v>
      </c>
      <c r="D179" t="s">
        <v>47</v>
      </c>
      <c r="E179">
        <v>1</v>
      </c>
      <c r="F179" s="6" t="s">
        <v>492</v>
      </c>
      <c r="G179" t="s">
        <v>494</v>
      </c>
      <c r="I179" s="6" t="s">
        <v>490</v>
      </c>
      <c r="J179" s="6" t="s">
        <v>505</v>
      </c>
      <c r="K179" t="s">
        <v>2302</v>
      </c>
      <c r="L179" t="s">
        <v>157</v>
      </c>
      <c r="P17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80" spans="1:16">
      <c r="A180" t="s">
        <v>2299</v>
      </c>
      <c r="B180" s="6" t="s">
        <v>2537</v>
      </c>
      <c r="C180" t="s">
        <v>2319</v>
      </c>
      <c r="D180" t="s">
        <v>44</v>
      </c>
      <c r="E180">
        <v>1</v>
      </c>
      <c r="F180" s="6" t="s">
        <v>492</v>
      </c>
      <c r="G180" t="s">
        <v>494</v>
      </c>
      <c r="I180" s="6" t="s">
        <v>506</v>
      </c>
      <c r="J180" s="6" t="s">
        <v>514</v>
      </c>
      <c r="K180" t="s">
        <v>2302</v>
      </c>
      <c r="L180" t="s">
        <v>157</v>
      </c>
      <c r="P18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81" spans="1:16">
      <c r="A181" t="s">
        <v>2299</v>
      </c>
      <c r="B181" s="6" t="s">
        <v>2538</v>
      </c>
      <c r="C181" t="s">
        <v>2319</v>
      </c>
      <c r="D181" t="s">
        <v>44</v>
      </c>
      <c r="E181">
        <v>1</v>
      </c>
      <c r="F181" s="6" t="s">
        <v>492</v>
      </c>
      <c r="G181" t="s">
        <v>494</v>
      </c>
      <c r="I181" s="6" t="s">
        <v>515</v>
      </c>
      <c r="J181" s="6" t="s">
        <v>518</v>
      </c>
      <c r="K181" t="s">
        <v>2302</v>
      </c>
      <c r="L181" t="s">
        <v>157</v>
      </c>
      <c r="P18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82" spans="1:16">
      <c r="A182" t="s">
        <v>2299</v>
      </c>
      <c r="B182" s="6" t="s">
        <v>2539</v>
      </c>
      <c r="C182" t="s">
        <v>2319</v>
      </c>
      <c r="D182" t="s">
        <v>44</v>
      </c>
      <c r="E182">
        <v>1</v>
      </c>
      <c r="F182" s="6" t="s">
        <v>492</v>
      </c>
      <c r="G182" t="s">
        <v>494</v>
      </c>
      <c r="I182" s="6" t="s">
        <v>532</v>
      </c>
      <c r="J182" s="6" t="s">
        <v>440</v>
      </c>
      <c r="K182" t="s">
        <v>2302</v>
      </c>
      <c r="L182" t="s">
        <v>157</v>
      </c>
      <c r="P18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83" spans="1:16">
      <c r="A183" t="s">
        <v>2299</v>
      </c>
      <c r="B183" s="6" t="s">
        <v>2540</v>
      </c>
      <c r="C183" t="s">
        <v>2319</v>
      </c>
      <c r="D183" t="s">
        <v>43</v>
      </c>
      <c r="E183">
        <v>1</v>
      </c>
      <c r="F183" s="6" t="s">
        <v>492</v>
      </c>
      <c r="G183" t="s">
        <v>494</v>
      </c>
      <c r="I183" s="6" t="s">
        <v>534</v>
      </c>
      <c r="J183" s="6" t="s">
        <v>542</v>
      </c>
      <c r="K183" t="s">
        <v>2302</v>
      </c>
      <c r="L183" t="s">
        <v>157</v>
      </c>
      <c r="P18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84" spans="1:16">
      <c r="A184" t="s">
        <v>2299</v>
      </c>
      <c r="B184" s="6" t="s">
        <v>2541</v>
      </c>
      <c r="C184" t="s">
        <v>2319</v>
      </c>
      <c r="D184" t="s">
        <v>44</v>
      </c>
      <c r="E184">
        <v>1</v>
      </c>
      <c r="F184" s="6" t="s">
        <v>492</v>
      </c>
      <c r="G184" t="s">
        <v>494</v>
      </c>
      <c r="I184" s="6" t="s">
        <v>545</v>
      </c>
      <c r="J184" s="6" t="s">
        <v>553</v>
      </c>
      <c r="K184" t="s">
        <v>2302</v>
      </c>
      <c r="L184" t="s">
        <v>157</v>
      </c>
      <c r="P18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85" spans="1:16">
      <c r="A185" t="s">
        <v>2299</v>
      </c>
      <c r="B185" s="6" t="s">
        <v>2542</v>
      </c>
      <c r="C185" t="s">
        <v>2319</v>
      </c>
      <c r="D185" t="s">
        <v>44</v>
      </c>
      <c r="E185">
        <v>1</v>
      </c>
      <c r="F185" s="6" t="s">
        <v>492</v>
      </c>
      <c r="G185" t="s">
        <v>494</v>
      </c>
      <c r="I185" s="6" t="s">
        <v>554</v>
      </c>
      <c r="J185" s="6" t="s">
        <v>321</v>
      </c>
      <c r="K185" t="s">
        <v>2302</v>
      </c>
      <c r="L185" t="s">
        <v>157</v>
      </c>
      <c r="P18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86" spans="1:16">
      <c r="A186" t="s">
        <v>2299</v>
      </c>
      <c r="B186" s="6" t="s">
        <v>2543</v>
      </c>
      <c r="C186" t="s">
        <v>2319</v>
      </c>
      <c r="D186" t="s">
        <v>44</v>
      </c>
      <c r="E186">
        <v>1</v>
      </c>
      <c r="F186" s="6" t="s">
        <v>492</v>
      </c>
      <c r="G186" t="s">
        <v>494</v>
      </c>
      <c r="I186" s="6" t="s">
        <v>557</v>
      </c>
      <c r="J186" s="6" t="s">
        <v>327</v>
      </c>
      <c r="K186" t="s">
        <v>2302</v>
      </c>
      <c r="L186" t="s">
        <v>157</v>
      </c>
      <c r="P18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87" spans="1:16">
      <c r="A187" t="s">
        <v>2299</v>
      </c>
      <c r="B187" s="6" t="s">
        <v>2544</v>
      </c>
      <c r="C187" t="s">
        <v>2319</v>
      </c>
      <c r="D187" t="s">
        <v>44</v>
      </c>
      <c r="E187">
        <v>1</v>
      </c>
      <c r="F187" s="6" t="s">
        <v>492</v>
      </c>
      <c r="G187" t="s">
        <v>494</v>
      </c>
      <c r="I187" s="6" t="s">
        <v>558</v>
      </c>
      <c r="J187" s="6" t="s">
        <v>560</v>
      </c>
      <c r="K187" t="s">
        <v>2302</v>
      </c>
      <c r="L187" t="s">
        <v>157</v>
      </c>
      <c r="P18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88" spans="1:16">
      <c r="A188" t="s">
        <v>2299</v>
      </c>
      <c r="B188" s="6" t="s">
        <v>2545</v>
      </c>
      <c r="C188" t="s">
        <v>2319</v>
      </c>
      <c r="D188" t="s">
        <v>305</v>
      </c>
      <c r="E188">
        <v>1</v>
      </c>
      <c r="F188" s="6" t="s">
        <v>492</v>
      </c>
      <c r="G188" t="s">
        <v>494</v>
      </c>
      <c r="I188" s="6" t="s">
        <v>572</v>
      </c>
      <c r="J188" s="6" t="s">
        <v>306</v>
      </c>
      <c r="K188" t="s">
        <v>2302</v>
      </c>
      <c r="L188" t="s">
        <v>157</v>
      </c>
      <c r="P18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89" spans="1:16">
      <c r="A189" t="s">
        <v>2299</v>
      </c>
      <c r="B189" s="6" t="s">
        <v>2546</v>
      </c>
      <c r="C189" t="s">
        <v>2319</v>
      </c>
      <c r="D189" t="s">
        <v>44</v>
      </c>
      <c r="E189">
        <v>1</v>
      </c>
      <c r="F189" s="6" t="s">
        <v>492</v>
      </c>
      <c r="G189" t="s">
        <v>494</v>
      </c>
      <c r="I189" s="6" t="s">
        <v>581</v>
      </c>
      <c r="J189" s="6" t="s">
        <v>256</v>
      </c>
      <c r="K189" t="s">
        <v>2302</v>
      </c>
      <c r="L189" t="s">
        <v>157</v>
      </c>
      <c r="P18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90" spans="1:16">
      <c r="A190" t="s">
        <v>2299</v>
      </c>
      <c r="B190" s="6" t="s">
        <v>2547</v>
      </c>
      <c r="C190" t="s">
        <v>2319</v>
      </c>
      <c r="D190" t="s">
        <v>44</v>
      </c>
      <c r="E190">
        <v>1</v>
      </c>
      <c r="F190" s="6" t="s">
        <v>492</v>
      </c>
      <c r="G190" t="s">
        <v>494</v>
      </c>
      <c r="I190" s="6" t="s">
        <v>583</v>
      </c>
      <c r="J190" s="6" t="s">
        <v>262</v>
      </c>
      <c r="K190" t="s">
        <v>2302</v>
      </c>
      <c r="L190" t="s">
        <v>157</v>
      </c>
      <c r="P19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91" spans="1:16">
      <c r="A191" t="s">
        <v>2299</v>
      </c>
      <c r="B191" s="6" t="s">
        <v>2548</v>
      </c>
      <c r="C191" t="s">
        <v>2319</v>
      </c>
      <c r="D191" t="s">
        <v>44</v>
      </c>
      <c r="E191">
        <v>1</v>
      </c>
      <c r="F191" s="6" t="s">
        <v>492</v>
      </c>
      <c r="G191" t="s">
        <v>494</v>
      </c>
      <c r="I191" s="6" t="s">
        <v>589</v>
      </c>
      <c r="J191" s="6" t="s">
        <v>156</v>
      </c>
      <c r="K191" t="s">
        <v>2302</v>
      </c>
      <c r="L191" t="s">
        <v>157</v>
      </c>
      <c r="P19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92" spans="1:16">
      <c r="A192" t="s">
        <v>2299</v>
      </c>
      <c r="B192" s="6" t="s">
        <v>2549</v>
      </c>
      <c r="C192" t="s">
        <v>2319</v>
      </c>
      <c r="D192" t="s">
        <v>43</v>
      </c>
      <c r="E192">
        <v>1</v>
      </c>
      <c r="F192" s="6" t="s">
        <v>492</v>
      </c>
      <c r="G192" t="s">
        <v>494</v>
      </c>
      <c r="I192" s="6" t="s">
        <v>591</v>
      </c>
      <c r="J192" s="6" t="s">
        <v>599</v>
      </c>
      <c r="K192" t="s">
        <v>2302</v>
      </c>
      <c r="L192" t="s">
        <v>157</v>
      </c>
      <c r="P19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93" spans="1:16">
      <c r="A193" t="s">
        <v>2299</v>
      </c>
      <c r="B193" s="6" t="s">
        <v>2550</v>
      </c>
      <c r="C193" t="s">
        <v>2319</v>
      </c>
      <c r="D193" t="s">
        <v>43</v>
      </c>
      <c r="E193">
        <v>1</v>
      </c>
      <c r="F193" s="6" t="s">
        <v>492</v>
      </c>
      <c r="G193" t="s">
        <v>494</v>
      </c>
      <c r="I193" s="6" t="s">
        <v>609</v>
      </c>
      <c r="J193" s="6" t="s">
        <v>619</v>
      </c>
      <c r="K193" t="s">
        <v>2302</v>
      </c>
      <c r="L193" t="s">
        <v>157</v>
      </c>
      <c r="P19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94" spans="1:16">
      <c r="A194" t="s">
        <v>2299</v>
      </c>
      <c r="B194" s="6" t="s">
        <v>2551</v>
      </c>
      <c r="C194" t="s">
        <v>2319</v>
      </c>
      <c r="D194" t="s">
        <v>43</v>
      </c>
      <c r="E194">
        <v>1</v>
      </c>
      <c r="F194" s="6" t="s">
        <v>492</v>
      </c>
      <c r="G194" t="s">
        <v>494</v>
      </c>
      <c r="I194" s="6" t="s">
        <v>631</v>
      </c>
      <c r="J194" s="6" t="s">
        <v>207</v>
      </c>
      <c r="K194" t="s">
        <v>2302</v>
      </c>
      <c r="L194" t="s">
        <v>157</v>
      </c>
      <c r="P19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95" spans="1:16">
      <c r="A195" t="s">
        <v>2299</v>
      </c>
      <c r="B195" s="6" t="s">
        <v>2552</v>
      </c>
      <c r="C195" t="s">
        <v>2319</v>
      </c>
      <c r="D195" t="s">
        <v>44</v>
      </c>
      <c r="E195">
        <v>1</v>
      </c>
      <c r="F195" s="6" t="s">
        <v>492</v>
      </c>
      <c r="G195" t="s">
        <v>494</v>
      </c>
      <c r="I195" s="6" t="s">
        <v>635</v>
      </c>
      <c r="J195" s="6" t="s">
        <v>277</v>
      </c>
      <c r="K195" t="s">
        <v>2302</v>
      </c>
      <c r="L195" t="s">
        <v>157</v>
      </c>
      <c r="P19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96" spans="1:16">
      <c r="A196" t="s">
        <v>2299</v>
      </c>
      <c r="B196" s="6" t="s">
        <v>2553</v>
      </c>
      <c r="C196" t="s">
        <v>2319</v>
      </c>
      <c r="D196" t="s">
        <v>44</v>
      </c>
      <c r="E196">
        <v>1</v>
      </c>
      <c r="F196" s="6" t="s">
        <v>492</v>
      </c>
      <c r="G196" t="s">
        <v>494</v>
      </c>
      <c r="I196" s="6" t="s">
        <v>638</v>
      </c>
      <c r="J196" s="6" t="s">
        <v>640</v>
      </c>
      <c r="K196" t="s">
        <v>2302</v>
      </c>
      <c r="L196" t="s">
        <v>157</v>
      </c>
      <c r="P19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97" spans="1:16">
      <c r="A197" t="s">
        <v>2299</v>
      </c>
      <c r="B197" s="6" t="s">
        <v>2554</v>
      </c>
      <c r="C197" t="s">
        <v>2319</v>
      </c>
      <c r="D197" t="s">
        <v>44</v>
      </c>
      <c r="E197">
        <v>1</v>
      </c>
      <c r="F197" s="6" t="s">
        <v>492</v>
      </c>
      <c r="G197" t="s">
        <v>494</v>
      </c>
      <c r="I197" s="6" t="s">
        <v>641</v>
      </c>
      <c r="J197" s="6" t="s">
        <v>643</v>
      </c>
      <c r="K197" t="s">
        <v>2302</v>
      </c>
      <c r="L197" t="s">
        <v>157</v>
      </c>
      <c r="P19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98" spans="1:16">
      <c r="A198" t="s">
        <v>2299</v>
      </c>
      <c r="B198" s="6" t="s">
        <v>2555</v>
      </c>
      <c r="C198" t="s">
        <v>2319</v>
      </c>
      <c r="D198" t="s">
        <v>43</v>
      </c>
      <c r="E198">
        <v>1</v>
      </c>
      <c r="F198" s="6" t="s">
        <v>492</v>
      </c>
      <c r="G198" t="s">
        <v>494</v>
      </c>
      <c r="I198" s="6" t="s">
        <v>649</v>
      </c>
      <c r="J198" s="6" t="s">
        <v>656</v>
      </c>
      <c r="K198" t="s">
        <v>2302</v>
      </c>
      <c r="L198" t="s">
        <v>157</v>
      </c>
      <c r="P19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199" spans="1:16">
      <c r="A199" t="s">
        <v>2299</v>
      </c>
      <c r="B199" s="6" t="s">
        <v>2556</v>
      </c>
      <c r="C199" t="s">
        <v>2319</v>
      </c>
      <c r="D199" t="s">
        <v>44</v>
      </c>
      <c r="E199">
        <v>1</v>
      </c>
      <c r="F199" s="6" t="s">
        <v>492</v>
      </c>
      <c r="G199" t="s">
        <v>494</v>
      </c>
      <c r="I199" s="6" t="s">
        <v>677</v>
      </c>
      <c r="J199" s="6" t="s">
        <v>681</v>
      </c>
      <c r="K199" t="s">
        <v>2302</v>
      </c>
      <c r="L199" t="s">
        <v>157</v>
      </c>
      <c r="P19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00" spans="1:16">
      <c r="A200" t="s">
        <v>2299</v>
      </c>
      <c r="B200" s="6" t="s">
        <v>2557</v>
      </c>
      <c r="C200" t="s">
        <v>2319</v>
      </c>
      <c r="D200" t="s">
        <v>43</v>
      </c>
      <c r="E200">
        <v>1</v>
      </c>
      <c r="F200" s="6" t="s">
        <v>492</v>
      </c>
      <c r="G200" t="s">
        <v>494</v>
      </c>
      <c r="I200" s="6" t="s">
        <v>684</v>
      </c>
      <c r="J200" s="6" t="s">
        <v>692</v>
      </c>
      <c r="K200" t="s">
        <v>2302</v>
      </c>
      <c r="L200" t="s">
        <v>157</v>
      </c>
      <c r="P20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01" spans="1:16">
      <c r="A201" t="s">
        <v>2299</v>
      </c>
      <c r="B201" s="6" t="s">
        <v>2558</v>
      </c>
      <c r="C201" t="s">
        <v>2319</v>
      </c>
      <c r="D201" t="s">
        <v>47</v>
      </c>
      <c r="E201">
        <v>1</v>
      </c>
      <c r="F201" s="6" t="s">
        <v>492</v>
      </c>
      <c r="G201" t="s">
        <v>494</v>
      </c>
      <c r="I201" s="6" t="s">
        <v>702</v>
      </c>
      <c r="J201" s="6" t="s">
        <v>709</v>
      </c>
      <c r="K201" t="s">
        <v>2302</v>
      </c>
      <c r="L201" t="s">
        <v>157</v>
      </c>
      <c r="P20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02" spans="1:16">
      <c r="A202" t="s">
        <v>2299</v>
      </c>
      <c r="B202" s="6" t="s">
        <v>2559</v>
      </c>
      <c r="C202" t="s">
        <v>2319</v>
      </c>
      <c r="D202" t="s">
        <v>44</v>
      </c>
      <c r="E202">
        <v>1</v>
      </c>
      <c r="F202" s="6" t="s">
        <v>492</v>
      </c>
      <c r="G202" t="s">
        <v>494</v>
      </c>
      <c r="I202" s="6" t="s">
        <v>712</v>
      </c>
      <c r="J202" s="6" t="s">
        <v>241</v>
      </c>
      <c r="K202" t="s">
        <v>2302</v>
      </c>
      <c r="L202" t="s">
        <v>157</v>
      </c>
      <c r="P20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03" spans="1:16">
      <c r="A203" t="s">
        <v>2299</v>
      </c>
      <c r="B203" s="6" t="s">
        <v>2560</v>
      </c>
      <c r="C203" t="s">
        <v>2319</v>
      </c>
      <c r="D203" t="s">
        <v>723</v>
      </c>
      <c r="E203">
        <v>1</v>
      </c>
      <c r="F203" s="6" t="s">
        <v>492</v>
      </c>
      <c r="G203" t="s">
        <v>494</v>
      </c>
      <c r="I203" s="6" t="s">
        <v>716</v>
      </c>
      <c r="J203" s="6" t="s">
        <v>724</v>
      </c>
      <c r="K203" t="s">
        <v>2302</v>
      </c>
      <c r="L203" t="s">
        <v>157</v>
      </c>
      <c r="P20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04" spans="1:16">
      <c r="A204" t="s">
        <v>2299</v>
      </c>
      <c r="B204" s="6" t="s">
        <v>2561</v>
      </c>
      <c r="C204" t="s">
        <v>2319</v>
      </c>
      <c r="D204" t="s">
        <v>43</v>
      </c>
      <c r="E204">
        <v>1</v>
      </c>
      <c r="F204" s="6" t="s">
        <v>492</v>
      </c>
      <c r="G204" t="s">
        <v>494</v>
      </c>
      <c r="I204" s="6" t="s">
        <v>725</v>
      </c>
      <c r="J204" s="6" t="s">
        <v>733</v>
      </c>
      <c r="K204" t="s">
        <v>2302</v>
      </c>
      <c r="L204" t="s">
        <v>157</v>
      </c>
      <c r="P20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05" spans="1:16">
      <c r="A205" t="s">
        <v>2299</v>
      </c>
      <c r="B205" s="6" t="s">
        <v>2562</v>
      </c>
      <c r="C205" t="s">
        <v>2319</v>
      </c>
      <c r="D205" t="s">
        <v>43</v>
      </c>
      <c r="E205">
        <v>1</v>
      </c>
      <c r="F205" s="6" t="s">
        <v>735</v>
      </c>
      <c r="G205" t="s">
        <v>737</v>
      </c>
      <c r="I205" s="6" t="s">
        <v>750</v>
      </c>
      <c r="J205" s="6" t="s">
        <v>760</v>
      </c>
      <c r="K205" t="s">
        <v>2302</v>
      </c>
      <c r="L205" t="s">
        <v>157</v>
      </c>
      <c r="P20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06" spans="1:16">
      <c r="A206" t="s">
        <v>2299</v>
      </c>
      <c r="B206" s="6" t="s">
        <v>2563</v>
      </c>
      <c r="C206" t="s">
        <v>2319</v>
      </c>
      <c r="D206" t="s">
        <v>43</v>
      </c>
      <c r="E206">
        <v>1</v>
      </c>
      <c r="F206" s="6" t="s">
        <v>735</v>
      </c>
      <c r="G206" t="s">
        <v>737</v>
      </c>
      <c r="I206" s="6" t="s">
        <v>761</v>
      </c>
      <c r="J206" s="6" t="s">
        <v>768</v>
      </c>
      <c r="K206" t="s">
        <v>2302</v>
      </c>
      <c r="L206" t="s">
        <v>157</v>
      </c>
      <c r="P20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07" spans="1:16">
      <c r="A207" t="s">
        <v>2299</v>
      </c>
      <c r="B207" s="6" t="s">
        <v>2564</v>
      </c>
      <c r="C207" t="s">
        <v>2319</v>
      </c>
      <c r="D207" t="s">
        <v>43</v>
      </c>
      <c r="E207">
        <v>1</v>
      </c>
      <c r="F207" s="6" t="s">
        <v>735</v>
      </c>
      <c r="G207" t="s">
        <v>737</v>
      </c>
      <c r="I207" s="6" t="s">
        <v>769</v>
      </c>
      <c r="J207" s="6" t="s">
        <v>619</v>
      </c>
      <c r="K207" t="s">
        <v>2302</v>
      </c>
      <c r="L207" t="s">
        <v>157</v>
      </c>
      <c r="P20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08" spans="1:16">
      <c r="A208" t="s">
        <v>2299</v>
      </c>
      <c r="B208" s="6" t="s">
        <v>2565</v>
      </c>
      <c r="C208" t="s">
        <v>2319</v>
      </c>
      <c r="D208" t="s">
        <v>47</v>
      </c>
      <c r="E208">
        <v>1</v>
      </c>
      <c r="F208" s="6" t="s">
        <v>735</v>
      </c>
      <c r="G208" t="s">
        <v>737</v>
      </c>
      <c r="I208" s="6" t="s">
        <v>775</v>
      </c>
      <c r="J208" s="6" t="s">
        <v>783</v>
      </c>
      <c r="K208" t="s">
        <v>2302</v>
      </c>
      <c r="L208" t="s">
        <v>157</v>
      </c>
      <c r="P20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09" spans="1:16">
      <c r="A209" t="s">
        <v>2299</v>
      </c>
      <c r="B209" s="6" t="s">
        <v>2566</v>
      </c>
      <c r="C209" t="s">
        <v>2319</v>
      </c>
      <c r="D209" t="s">
        <v>792</v>
      </c>
      <c r="E209">
        <v>1</v>
      </c>
      <c r="F209" s="6" t="s">
        <v>735</v>
      </c>
      <c r="G209" t="s">
        <v>737</v>
      </c>
      <c r="I209" s="6" t="s">
        <v>784</v>
      </c>
      <c r="J209" s="6" t="s">
        <v>793</v>
      </c>
      <c r="K209" t="s">
        <v>2302</v>
      </c>
      <c r="L209" t="s">
        <v>157</v>
      </c>
      <c r="P20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10" spans="1:16">
      <c r="A210" t="s">
        <v>2299</v>
      </c>
      <c r="B210" s="6" t="s">
        <v>2567</v>
      </c>
      <c r="C210" t="s">
        <v>2319</v>
      </c>
      <c r="D210" t="s">
        <v>44</v>
      </c>
      <c r="E210">
        <v>1</v>
      </c>
      <c r="F210" s="6" t="s">
        <v>735</v>
      </c>
      <c r="G210" t="s">
        <v>737</v>
      </c>
      <c r="I210" s="6" t="s">
        <v>794</v>
      </c>
      <c r="J210" s="6" t="s">
        <v>440</v>
      </c>
      <c r="K210" t="s">
        <v>2302</v>
      </c>
      <c r="L210" t="s">
        <v>157</v>
      </c>
      <c r="P21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11" spans="1:16">
      <c r="A211" t="s">
        <v>2299</v>
      </c>
      <c r="B211" s="6" t="s">
        <v>2568</v>
      </c>
      <c r="C211" t="s">
        <v>2319</v>
      </c>
      <c r="D211" t="s">
        <v>812</v>
      </c>
      <c r="E211">
        <v>1</v>
      </c>
      <c r="F211" s="6" t="s">
        <v>735</v>
      </c>
      <c r="G211" t="s">
        <v>737</v>
      </c>
      <c r="I211" s="6" t="s">
        <v>808</v>
      </c>
      <c r="J211" s="6" t="s">
        <v>813</v>
      </c>
      <c r="K211" t="s">
        <v>2302</v>
      </c>
      <c r="L211" t="s">
        <v>157</v>
      </c>
      <c r="P21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12" spans="1:16">
      <c r="A212" t="s">
        <v>2299</v>
      </c>
      <c r="B212" s="6" t="s">
        <v>2569</v>
      </c>
      <c r="C212" t="s">
        <v>2319</v>
      </c>
      <c r="D212" t="s">
        <v>43</v>
      </c>
      <c r="E212">
        <v>1</v>
      </c>
      <c r="F212" s="6" t="s">
        <v>735</v>
      </c>
      <c r="G212" t="s">
        <v>737</v>
      </c>
      <c r="I212" s="6" t="s">
        <v>814</v>
      </c>
      <c r="J212" s="6" t="s">
        <v>822</v>
      </c>
      <c r="K212" t="s">
        <v>2302</v>
      </c>
      <c r="L212" t="s">
        <v>157</v>
      </c>
      <c r="P21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13" spans="1:16">
      <c r="A213" t="s">
        <v>2299</v>
      </c>
      <c r="B213" s="6" t="s">
        <v>2570</v>
      </c>
      <c r="C213" t="s">
        <v>2319</v>
      </c>
      <c r="D213" t="s">
        <v>43</v>
      </c>
      <c r="E213">
        <v>1</v>
      </c>
      <c r="F213" s="6" t="s">
        <v>735</v>
      </c>
      <c r="G213" t="s">
        <v>737</v>
      </c>
      <c r="I213" s="6" t="s">
        <v>823</v>
      </c>
      <c r="J213" s="6" t="s">
        <v>830</v>
      </c>
      <c r="K213" t="s">
        <v>2302</v>
      </c>
      <c r="L213" t="s">
        <v>157</v>
      </c>
      <c r="P21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14" spans="1:16">
      <c r="A214" t="s">
        <v>2299</v>
      </c>
      <c r="B214" s="6" t="s">
        <v>2571</v>
      </c>
      <c r="C214" t="s">
        <v>2319</v>
      </c>
      <c r="D214" t="s">
        <v>43</v>
      </c>
      <c r="E214">
        <v>1</v>
      </c>
      <c r="F214" s="6" t="s">
        <v>735</v>
      </c>
      <c r="G214" t="s">
        <v>737</v>
      </c>
      <c r="I214" s="6" t="s">
        <v>845</v>
      </c>
      <c r="J214" s="6" t="s">
        <v>853</v>
      </c>
      <c r="K214" t="s">
        <v>2302</v>
      </c>
      <c r="L214" t="s">
        <v>157</v>
      </c>
      <c r="P21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15" spans="1:16">
      <c r="A215" t="s">
        <v>2299</v>
      </c>
      <c r="B215" s="6" t="s">
        <v>2572</v>
      </c>
      <c r="C215" t="s">
        <v>2319</v>
      </c>
      <c r="D215" t="s">
        <v>792</v>
      </c>
      <c r="E215">
        <v>1</v>
      </c>
      <c r="F215" s="6" t="s">
        <v>735</v>
      </c>
      <c r="G215" t="s">
        <v>737</v>
      </c>
      <c r="I215" s="6" t="s">
        <v>873</v>
      </c>
      <c r="J215" s="6" t="s">
        <v>880</v>
      </c>
      <c r="K215" t="s">
        <v>2302</v>
      </c>
      <c r="L215" t="s">
        <v>157</v>
      </c>
      <c r="P21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16" spans="1:16">
      <c r="A216" t="s">
        <v>2299</v>
      </c>
      <c r="B216" s="6" t="s">
        <v>2573</v>
      </c>
      <c r="C216" t="s">
        <v>2319</v>
      </c>
      <c r="D216" t="s">
        <v>792</v>
      </c>
      <c r="E216">
        <v>1</v>
      </c>
      <c r="F216" s="6" t="s">
        <v>735</v>
      </c>
      <c r="G216" t="s">
        <v>737</v>
      </c>
      <c r="I216" s="6" t="s">
        <v>881</v>
      </c>
      <c r="J216" s="6" t="s">
        <v>889</v>
      </c>
      <c r="K216" t="s">
        <v>2302</v>
      </c>
      <c r="L216" t="s">
        <v>157</v>
      </c>
      <c r="P21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17" spans="1:16">
      <c r="A217" t="s">
        <v>2299</v>
      </c>
      <c r="B217" s="6" t="s">
        <v>2574</v>
      </c>
      <c r="C217" t="s">
        <v>2319</v>
      </c>
      <c r="D217" t="s">
        <v>43</v>
      </c>
      <c r="E217">
        <v>1</v>
      </c>
      <c r="F217" s="6" t="s">
        <v>735</v>
      </c>
      <c r="G217" t="s">
        <v>737</v>
      </c>
      <c r="I217" s="6" t="s">
        <v>890</v>
      </c>
      <c r="J217" s="6" t="s">
        <v>897</v>
      </c>
      <c r="K217" t="s">
        <v>2302</v>
      </c>
      <c r="L217" t="s">
        <v>157</v>
      </c>
      <c r="P21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18" spans="1:16">
      <c r="A218" t="s">
        <v>2299</v>
      </c>
      <c r="B218" s="6" t="s">
        <v>2575</v>
      </c>
      <c r="C218" t="s">
        <v>2319</v>
      </c>
      <c r="D218" t="s">
        <v>43</v>
      </c>
      <c r="E218">
        <v>1</v>
      </c>
      <c r="F218" s="6" t="s">
        <v>735</v>
      </c>
      <c r="G218" t="s">
        <v>737</v>
      </c>
      <c r="I218" s="6" t="s">
        <v>901</v>
      </c>
      <c r="J218" s="6" t="s">
        <v>909</v>
      </c>
      <c r="K218" t="s">
        <v>2302</v>
      </c>
      <c r="L218" t="s">
        <v>157</v>
      </c>
      <c r="P21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19" spans="1:16">
      <c r="A219" t="s">
        <v>2299</v>
      </c>
      <c r="B219" s="6" t="s">
        <v>2576</v>
      </c>
      <c r="C219" t="s">
        <v>2319</v>
      </c>
      <c r="D219" t="s">
        <v>43</v>
      </c>
      <c r="E219">
        <v>1</v>
      </c>
      <c r="F219" s="6" t="s">
        <v>735</v>
      </c>
      <c r="G219" t="s">
        <v>737</v>
      </c>
      <c r="I219" s="6" t="s">
        <v>910</v>
      </c>
      <c r="J219" s="6" t="s">
        <v>917</v>
      </c>
      <c r="K219" t="s">
        <v>2302</v>
      </c>
      <c r="L219" t="s">
        <v>157</v>
      </c>
      <c r="P21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20" spans="1:16">
      <c r="A220" t="s">
        <v>2299</v>
      </c>
      <c r="B220" s="6" t="s">
        <v>2577</v>
      </c>
      <c r="C220" t="s">
        <v>2319</v>
      </c>
      <c r="D220" t="s">
        <v>44</v>
      </c>
      <c r="E220">
        <v>1</v>
      </c>
      <c r="F220" s="6" t="s">
        <v>735</v>
      </c>
      <c r="G220" t="s">
        <v>737</v>
      </c>
      <c r="I220" s="6" t="s">
        <v>918</v>
      </c>
      <c r="J220" s="6" t="s">
        <v>921</v>
      </c>
      <c r="K220" t="s">
        <v>2302</v>
      </c>
      <c r="L220" t="s">
        <v>157</v>
      </c>
      <c r="P22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21" spans="1:16">
      <c r="A221" t="s">
        <v>2299</v>
      </c>
      <c r="B221" s="6" t="s">
        <v>2578</v>
      </c>
      <c r="C221" t="s">
        <v>2319</v>
      </c>
      <c r="D221" t="s">
        <v>723</v>
      </c>
      <c r="E221">
        <v>1</v>
      </c>
      <c r="F221" s="6" t="s">
        <v>735</v>
      </c>
      <c r="G221" t="s">
        <v>737</v>
      </c>
      <c r="I221" s="6" t="s">
        <v>922</v>
      </c>
      <c r="J221" s="6" t="s">
        <v>929</v>
      </c>
      <c r="K221" t="s">
        <v>2302</v>
      </c>
      <c r="L221" t="s">
        <v>157</v>
      </c>
      <c r="P22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22" spans="1:16">
      <c r="A222" t="s">
        <v>2299</v>
      </c>
      <c r="B222" s="6" t="s">
        <v>2579</v>
      </c>
      <c r="C222" t="s">
        <v>2319</v>
      </c>
      <c r="D222" t="s">
        <v>43</v>
      </c>
      <c r="E222">
        <v>1</v>
      </c>
      <c r="F222" s="6" t="s">
        <v>735</v>
      </c>
      <c r="G222" t="s">
        <v>737</v>
      </c>
      <c r="I222" s="6" t="s">
        <v>941</v>
      </c>
      <c r="J222" s="6" t="s">
        <v>949</v>
      </c>
      <c r="K222" t="s">
        <v>2302</v>
      </c>
      <c r="L222" t="s">
        <v>157</v>
      </c>
      <c r="P22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23" spans="1:16">
      <c r="A223" t="s">
        <v>2299</v>
      </c>
      <c r="B223" s="6" t="s">
        <v>2580</v>
      </c>
      <c r="C223" t="s">
        <v>2319</v>
      </c>
      <c r="D223" t="s">
        <v>43</v>
      </c>
      <c r="E223">
        <v>1</v>
      </c>
      <c r="F223" s="6" t="s">
        <v>735</v>
      </c>
      <c r="G223" t="s">
        <v>737</v>
      </c>
      <c r="I223" s="6" t="s">
        <v>952</v>
      </c>
      <c r="J223" s="6" t="s">
        <v>958</v>
      </c>
      <c r="K223" t="s">
        <v>2302</v>
      </c>
      <c r="L223" t="s">
        <v>157</v>
      </c>
      <c r="P22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24" spans="1:16">
      <c r="A224" t="s">
        <v>2299</v>
      </c>
      <c r="B224" s="6" t="s">
        <v>2581</v>
      </c>
      <c r="C224" t="s">
        <v>2319</v>
      </c>
      <c r="D224" t="s">
        <v>43</v>
      </c>
      <c r="E224">
        <v>1</v>
      </c>
      <c r="F224" s="6" t="s">
        <v>735</v>
      </c>
      <c r="G224" t="s">
        <v>737</v>
      </c>
      <c r="I224" s="6" t="s">
        <v>959</v>
      </c>
      <c r="J224" s="6" t="s">
        <v>967</v>
      </c>
      <c r="K224" t="s">
        <v>2302</v>
      </c>
      <c r="L224" t="s">
        <v>157</v>
      </c>
      <c r="P22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25" spans="1:16">
      <c r="A225" t="s">
        <v>2299</v>
      </c>
      <c r="B225" s="6" t="s">
        <v>2582</v>
      </c>
      <c r="C225" t="s">
        <v>2319</v>
      </c>
      <c r="D225" t="s">
        <v>43</v>
      </c>
      <c r="E225">
        <v>1</v>
      </c>
      <c r="F225" s="6" t="s">
        <v>735</v>
      </c>
      <c r="G225" t="s">
        <v>737</v>
      </c>
      <c r="I225" s="6" t="s">
        <v>976</v>
      </c>
      <c r="J225" s="6" t="s">
        <v>982</v>
      </c>
      <c r="K225" t="s">
        <v>2302</v>
      </c>
      <c r="L225" t="s">
        <v>157</v>
      </c>
      <c r="P22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26" spans="1:16">
      <c r="A226" t="s">
        <v>2299</v>
      </c>
      <c r="B226" s="6" t="s">
        <v>2583</v>
      </c>
      <c r="C226" t="s">
        <v>2319</v>
      </c>
      <c r="D226" t="s">
        <v>47</v>
      </c>
      <c r="E226">
        <v>1</v>
      </c>
      <c r="F226" s="6" t="s">
        <v>735</v>
      </c>
      <c r="G226" t="s">
        <v>737</v>
      </c>
      <c r="I226" s="6" t="s">
        <v>983</v>
      </c>
      <c r="J226" s="6" t="s">
        <v>709</v>
      </c>
      <c r="K226" t="s">
        <v>2302</v>
      </c>
      <c r="L226" t="s">
        <v>157</v>
      </c>
      <c r="P22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27" spans="1:16">
      <c r="A227" t="s">
        <v>2299</v>
      </c>
      <c r="B227" s="6" t="s">
        <v>2584</v>
      </c>
      <c r="C227" t="s">
        <v>2319</v>
      </c>
      <c r="D227" t="s">
        <v>43</v>
      </c>
      <c r="E227">
        <v>1</v>
      </c>
      <c r="F227" s="6" t="s">
        <v>735</v>
      </c>
      <c r="G227" t="s">
        <v>737</v>
      </c>
      <c r="I227" s="6" t="s">
        <v>986</v>
      </c>
      <c r="J227" s="6" t="s">
        <v>994</v>
      </c>
      <c r="K227" t="s">
        <v>2302</v>
      </c>
      <c r="L227" t="s">
        <v>157</v>
      </c>
      <c r="P22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28" spans="1:16">
      <c r="A228" t="s">
        <v>2299</v>
      </c>
      <c r="B228" s="6" t="s">
        <v>2585</v>
      </c>
      <c r="C228" t="s">
        <v>2319</v>
      </c>
      <c r="D228" t="s">
        <v>43</v>
      </c>
      <c r="E228">
        <v>1</v>
      </c>
      <c r="F228" s="6" t="s">
        <v>735</v>
      </c>
      <c r="G228" t="s">
        <v>737</v>
      </c>
      <c r="I228" s="6" t="s">
        <v>995</v>
      </c>
      <c r="J228" s="6" t="s">
        <v>1002</v>
      </c>
      <c r="K228" t="s">
        <v>2302</v>
      </c>
      <c r="L228" t="s">
        <v>157</v>
      </c>
      <c r="P22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29" spans="1:16">
      <c r="A229" t="s">
        <v>2299</v>
      </c>
      <c r="B229" s="6" t="s">
        <v>2586</v>
      </c>
      <c r="C229" t="s">
        <v>2319</v>
      </c>
      <c r="D229" t="s">
        <v>44</v>
      </c>
      <c r="E229">
        <v>1</v>
      </c>
      <c r="F229" s="6" t="s">
        <v>735</v>
      </c>
      <c r="G229" t="s">
        <v>737</v>
      </c>
      <c r="I229" s="6" t="s">
        <v>1003</v>
      </c>
      <c r="J229" s="6" t="s">
        <v>475</v>
      </c>
      <c r="K229" t="s">
        <v>2302</v>
      </c>
      <c r="L229" t="s">
        <v>157</v>
      </c>
      <c r="P22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30" spans="1:16">
      <c r="A230" t="s">
        <v>2299</v>
      </c>
      <c r="B230" s="6" t="s">
        <v>2587</v>
      </c>
      <c r="C230" t="s">
        <v>2319</v>
      </c>
      <c r="D230" t="s">
        <v>43</v>
      </c>
      <c r="E230">
        <v>1</v>
      </c>
      <c r="F230" s="6" t="s">
        <v>735</v>
      </c>
      <c r="G230" t="s">
        <v>737</v>
      </c>
      <c r="I230" s="6" t="s">
        <v>1006</v>
      </c>
      <c r="J230" s="6" t="s">
        <v>1013</v>
      </c>
      <c r="K230" t="s">
        <v>2302</v>
      </c>
      <c r="L230" t="s">
        <v>157</v>
      </c>
      <c r="P23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31" spans="1:16">
      <c r="A231" t="s">
        <v>2299</v>
      </c>
      <c r="B231" s="6" t="s">
        <v>2588</v>
      </c>
      <c r="C231" t="s">
        <v>2319</v>
      </c>
      <c r="D231" t="s">
        <v>43</v>
      </c>
      <c r="E231">
        <v>1</v>
      </c>
      <c r="F231" s="6" t="s">
        <v>735</v>
      </c>
      <c r="G231" t="s">
        <v>737</v>
      </c>
      <c r="I231" s="6" t="s">
        <v>1014</v>
      </c>
      <c r="J231" s="6" t="s">
        <v>1021</v>
      </c>
      <c r="K231" t="s">
        <v>2302</v>
      </c>
      <c r="L231" t="s">
        <v>157</v>
      </c>
      <c r="P23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32" spans="1:16">
      <c r="A232" t="s">
        <v>2299</v>
      </c>
      <c r="B232" s="6" t="s">
        <v>2589</v>
      </c>
      <c r="C232" t="s">
        <v>2319</v>
      </c>
      <c r="D232" t="s">
        <v>812</v>
      </c>
      <c r="E232">
        <v>1</v>
      </c>
      <c r="F232" s="6" t="s">
        <v>735</v>
      </c>
      <c r="G232" t="s">
        <v>737</v>
      </c>
      <c r="I232" s="6" t="s">
        <v>1022</v>
      </c>
      <c r="J232" s="6" t="s">
        <v>676</v>
      </c>
      <c r="K232" t="s">
        <v>2302</v>
      </c>
      <c r="L232" t="s">
        <v>157</v>
      </c>
      <c r="P23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33" spans="1:16">
      <c r="A233" t="s">
        <v>2299</v>
      </c>
      <c r="B233" s="6" t="s">
        <v>2590</v>
      </c>
      <c r="C233" t="s">
        <v>2319</v>
      </c>
      <c r="D233" t="s">
        <v>792</v>
      </c>
      <c r="E233">
        <v>1</v>
      </c>
      <c r="F233" s="6" t="s">
        <v>735</v>
      </c>
      <c r="G233" t="s">
        <v>737</v>
      </c>
      <c r="I233" s="6" t="s">
        <v>1026</v>
      </c>
      <c r="J233" s="6" t="s">
        <v>1033</v>
      </c>
      <c r="K233" t="s">
        <v>2302</v>
      </c>
      <c r="L233" t="s">
        <v>157</v>
      </c>
      <c r="P23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34" spans="1:16">
      <c r="A234" t="s">
        <v>2299</v>
      </c>
      <c r="B234" s="6" t="s">
        <v>2591</v>
      </c>
      <c r="C234" t="s">
        <v>2319</v>
      </c>
      <c r="D234" t="s">
        <v>43</v>
      </c>
      <c r="E234">
        <v>1</v>
      </c>
      <c r="F234" s="6" t="s">
        <v>735</v>
      </c>
      <c r="G234" t="s">
        <v>737</v>
      </c>
      <c r="I234" s="6" t="s">
        <v>1034</v>
      </c>
      <c r="J234" s="6" t="s">
        <v>367</v>
      </c>
      <c r="K234" t="s">
        <v>2302</v>
      </c>
      <c r="L234" t="s">
        <v>157</v>
      </c>
      <c r="P23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35" spans="1:16">
      <c r="A235" t="s">
        <v>2299</v>
      </c>
      <c r="B235" s="6" t="s">
        <v>2592</v>
      </c>
      <c r="C235" t="s">
        <v>2319</v>
      </c>
      <c r="D235" t="s">
        <v>43</v>
      </c>
      <c r="E235">
        <v>1</v>
      </c>
      <c r="F235" s="6" t="s">
        <v>735</v>
      </c>
      <c r="G235" t="s">
        <v>737</v>
      </c>
      <c r="I235" s="6" t="s">
        <v>1036</v>
      </c>
      <c r="J235" s="6" t="s">
        <v>1043</v>
      </c>
      <c r="K235" t="s">
        <v>2302</v>
      </c>
      <c r="L235" t="s">
        <v>157</v>
      </c>
      <c r="P23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36" spans="1:16">
      <c r="A236" t="s">
        <v>2299</v>
      </c>
      <c r="B236" s="6" t="s">
        <v>2593</v>
      </c>
      <c r="C236" t="s">
        <v>2319</v>
      </c>
      <c r="D236" t="s">
        <v>1054</v>
      </c>
      <c r="E236">
        <v>1</v>
      </c>
      <c r="F236" s="6" t="s">
        <v>735</v>
      </c>
      <c r="G236" t="s">
        <v>737</v>
      </c>
      <c r="I236" s="6" t="s">
        <v>1047</v>
      </c>
      <c r="J236" s="6" t="s">
        <v>1055</v>
      </c>
      <c r="K236" t="s">
        <v>2302</v>
      </c>
      <c r="L236" t="s">
        <v>157</v>
      </c>
      <c r="P23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37" spans="1:16">
      <c r="A237" t="s">
        <v>2299</v>
      </c>
      <c r="B237" s="6" t="s">
        <v>2594</v>
      </c>
      <c r="C237" t="s">
        <v>2319</v>
      </c>
      <c r="D237" t="s">
        <v>1054</v>
      </c>
      <c r="E237">
        <v>1</v>
      </c>
      <c r="F237" s="6" t="s">
        <v>735</v>
      </c>
      <c r="G237" t="s">
        <v>737</v>
      </c>
      <c r="I237" s="6" t="s">
        <v>1056</v>
      </c>
      <c r="J237" s="6" t="s">
        <v>1062</v>
      </c>
      <c r="K237" t="s">
        <v>2302</v>
      </c>
      <c r="L237" t="s">
        <v>157</v>
      </c>
      <c r="P23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38" spans="1:16">
      <c r="A238" t="s">
        <v>2299</v>
      </c>
      <c r="B238" s="6" t="s">
        <v>2595</v>
      </c>
      <c r="C238" t="s">
        <v>2319</v>
      </c>
      <c r="D238" t="s">
        <v>43</v>
      </c>
      <c r="E238">
        <v>1</v>
      </c>
      <c r="F238" s="6" t="s">
        <v>735</v>
      </c>
      <c r="G238" t="s">
        <v>737</v>
      </c>
      <c r="I238" s="6" t="s">
        <v>1063</v>
      </c>
      <c r="J238" s="6" t="s">
        <v>1071</v>
      </c>
      <c r="K238" t="s">
        <v>2302</v>
      </c>
      <c r="L238" t="s">
        <v>157</v>
      </c>
      <c r="P23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39" spans="1:16">
      <c r="A239" t="s">
        <v>2299</v>
      </c>
      <c r="B239" s="6" t="s">
        <v>2596</v>
      </c>
      <c r="C239" t="s">
        <v>2319</v>
      </c>
      <c r="D239" t="s">
        <v>44</v>
      </c>
      <c r="E239">
        <v>1</v>
      </c>
      <c r="F239" s="6" t="s">
        <v>735</v>
      </c>
      <c r="G239" t="s">
        <v>737</v>
      </c>
      <c r="I239" s="6" t="s">
        <v>1072</v>
      </c>
      <c r="J239" s="6" t="s">
        <v>321</v>
      </c>
      <c r="K239" t="s">
        <v>2302</v>
      </c>
      <c r="L239" t="s">
        <v>157</v>
      </c>
      <c r="P23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40" spans="1:16">
      <c r="A240" t="s">
        <v>2299</v>
      </c>
      <c r="B240" s="6" t="s">
        <v>2597</v>
      </c>
      <c r="C240" t="s">
        <v>2319</v>
      </c>
      <c r="D240" t="s">
        <v>43</v>
      </c>
      <c r="E240">
        <v>1</v>
      </c>
      <c r="F240" s="6" t="s">
        <v>735</v>
      </c>
      <c r="G240" t="s">
        <v>737</v>
      </c>
      <c r="I240" s="6" t="s">
        <v>1088</v>
      </c>
      <c r="J240" s="6" t="s">
        <v>1096</v>
      </c>
      <c r="K240" t="s">
        <v>2302</v>
      </c>
      <c r="L240" t="s">
        <v>157</v>
      </c>
      <c r="P24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41" spans="1:16">
      <c r="A241" t="s">
        <v>2299</v>
      </c>
      <c r="B241" s="6" t="s">
        <v>2598</v>
      </c>
      <c r="C241" t="s">
        <v>2319</v>
      </c>
      <c r="D241" t="s">
        <v>1054</v>
      </c>
      <c r="E241">
        <v>1</v>
      </c>
      <c r="F241" s="6" t="s">
        <v>1103</v>
      </c>
      <c r="G241" t="s">
        <v>1105</v>
      </c>
      <c r="I241" s="6" t="s">
        <v>1102</v>
      </c>
      <c r="J241" s="6" t="s">
        <v>1113</v>
      </c>
      <c r="K241" t="s">
        <v>2302</v>
      </c>
      <c r="L241" t="s">
        <v>157</v>
      </c>
      <c r="P24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42" spans="1:16">
      <c r="A242" t="s">
        <v>2299</v>
      </c>
      <c r="B242" s="6" t="s">
        <v>2599</v>
      </c>
      <c r="C242" t="s">
        <v>2319</v>
      </c>
      <c r="D242" t="s">
        <v>43</v>
      </c>
      <c r="E242">
        <v>1</v>
      </c>
      <c r="F242" s="6" t="s">
        <v>1103</v>
      </c>
      <c r="G242" t="s">
        <v>1105</v>
      </c>
      <c r="I242" s="6" t="s">
        <v>1116</v>
      </c>
      <c r="J242" s="6" t="s">
        <v>207</v>
      </c>
      <c r="K242" t="s">
        <v>2302</v>
      </c>
      <c r="L242" t="s">
        <v>157</v>
      </c>
      <c r="P24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43" spans="1:16">
      <c r="A243" t="s">
        <v>2299</v>
      </c>
      <c r="B243" s="6" t="s">
        <v>2600</v>
      </c>
      <c r="C243" t="s">
        <v>2319</v>
      </c>
      <c r="D243" t="s">
        <v>305</v>
      </c>
      <c r="E243">
        <v>1</v>
      </c>
      <c r="F243" s="6" t="s">
        <v>1103</v>
      </c>
      <c r="G243" t="s">
        <v>1105</v>
      </c>
      <c r="I243" s="6" t="s">
        <v>1125</v>
      </c>
      <c r="J243" s="6" t="s">
        <v>306</v>
      </c>
      <c r="K243" t="s">
        <v>2302</v>
      </c>
      <c r="L243" t="s">
        <v>157</v>
      </c>
      <c r="P24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44" spans="1:16">
      <c r="A244" t="s">
        <v>2299</v>
      </c>
      <c r="B244" s="6" t="s">
        <v>2601</v>
      </c>
      <c r="C244" t="s">
        <v>2319</v>
      </c>
      <c r="D244" t="s">
        <v>44</v>
      </c>
      <c r="E244">
        <v>1</v>
      </c>
      <c r="F244" s="6" t="s">
        <v>1103</v>
      </c>
      <c r="G244" t="s">
        <v>1105</v>
      </c>
      <c r="I244" s="6" t="s">
        <v>1133</v>
      </c>
      <c r="J244" s="6" t="s">
        <v>241</v>
      </c>
      <c r="K244" t="s">
        <v>2302</v>
      </c>
      <c r="L244" t="s">
        <v>157</v>
      </c>
      <c r="P24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45" spans="1:16">
      <c r="A245" t="s">
        <v>2299</v>
      </c>
      <c r="B245" s="6" t="s">
        <v>2602</v>
      </c>
      <c r="C245" t="s">
        <v>2319</v>
      </c>
      <c r="D245" t="s">
        <v>43</v>
      </c>
      <c r="E245">
        <v>1</v>
      </c>
      <c r="F245" s="6" t="s">
        <v>1103</v>
      </c>
      <c r="G245" t="s">
        <v>1105</v>
      </c>
      <c r="I245" s="6" t="s">
        <v>1157</v>
      </c>
      <c r="J245" s="6" t="s">
        <v>1167</v>
      </c>
      <c r="K245" t="s">
        <v>2302</v>
      </c>
      <c r="L245" t="s">
        <v>157</v>
      </c>
      <c r="P24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46" spans="1:16">
      <c r="A246" t="s">
        <v>2299</v>
      </c>
      <c r="B246" s="6" t="s">
        <v>2603</v>
      </c>
      <c r="C246" t="s">
        <v>2319</v>
      </c>
      <c r="D246" t="s">
        <v>44</v>
      </c>
      <c r="E246">
        <v>1</v>
      </c>
      <c r="F246" s="6" t="s">
        <v>1103</v>
      </c>
      <c r="G246" t="s">
        <v>1105</v>
      </c>
      <c r="I246" s="6" t="s">
        <v>1171</v>
      </c>
      <c r="J246" s="6" t="s">
        <v>553</v>
      </c>
      <c r="K246" t="s">
        <v>2302</v>
      </c>
      <c r="L246" t="s">
        <v>157</v>
      </c>
      <c r="P24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47" spans="1:16">
      <c r="A247" t="s">
        <v>2299</v>
      </c>
      <c r="B247" s="6" t="s">
        <v>2604</v>
      </c>
      <c r="C247" t="s">
        <v>2319</v>
      </c>
      <c r="D247" t="s">
        <v>44</v>
      </c>
      <c r="E247">
        <v>1</v>
      </c>
      <c r="F247" s="6" t="s">
        <v>1103</v>
      </c>
      <c r="G247" t="s">
        <v>1105</v>
      </c>
      <c r="I247" s="6" t="s">
        <v>1176</v>
      </c>
      <c r="J247" s="6" t="s">
        <v>277</v>
      </c>
      <c r="K247" t="s">
        <v>2302</v>
      </c>
      <c r="L247" t="s">
        <v>157</v>
      </c>
      <c r="P24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48" spans="1:16">
      <c r="A248" t="s">
        <v>2299</v>
      </c>
      <c r="B248" s="6" t="s">
        <v>2605</v>
      </c>
      <c r="C248" t="s">
        <v>2319</v>
      </c>
      <c r="D248" t="s">
        <v>43</v>
      </c>
      <c r="E248">
        <v>1</v>
      </c>
      <c r="F248" s="6" t="s">
        <v>1103</v>
      </c>
      <c r="G248" t="s">
        <v>1105</v>
      </c>
      <c r="I248" s="6" t="s">
        <v>1179</v>
      </c>
      <c r="J248" s="6" t="s">
        <v>542</v>
      </c>
      <c r="K248" t="s">
        <v>2302</v>
      </c>
      <c r="L248" t="s">
        <v>157</v>
      </c>
      <c r="P24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49" spans="1:16">
      <c r="A249" t="s">
        <v>2299</v>
      </c>
      <c r="B249" s="6" t="s">
        <v>2606</v>
      </c>
      <c r="C249" t="s">
        <v>2319</v>
      </c>
      <c r="D249" t="s">
        <v>43</v>
      </c>
      <c r="E249">
        <v>1</v>
      </c>
      <c r="F249" s="6" t="s">
        <v>1103</v>
      </c>
      <c r="G249" t="s">
        <v>1105</v>
      </c>
      <c r="I249" s="6" t="s">
        <v>1196</v>
      </c>
      <c r="J249" s="6" t="s">
        <v>599</v>
      </c>
      <c r="K249" t="s">
        <v>2302</v>
      </c>
      <c r="L249" t="s">
        <v>157</v>
      </c>
      <c r="P24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50" spans="1:16">
      <c r="A250" t="s">
        <v>2299</v>
      </c>
      <c r="B250" s="6" t="s">
        <v>2607</v>
      </c>
      <c r="C250" t="s">
        <v>2319</v>
      </c>
      <c r="D250" t="s">
        <v>44</v>
      </c>
      <c r="E250">
        <v>1</v>
      </c>
      <c r="F250" s="6" t="s">
        <v>1103</v>
      </c>
      <c r="G250" t="s">
        <v>1105</v>
      </c>
      <c r="I250" s="6" t="s">
        <v>1208</v>
      </c>
      <c r="J250" s="6" t="s">
        <v>514</v>
      </c>
      <c r="K250" t="s">
        <v>2302</v>
      </c>
      <c r="L250" t="s">
        <v>157</v>
      </c>
      <c r="P25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51" spans="1:16">
      <c r="A251" t="s">
        <v>2299</v>
      </c>
      <c r="B251" s="6" t="s">
        <v>2608</v>
      </c>
      <c r="C251" t="s">
        <v>2319</v>
      </c>
      <c r="D251" t="s">
        <v>44</v>
      </c>
      <c r="E251">
        <v>1</v>
      </c>
      <c r="F251" s="6" t="s">
        <v>1103</v>
      </c>
      <c r="G251" t="s">
        <v>1105</v>
      </c>
      <c r="I251" s="6" t="s">
        <v>1219</v>
      </c>
      <c r="J251" s="6" t="s">
        <v>440</v>
      </c>
      <c r="K251" t="s">
        <v>2302</v>
      </c>
      <c r="L251" t="s">
        <v>157</v>
      </c>
      <c r="P25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52" spans="1:16">
      <c r="A252" t="s">
        <v>2299</v>
      </c>
      <c r="B252" s="6" t="s">
        <v>2609</v>
      </c>
      <c r="C252" t="s">
        <v>2319</v>
      </c>
      <c r="D252" t="s">
        <v>44</v>
      </c>
      <c r="E252">
        <v>1</v>
      </c>
      <c r="F252" s="6" t="s">
        <v>1103</v>
      </c>
      <c r="G252" t="s">
        <v>1105</v>
      </c>
      <c r="I252" s="6" t="s">
        <v>1222</v>
      </c>
      <c r="J252" s="6" t="s">
        <v>156</v>
      </c>
      <c r="K252" t="s">
        <v>2302</v>
      </c>
      <c r="L252" t="s">
        <v>157</v>
      </c>
      <c r="P25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53" spans="1:16">
      <c r="A253" t="s">
        <v>2299</v>
      </c>
      <c r="B253" s="6" t="s">
        <v>2610</v>
      </c>
      <c r="C253" t="s">
        <v>2319</v>
      </c>
      <c r="D253" t="s">
        <v>43</v>
      </c>
      <c r="E253">
        <v>1</v>
      </c>
      <c r="F253" s="6" t="s">
        <v>1103</v>
      </c>
      <c r="G253" t="s">
        <v>1105</v>
      </c>
      <c r="I253" s="6" t="s">
        <v>1241</v>
      </c>
      <c r="J253" s="6" t="s">
        <v>1249</v>
      </c>
      <c r="K253" t="s">
        <v>2302</v>
      </c>
      <c r="L253" t="s">
        <v>157</v>
      </c>
      <c r="P25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54" spans="1:16">
      <c r="A254" t="s">
        <v>2299</v>
      </c>
      <c r="B254" s="6" t="s">
        <v>2611</v>
      </c>
      <c r="C254" t="s">
        <v>2319</v>
      </c>
      <c r="D254" t="s">
        <v>47</v>
      </c>
      <c r="E254">
        <v>1</v>
      </c>
      <c r="F254" s="6" t="s">
        <v>1103</v>
      </c>
      <c r="G254" t="s">
        <v>1105</v>
      </c>
      <c r="I254" s="6" t="s">
        <v>1250</v>
      </c>
      <c r="J254" s="6" t="s">
        <v>709</v>
      </c>
      <c r="K254" t="s">
        <v>2302</v>
      </c>
      <c r="L254" t="s">
        <v>157</v>
      </c>
      <c r="P25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55" spans="1:16">
      <c r="A255" t="s">
        <v>2299</v>
      </c>
      <c r="B255" s="6" t="s">
        <v>2612</v>
      </c>
      <c r="C255" t="s">
        <v>2319</v>
      </c>
      <c r="D255" t="s">
        <v>305</v>
      </c>
      <c r="E255">
        <v>1</v>
      </c>
      <c r="F255" s="6" t="s">
        <v>1103</v>
      </c>
      <c r="G255" t="s">
        <v>1105</v>
      </c>
      <c r="I255" s="6" t="s">
        <v>1255</v>
      </c>
      <c r="J255" s="6" t="s">
        <v>1264</v>
      </c>
      <c r="K255" t="s">
        <v>2302</v>
      </c>
      <c r="L255" t="s">
        <v>157</v>
      </c>
      <c r="P25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56" spans="1:16">
      <c r="A256" t="s">
        <v>2299</v>
      </c>
      <c r="B256" s="6" t="s">
        <v>2613</v>
      </c>
      <c r="C256" t="s">
        <v>2319</v>
      </c>
      <c r="D256" t="s">
        <v>43</v>
      </c>
      <c r="E256">
        <v>1</v>
      </c>
      <c r="F256" s="6" t="s">
        <v>1103</v>
      </c>
      <c r="G256" t="s">
        <v>1105</v>
      </c>
      <c r="I256" s="6" t="s">
        <v>1265</v>
      </c>
      <c r="J256" s="6" t="s">
        <v>1274</v>
      </c>
      <c r="K256" t="s">
        <v>2302</v>
      </c>
      <c r="L256" t="s">
        <v>157</v>
      </c>
      <c r="P25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57" spans="1:16">
      <c r="A257" t="s">
        <v>2299</v>
      </c>
      <c r="B257" s="6" t="s">
        <v>2614</v>
      </c>
      <c r="C257" t="s">
        <v>2319</v>
      </c>
      <c r="D257" t="s">
        <v>43</v>
      </c>
      <c r="E257">
        <v>1</v>
      </c>
      <c r="F257" s="6" t="s">
        <v>1103</v>
      </c>
      <c r="G257" t="s">
        <v>1105</v>
      </c>
      <c r="I257" s="6" t="s">
        <v>1275</v>
      </c>
      <c r="J257" s="6" t="s">
        <v>367</v>
      </c>
      <c r="K257" t="s">
        <v>2302</v>
      </c>
      <c r="L257" t="s">
        <v>157</v>
      </c>
      <c r="P25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58" spans="1:16">
      <c r="A258" t="s">
        <v>2299</v>
      </c>
      <c r="B258" s="6" t="s">
        <v>2615</v>
      </c>
      <c r="C258" t="s">
        <v>2319</v>
      </c>
      <c r="D258" t="s">
        <v>43</v>
      </c>
      <c r="E258">
        <v>1</v>
      </c>
      <c r="F258" s="6" t="s">
        <v>1103</v>
      </c>
      <c r="G258" t="s">
        <v>1105</v>
      </c>
      <c r="I258" s="6" t="s">
        <v>1285</v>
      </c>
      <c r="J258" s="6" t="s">
        <v>692</v>
      </c>
      <c r="K258" t="s">
        <v>2302</v>
      </c>
      <c r="L258" t="s">
        <v>157</v>
      </c>
      <c r="P25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59" spans="1:16">
      <c r="A259" t="s">
        <v>2299</v>
      </c>
      <c r="B259" s="6" t="s">
        <v>2616</v>
      </c>
      <c r="C259" t="s">
        <v>2319</v>
      </c>
      <c r="D259" t="s">
        <v>43</v>
      </c>
      <c r="E259">
        <v>1</v>
      </c>
      <c r="F259" s="6" t="s">
        <v>1103</v>
      </c>
      <c r="G259" t="s">
        <v>1105</v>
      </c>
      <c r="I259" s="6" t="s">
        <v>1289</v>
      </c>
      <c r="J259" s="6" t="s">
        <v>1295</v>
      </c>
      <c r="K259" t="s">
        <v>2302</v>
      </c>
      <c r="L259" t="s">
        <v>157</v>
      </c>
      <c r="P25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60" spans="1:16">
      <c r="A260" t="s">
        <v>2299</v>
      </c>
      <c r="B260" s="6" t="s">
        <v>2617</v>
      </c>
      <c r="C260" t="s">
        <v>2319</v>
      </c>
      <c r="D260" t="s">
        <v>47</v>
      </c>
      <c r="E260">
        <v>1</v>
      </c>
      <c r="F260" s="6" t="s">
        <v>1103</v>
      </c>
      <c r="G260" t="s">
        <v>1105</v>
      </c>
      <c r="I260" s="6" t="s">
        <v>1296</v>
      </c>
      <c r="J260" s="6" t="s">
        <v>505</v>
      </c>
      <c r="K260" t="s">
        <v>2302</v>
      </c>
      <c r="L260" t="s">
        <v>157</v>
      </c>
      <c r="P26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61" spans="1:16">
      <c r="A261" t="s">
        <v>2299</v>
      </c>
      <c r="B261" s="6" t="s">
        <v>2618</v>
      </c>
      <c r="C261" t="s">
        <v>2319</v>
      </c>
      <c r="D261" t="s">
        <v>44</v>
      </c>
      <c r="E261">
        <v>1</v>
      </c>
      <c r="F261" s="6" t="s">
        <v>1103</v>
      </c>
      <c r="G261" t="s">
        <v>1105</v>
      </c>
      <c r="I261" s="6" t="s">
        <v>1301</v>
      </c>
      <c r="J261" s="6" t="s">
        <v>256</v>
      </c>
      <c r="K261" t="s">
        <v>2302</v>
      </c>
      <c r="L261" t="s">
        <v>157</v>
      </c>
      <c r="P26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62" spans="1:16">
      <c r="A262" t="s">
        <v>2299</v>
      </c>
      <c r="B262" s="6" t="s">
        <v>2619</v>
      </c>
      <c r="C262" t="s">
        <v>2319</v>
      </c>
      <c r="D262" t="s">
        <v>43</v>
      </c>
      <c r="E262">
        <v>1</v>
      </c>
      <c r="F262" s="6" t="s">
        <v>1103</v>
      </c>
      <c r="G262" t="s">
        <v>1105</v>
      </c>
      <c r="I262" s="6" t="s">
        <v>1304</v>
      </c>
      <c r="J262" s="6" t="s">
        <v>619</v>
      </c>
      <c r="K262" t="s">
        <v>2302</v>
      </c>
      <c r="L262" t="s">
        <v>157</v>
      </c>
      <c r="P26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63" spans="1:16">
      <c r="A263" t="s">
        <v>2299</v>
      </c>
      <c r="B263" s="6" t="s">
        <v>2620</v>
      </c>
      <c r="C263" t="s">
        <v>2319</v>
      </c>
      <c r="D263" t="s">
        <v>1054</v>
      </c>
      <c r="E263">
        <v>1</v>
      </c>
      <c r="F263" s="6" t="s">
        <v>1103</v>
      </c>
      <c r="G263" t="s">
        <v>1105</v>
      </c>
      <c r="I263" s="6" t="s">
        <v>1307</v>
      </c>
      <c r="J263" s="6" t="s">
        <v>1318</v>
      </c>
      <c r="K263" t="s">
        <v>2302</v>
      </c>
      <c r="L263" t="s">
        <v>157</v>
      </c>
      <c r="P26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64" spans="1:16">
      <c r="A264" t="s">
        <v>2299</v>
      </c>
      <c r="B264" s="6" t="s">
        <v>2621</v>
      </c>
      <c r="C264" t="s">
        <v>2319</v>
      </c>
      <c r="D264" t="s">
        <v>305</v>
      </c>
      <c r="E264">
        <v>1</v>
      </c>
      <c r="F264" s="6" t="s">
        <v>1103</v>
      </c>
      <c r="G264" t="s">
        <v>1105</v>
      </c>
      <c r="I264" s="6" t="s">
        <v>1323</v>
      </c>
      <c r="J264" s="6" t="s">
        <v>1331</v>
      </c>
      <c r="K264" t="s">
        <v>2302</v>
      </c>
      <c r="L264" t="s">
        <v>157</v>
      </c>
      <c r="P26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65" spans="1:16">
      <c r="A265" t="s">
        <v>2299</v>
      </c>
      <c r="B265" s="6" t="s">
        <v>2622</v>
      </c>
      <c r="C265" t="s">
        <v>2319</v>
      </c>
      <c r="D265" t="s">
        <v>43</v>
      </c>
      <c r="E265">
        <v>1</v>
      </c>
      <c r="F265" s="6" t="s">
        <v>1103</v>
      </c>
      <c r="G265" t="s">
        <v>1105</v>
      </c>
      <c r="I265" s="6" t="s">
        <v>1341</v>
      </c>
      <c r="J265" s="6" t="s">
        <v>1348</v>
      </c>
      <c r="K265" t="s">
        <v>2302</v>
      </c>
      <c r="L265" t="s">
        <v>157</v>
      </c>
      <c r="P26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66" spans="1:16">
      <c r="A266" t="s">
        <v>2299</v>
      </c>
      <c r="B266" s="6" t="s">
        <v>2623</v>
      </c>
      <c r="C266" t="s">
        <v>2319</v>
      </c>
      <c r="D266" t="s">
        <v>43</v>
      </c>
      <c r="E266">
        <v>1</v>
      </c>
      <c r="F266" s="6" t="s">
        <v>1103</v>
      </c>
      <c r="G266" t="s">
        <v>1105</v>
      </c>
      <c r="I266" s="6" t="s">
        <v>1357</v>
      </c>
      <c r="J266" s="6" t="s">
        <v>1366</v>
      </c>
      <c r="K266" t="s">
        <v>2302</v>
      </c>
      <c r="L266" t="s">
        <v>157</v>
      </c>
      <c r="P26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67" spans="1:16">
      <c r="A267" t="s">
        <v>2299</v>
      </c>
      <c r="B267" s="6" t="s">
        <v>2624</v>
      </c>
      <c r="C267" t="s">
        <v>2319</v>
      </c>
      <c r="D267" t="s">
        <v>43</v>
      </c>
      <c r="E267">
        <v>1</v>
      </c>
      <c r="F267" s="6" t="s">
        <v>1103</v>
      </c>
      <c r="G267" t="s">
        <v>1105</v>
      </c>
      <c r="I267" s="6" t="s">
        <v>1370</v>
      </c>
      <c r="J267" s="6" t="s">
        <v>1378</v>
      </c>
      <c r="K267" t="s">
        <v>2302</v>
      </c>
      <c r="L267" t="s">
        <v>157</v>
      </c>
      <c r="P26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68" spans="1:16">
      <c r="A268" t="s">
        <v>2299</v>
      </c>
      <c r="B268" s="6" t="s">
        <v>2625</v>
      </c>
      <c r="C268" t="s">
        <v>2319</v>
      </c>
      <c r="D268" t="s">
        <v>723</v>
      </c>
      <c r="E268">
        <v>1</v>
      </c>
      <c r="F268" s="6" t="s">
        <v>1103</v>
      </c>
      <c r="G268" t="s">
        <v>1105</v>
      </c>
      <c r="I268" s="6" t="s">
        <v>1379</v>
      </c>
      <c r="J268" s="6" t="s">
        <v>1388</v>
      </c>
      <c r="K268" t="s">
        <v>2302</v>
      </c>
      <c r="L268" t="s">
        <v>157</v>
      </c>
      <c r="P26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69" spans="1:16">
      <c r="A269" t="s">
        <v>2299</v>
      </c>
      <c r="B269" s="6" t="s">
        <v>2626</v>
      </c>
      <c r="C269" t="s">
        <v>2319</v>
      </c>
      <c r="D269" t="s">
        <v>44</v>
      </c>
      <c r="E269">
        <v>1</v>
      </c>
      <c r="F269" s="6" t="s">
        <v>1103</v>
      </c>
      <c r="G269" t="s">
        <v>1105</v>
      </c>
      <c r="I269" s="6" t="s">
        <v>1389</v>
      </c>
      <c r="J269" s="6" t="s">
        <v>321</v>
      </c>
      <c r="K269" t="s">
        <v>2302</v>
      </c>
      <c r="L269" t="s">
        <v>157</v>
      </c>
      <c r="P26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70" spans="1:16">
      <c r="A270" t="s">
        <v>2299</v>
      </c>
      <c r="B270" s="6" t="s">
        <v>2627</v>
      </c>
      <c r="C270" t="s">
        <v>2319</v>
      </c>
      <c r="D270" t="s">
        <v>44</v>
      </c>
      <c r="E270">
        <v>1</v>
      </c>
      <c r="F270" s="6" t="s">
        <v>1103</v>
      </c>
      <c r="G270" t="s">
        <v>1105</v>
      </c>
      <c r="I270" s="6" t="s">
        <v>1392</v>
      </c>
      <c r="J270" s="6" t="s">
        <v>681</v>
      </c>
      <c r="K270" t="s">
        <v>2302</v>
      </c>
      <c r="L270" t="s">
        <v>157</v>
      </c>
      <c r="P27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71" spans="1:16">
      <c r="A271" t="s">
        <v>2299</v>
      </c>
      <c r="B271" s="6" t="s">
        <v>2628</v>
      </c>
      <c r="C271" t="s">
        <v>2319</v>
      </c>
      <c r="D271" t="s">
        <v>305</v>
      </c>
      <c r="E271">
        <v>1</v>
      </c>
      <c r="F271" s="6" t="s">
        <v>1396</v>
      </c>
      <c r="G271" t="s">
        <v>1398</v>
      </c>
      <c r="I271" s="6" t="s">
        <v>1395</v>
      </c>
      <c r="J271" s="6" t="s">
        <v>1331</v>
      </c>
      <c r="K271" t="s">
        <v>2302</v>
      </c>
      <c r="L271" t="s">
        <v>157</v>
      </c>
      <c r="P27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72" spans="1:16">
      <c r="A272" t="s">
        <v>2299</v>
      </c>
      <c r="B272" s="6" t="s">
        <v>2629</v>
      </c>
      <c r="C272" t="s">
        <v>2319</v>
      </c>
      <c r="D272" t="s">
        <v>43</v>
      </c>
      <c r="E272">
        <v>1</v>
      </c>
      <c r="F272" s="6" t="s">
        <v>1396</v>
      </c>
      <c r="G272" t="s">
        <v>1398</v>
      </c>
      <c r="I272" s="6" t="s">
        <v>1402</v>
      </c>
      <c r="J272" s="6" t="s">
        <v>1410</v>
      </c>
      <c r="K272" t="s">
        <v>2302</v>
      </c>
      <c r="L272" t="s">
        <v>157</v>
      </c>
      <c r="P27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73" spans="1:16">
      <c r="A273" t="s">
        <v>2299</v>
      </c>
      <c r="B273" s="6" t="s">
        <v>2630</v>
      </c>
      <c r="C273" t="s">
        <v>2319</v>
      </c>
      <c r="D273" t="s">
        <v>1054</v>
      </c>
      <c r="E273">
        <v>1</v>
      </c>
      <c r="F273" s="6" t="s">
        <v>1396</v>
      </c>
      <c r="G273" t="s">
        <v>1398</v>
      </c>
      <c r="I273" s="6" t="s">
        <v>1412</v>
      </c>
      <c r="J273" s="6" t="s">
        <v>1418</v>
      </c>
      <c r="K273" t="s">
        <v>2302</v>
      </c>
      <c r="L273" t="s">
        <v>157</v>
      </c>
      <c r="P27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74" spans="1:16">
      <c r="A274" t="s">
        <v>2299</v>
      </c>
      <c r="B274" s="6" t="s">
        <v>2631</v>
      </c>
      <c r="C274" t="s">
        <v>2319</v>
      </c>
      <c r="D274" t="s">
        <v>43</v>
      </c>
      <c r="E274">
        <v>1</v>
      </c>
      <c r="F274" s="6" t="s">
        <v>1396</v>
      </c>
      <c r="G274" t="s">
        <v>1398</v>
      </c>
      <c r="I274" s="6" t="s">
        <v>1420</v>
      </c>
      <c r="J274" s="6" t="s">
        <v>1427</v>
      </c>
      <c r="K274" t="s">
        <v>2302</v>
      </c>
      <c r="L274" t="s">
        <v>157</v>
      </c>
      <c r="P27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75" spans="1:16">
      <c r="A275" t="s">
        <v>2299</v>
      </c>
      <c r="B275" s="6" t="s">
        <v>2632</v>
      </c>
      <c r="C275" t="s">
        <v>2319</v>
      </c>
      <c r="D275" t="s">
        <v>44</v>
      </c>
      <c r="E275">
        <v>1</v>
      </c>
      <c r="F275" s="6" t="s">
        <v>1396</v>
      </c>
      <c r="G275" t="s">
        <v>1398</v>
      </c>
      <c r="I275" s="6" t="s">
        <v>1428</v>
      </c>
      <c r="J275" s="6" t="s">
        <v>321</v>
      </c>
      <c r="K275" t="s">
        <v>2302</v>
      </c>
      <c r="L275" t="s">
        <v>157</v>
      </c>
      <c r="P27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76" spans="1:16">
      <c r="A276" t="s">
        <v>2299</v>
      </c>
      <c r="B276" s="6" t="s">
        <v>2633</v>
      </c>
      <c r="C276" t="s">
        <v>2319</v>
      </c>
      <c r="D276" t="s">
        <v>47</v>
      </c>
      <c r="E276">
        <v>1</v>
      </c>
      <c r="F276" s="6" t="s">
        <v>1396</v>
      </c>
      <c r="G276" t="s">
        <v>1398</v>
      </c>
      <c r="I276" s="6" t="s">
        <v>1430</v>
      </c>
      <c r="J276" s="6" t="s">
        <v>505</v>
      </c>
      <c r="K276" t="s">
        <v>2302</v>
      </c>
      <c r="L276" t="s">
        <v>157</v>
      </c>
      <c r="P27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77" spans="1:16">
      <c r="A277" t="s">
        <v>2299</v>
      </c>
      <c r="B277" s="6" t="s">
        <v>2634</v>
      </c>
      <c r="C277" t="s">
        <v>2319</v>
      </c>
      <c r="D277" t="s">
        <v>43</v>
      </c>
      <c r="E277">
        <v>1</v>
      </c>
      <c r="F277" s="6" t="s">
        <v>1396</v>
      </c>
      <c r="G277" t="s">
        <v>1398</v>
      </c>
      <c r="I277" s="6" t="s">
        <v>1432</v>
      </c>
      <c r="J277" s="6" t="s">
        <v>1438</v>
      </c>
      <c r="K277" t="s">
        <v>2302</v>
      </c>
      <c r="L277" t="s">
        <v>157</v>
      </c>
      <c r="P27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78" spans="1:16">
      <c r="A278" t="s">
        <v>2299</v>
      </c>
      <c r="B278" s="6" t="s">
        <v>2635</v>
      </c>
      <c r="C278" t="s">
        <v>2319</v>
      </c>
      <c r="D278" t="s">
        <v>47</v>
      </c>
      <c r="E278">
        <v>1</v>
      </c>
      <c r="F278" s="6" t="s">
        <v>1396</v>
      </c>
      <c r="G278" t="s">
        <v>1398</v>
      </c>
      <c r="I278" s="6" t="s">
        <v>1440</v>
      </c>
      <c r="J278" s="6" t="s">
        <v>1448</v>
      </c>
      <c r="K278" t="s">
        <v>2302</v>
      </c>
      <c r="L278" t="s">
        <v>157</v>
      </c>
      <c r="P27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79" spans="1:16">
      <c r="A279" t="s">
        <v>2299</v>
      </c>
      <c r="B279" s="6" t="s">
        <v>2636</v>
      </c>
      <c r="C279" t="s">
        <v>2319</v>
      </c>
      <c r="D279" t="s">
        <v>43</v>
      </c>
      <c r="E279">
        <v>1</v>
      </c>
      <c r="F279" s="6" t="s">
        <v>1396</v>
      </c>
      <c r="G279" t="s">
        <v>1398</v>
      </c>
      <c r="I279" s="6" t="s">
        <v>1449</v>
      </c>
      <c r="J279" s="6" t="s">
        <v>1457</v>
      </c>
      <c r="K279" t="s">
        <v>2302</v>
      </c>
      <c r="L279" t="s">
        <v>157</v>
      </c>
      <c r="P27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80" spans="1:16">
      <c r="A280" t="s">
        <v>2299</v>
      </c>
      <c r="B280" s="6" t="s">
        <v>2637</v>
      </c>
      <c r="C280" t="s">
        <v>2319</v>
      </c>
      <c r="D280" t="s">
        <v>43</v>
      </c>
      <c r="E280">
        <v>1</v>
      </c>
      <c r="F280" s="6" t="s">
        <v>1396</v>
      </c>
      <c r="G280" t="s">
        <v>1398</v>
      </c>
      <c r="I280" s="6" t="s">
        <v>1459</v>
      </c>
      <c r="J280" s="6" t="s">
        <v>1466</v>
      </c>
      <c r="K280" t="s">
        <v>2302</v>
      </c>
      <c r="L280" t="s">
        <v>157</v>
      </c>
      <c r="P28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81" spans="1:16">
      <c r="A281" t="s">
        <v>2299</v>
      </c>
      <c r="B281" s="6" t="s">
        <v>2638</v>
      </c>
      <c r="C281" t="s">
        <v>2319</v>
      </c>
      <c r="D281" t="s">
        <v>305</v>
      </c>
      <c r="E281">
        <v>1</v>
      </c>
      <c r="F281" s="6" t="s">
        <v>1396</v>
      </c>
      <c r="G281" t="s">
        <v>1398</v>
      </c>
      <c r="I281" s="6" t="s">
        <v>1467</v>
      </c>
      <c r="J281" s="6" t="s">
        <v>306</v>
      </c>
      <c r="K281" t="s">
        <v>2302</v>
      </c>
      <c r="L281" t="s">
        <v>157</v>
      </c>
      <c r="P28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82" spans="1:16">
      <c r="A282" t="s">
        <v>2299</v>
      </c>
      <c r="B282" s="6" t="s">
        <v>2639</v>
      </c>
      <c r="C282" t="s">
        <v>2319</v>
      </c>
      <c r="D282" t="s">
        <v>44</v>
      </c>
      <c r="E282">
        <v>1</v>
      </c>
      <c r="F282" s="6" t="s">
        <v>1396</v>
      </c>
      <c r="G282" t="s">
        <v>1398</v>
      </c>
      <c r="I282" s="6" t="s">
        <v>1469</v>
      </c>
      <c r="J282" s="6" t="s">
        <v>256</v>
      </c>
      <c r="K282" t="s">
        <v>2302</v>
      </c>
      <c r="L282" t="s">
        <v>157</v>
      </c>
      <c r="P28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83" spans="1:16">
      <c r="A283" t="s">
        <v>2299</v>
      </c>
      <c r="B283" s="6" t="s">
        <v>2640</v>
      </c>
      <c r="C283" t="s">
        <v>2319</v>
      </c>
      <c r="D283" t="s">
        <v>1054</v>
      </c>
      <c r="E283">
        <v>1</v>
      </c>
      <c r="F283" s="6" t="s">
        <v>1396</v>
      </c>
      <c r="G283" t="s">
        <v>1398</v>
      </c>
      <c r="I283" s="6" t="s">
        <v>1472</v>
      </c>
      <c r="J283" s="6" t="s">
        <v>1480</v>
      </c>
      <c r="K283" t="s">
        <v>2302</v>
      </c>
      <c r="L283" t="s">
        <v>157</v>
      </c>
      <c r="P28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84" spans="1:16">
      <c r="A284" t="s">
        <v>2299</v>
      </c>
      <c r="B284" s="6" t="s">
        <v>2641</v>
      </c>
      <c r="C284" t="s">
        <v>2319</v>
      </c>
      <c r="D284" t="s">
        <v>43</v>
      </c>
      <c r="E284">
        <v>1</v>
      </c>
      <c r="F284" s="6" t="s">
        <v>1396</v>
      </c>
      <c r="G284" t="s">
        <v>1398</v>
      </c>
      <c r="I284" s="6" t="s">
        <v>1481</v>
      </c>
      <c r="J284" s="6" t="s">
        <v>1489</v>
      </c>
      <c r="K284" t="s">
        <v>2302</v>
      </c>
      <c r="L284" t="s">
        <v>157</v>
      </c>
      <c r="P28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85" spans="1:16">
      <c r="A285" t="s">
        <v>2299</v>
      </c>
      <c r="B285" s="6" t="s">
        <v>2642</v>
      </c>
      <c r="C285" t="s">
        <v>2319</v>
      </c>
      <c r="D285" t="s">
        <v>47</v>
      </c>
      <c r="E285">
        <v>1</v>
      </c>
      <c r="F285" s="6" t="s">
        <v>1396</v>
      </c>
      <c r="G285" t="s">
        <v>1398</v>
      </c>
      <c r="I285" s="6" t="s">
        <v>1490</v>
      </c>
      <c r="J285" s="6" t="s">
        <v>1495</v>
      </c>
      <c r="K285" t="s">
        <v>2302</v>
      </c>
      <c r="L285" t="s">
        <v>157</v>
      </c>
      <c r="P28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86" spans="1:16">
      <c r="A286" t="s">
        <v>2299</v>
      </c>
      <c r="B286" s="6" t="s">
        <v>2643</v>
      </c>
      <c r="C286" t="s">
        <v>2319</v>
      </c>
      <c r="D286" t="s">
        <v>43</v>
      </c>
      <c r="E286">
        <v>1</v>
      </c>
      <c r="F286" s="6" t="s">
        <v>1396</v>
      </c>
      <c r="G286" t="s">
        <v>1398</v>
      </c>
      <c r="I286" s="6" t="s">
        <v>1496</v>
      </c>
      <c r="J286" s="6" t="s">
        <v>599</v>
      </c>
      <c r="K286" t="s">
        <v>2302</v>
      </c>
      <c r="L286" t="s">
        <v>157</v>
      </c>
      <c r="P28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87" spans="1:16">
      <c r="A287" t="s">
        <v>2299</v>
      </c>
      <c r="B287" s="6" t="s">
        <v>2644</v>
      </c>
      <c r="C287" t="s">
        <v>2319</v>
      </c>
      <c r="D287" t="s">
        <v>44</v>
      </c>
      <c r="E287">
        <v>1</v>
      </c>
      <c r="F287" s="6" t="s">
        <v>1396</v>
      </c>
      <c r="G287" t="s">
        <v>1398</v>
      </c>
      <c r="I287" s="6" t="s">
        <v>1497</v>
      </c>
      <c r="J287" s="6" t="s">
        <v>681</v>
      </c>
      <c r="K287" t="s">
        <v>2302</v>
      </c>
      <c r="L287" t="s">
        <v>157</v>
      </c>
      <c r="P28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88" spans="1:16">
      <c r="A288" t="s">
        <v>2299</v>
      </c>
      <c r="B288" s="6" t="s">
        <v>2645</v>
      </c>
      <c r="C288" t="s">
        <v>2319</v>
      </c>
      <c r="D288" t="s">
        <v>47</v>
      </c>
      <c r="E288">
        <v>1</v>
      </c>
      <c r="F288" s="6" t="s">
        <v>1396</v>
      </c>
      <c r="G288" t="s">
        <v>1398</v>
      </c>
      <c r="I288" s="6" t="s">
        <v>1502</v>
      </c>
      <c r="J288" s="6" t="s">
        <v>709</v>
      </c>
      <c r="K288" t="s">
        <v>2302</v>
      </c>
      <c r="L288" t="s">
        <v>157</v>
      </c>
      <c r="P28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89" spans="1:16">
      <c r="A289" t="s">
        <v>2299</v>
      </c>
      <c r="B289" s="6" t="s">
        <v>2646</v>
      </c>
      <c r="C289" t="s">
        <v>2319</v>
      </c>
      <c r="D289" t="s">
        <v>43</v>
      </c>
      <c r="E289">
        <v>1</v>
      </c>
      <c r="F289" s="6" t="s">
        <v>1396</v>
      </c>
      <c r="G289" t="s">
        <v>1398</v>
      </c>
      <c r="I289" s="6" t="s">
        <v>1503</v>
      </c>
      <c r="J289" s="6" t="s">
        <v>1509</v>
      </c>
      <c r="K289" t="s">
        <v>2302</v>
      </c>
      <c r="L289" t="s">
        <v>157</v>
      </c>
      <c r="P28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90" spans="1:16">
      <c r="A290" t="s">
        <v>2299</v>
      </c>
      <c r="B290" s="6" t="s">
        <v>2647</v>
      </c>
      <c r="C290" t="s">
        <v>2319</v>
      </c>
      <c r="D290" t="s">
        <v>43</v>
      </c>
      <c r="E290">
        <v>1</v>
      </c>
      <c r="F290" s="6" t="s">
        <v>1396</v>
      </c>
      <c r="G290" t="s">
        <v>1398</v>
      </c>
      <c r="I290" s="6" t="s">
        <v>1520</v>
      </c>
      <c r="J290" s="6" t="s">
        <v>619</v>
      </c>
      <c r="K290" t="s">
        <v>2302</v>
      </c>
      <c r="L290" t="s">
        <v>157</v>
      </c>
      <c r="P29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91" spans="1:16">
      <c r="A291" t="s">
        <v>2299</v>
      </c>
      <c r="B291" s="6" t="s">
        <v>2648</v>
      </c>
      <c r="C291" t="s">
        <v>2319</v>
      </c>
      <c r="D291" t="s">
        <v>44</v>
      </c>
      <c r="E291">
        <v>1</v>
      </c>
      <c r="F291" s="6" t="s">
        <v>1396</v>
      </c>
      <c r="G291" t="s">
        <v>1398</v>
      </c>
      <c r="I291" s="6" t="s">
        <v>1522</v>
      </c>
      <c r="J291" s="6" t="s">
        <v>241</v>
      </c>
      <c r="K291" t="s">
        <v>2302</v>
      </c>
      <c r="L291" t="s">
        <v>157</v>
      </c>
      <c r="P29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92" spans="1:16">
      <c r="A292" t="s">
        <v>2299</v>
      </c>
      <c r="B292" s="6" t="s">
        <v>2649</v>
      </c>
      <c r="C292" t="s">
        <v>2319</v>
      </c>
      <c r="D292" t="s">
        <v>43</v>
      </c>
      <c r="E292">
        <v>1</v>
      </c>
      <c r="F292" s="6" t="s">
        <v>1396</v>
      </c>
      <c r="G292" t="s">
        <v>1398</v>
      </c>
      <c r="I292" s="6" t="s">
        <v>1523</v>
      </c>
      <c r="J292" s="6" t="s">
        <v>207</v>
      </c>
      <c r="K292" t="s">
        <v>2302</v>
      </c>
      <c r="L292" t="s">
        <v>157</v>
      </c>
      <c r="P29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93" spans="1:16">
      <c r="A293" t="s">
        <v>2299</v>
      </c>
      <c r="B293" s="6" t="s">
        <v>2650</v>
      </c>
      <c r="C293" t="s">
        <v>2319</v>
      </c>
      <c r="D293" t="s">
        <v>43</v>
      </c>
      <c r="E293">
        <v>1</v>
      </c>
      <c r="F293" s="6" t="s">
        <v>1396</v>
      </c>
      <c r="G293" t="s">
        <v>1398</v>
      </c>
      <c r="I293" s="6" t="s">
        <v>1524</v>
      </c>
      <c r="J293" s="6" t="s">
        <v>692</v>
      </c>
      <c r="K293" t="s">
        <v>2302</v>
      </c>
      <c r="L293" t="s">
        <v>157</v>
      </c>
      <c r="P29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94" spans="1:16">
      <c r="A294" t="s">
        <v>2299</v>
      </c>
      <c r="B294" s="6" t="s">
        <v>2651</v>
      </c>
      <c r="C294" t="s">
        <v>2319</v>
      </c>
      <c r="D294" t="s">
        <v>43</v>
      </c>
      <c r="E294">
        <v>1</v>
      </c>
      <c r="F294" s="6" t="s">
        <v>1396</v>
      </c>
      <c r="G294" t="s">
        <v>1398</v>
      </c>
      <c r="I294" s="6" t="s">
        <v>1531</v>
      </c>
      <c r="J294" s="6" t="s">
        <v>1538</v>
      </c>
      <c r="K294" t="s">
        <v>2302</v>
      </c>
      <c r="L294" t="s">
        <v>157</v>
      </c>
      <c r="P29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95" spans="1:16">
      <c r="A295" t="s">
        <v>2299</v>
      </c>
      <c r="B295" s="6" t="s">
        <v>2652</v>
      </c>
      <c r="C295" t="s">
        <v>2319</v>
      </c>
      <c r="D295" t="s">
        <v>43</v>
      </c>
      <c r="E295">
        <v>1</v>
      </c>
      <c r="F295" s="6" t="s">
        <v>1396</v>
      </c>
      <c r="G295" t="s">
        <v>1398</v>
      </c>
      <c r="I295" s="6" t="s">
        <v>1539</v>
      </c>
      <c r="J295" s="6" t="s">
        <v>1547</v>
      </c>
      <c r="K295" t="s">
        <v>2302</v>
      </c>
      <c r="L295" t="s">
        <v>157</v>
      </c>
      <c r="P29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96" spans="1:16">
      <c r="A296" t="s">
        <v>2299</v>
      </c>
      <c r="B296" s="6" t="s">
        <v>2653</v>
      </c>
      <c r="C296" t="s">
        <v>2319</v>
      </c>
      <c r="D296" t="s">
        <v>44</v>
      </c>
      <c r="E296">
        <v>1</v>
      </c>
      <c r="F296" s="6" t="s">
        <v>1396</v>
      </c>
      <c r="G296" t="s">
        <v>1398</v>
      </c>
      <c r="I296" s="6" t="s">
        <v>1549</v>
      </c>
      <c r="J296" s="6" t="s">
        <v>277</v>
      </c>
      <c r="K296" t="s">
        <v>2302</v>
      </c>
      <c r="L296" t="s">
        <v>157</v>
      </c>
      <c r="P29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97" spans="1:16">
      <c r="A297" t="s">
        <v>2299</v>
      </c>
      <c r="B297" s="6" t="s">
        <v>2654</v>
      </c>
      <c r="C297" t="s">
        <v>2319</v>
      </c>
      <c r="D297" t="s">
        <v>43</v>
      </c>
      <c r="E297">
        <v>1</v>
      </c>
      <c r="F297" s="6" t="s">
        <v>1396</v>
      </c>
      <c r="G297" t="s">
        <v>1398</v>
      </c>
      <c r="I297" s="6" t="s">
        <v>1550</v>
      </c>
      <c r="J297" s="6" t="s">
        <v>542</v>
      </c>
      <c r="K297" t="s">
        <v>2302</v>
      </c>
      <c r="L297" t="s">
        <v>157</v>
      </c>
      <c r="P29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98" spans="1:16">
      <c r="A298" t="s">
        <v>2299</v>
      </c>
      <c r="B298" s="6" t="s">
        <v>2655</v>
      </c>
      <c r="C298" t="s">
        <v>2319</v>
      </c>
      <c r="D298" t="s">
        <v>43</v>
      </c>
      <c r="E298">
        <v>1</v>
      </c>
      <c r="F298" s="6" t="s">
        <v>1552</v>
      </c>
      <c r="G298" t="s">
        <v>1554</v>
      </c>
      <c r="I298" s="6" t="s">
        <v>1551</v>
      </c>
      <c r="J298" s="6" t="s">
        <v>1565</v>
      </c>
      <c r="K298" t="s">
        <v>2302</v>
      </c>
      <c r="L298" t="s">
        <v>157</v>
      </c>
      <c r="P29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299" spans="1:16">
      <c r="A299" t="s">
        <v>2299</v>
      </c>
      <c r="B299" s="6" t="s">
        <v>2656</v>
      </c>
      <c r="C299" t="s">
        <v>2319</v>
      </c>
      <c r="D299" t="s">
        <v>43</v>
      </c>
      <c r="E299">
        <v>1</v>
      </c>
      <c r="F299" s="6" t="s">
        <v>1552</v>
      </c>
      <c r="G299" t="s">
        <v>1554</v>
      </c>
      <c r="I299" s="6" t="s">
        <v>1573</v>
      </c>
      <c r="J299" s="6" t="s">
        <v>1582</v>
      </c>
      <c r="K299" t="s">
        <v>2302</v>
      </c>
      <c r="L299" t="s">
        <v>157</v>
      </c>
      <c r="P29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00" spans="1:16">
      <c r="A300" t="s">
        <v>2299</v>
      </c>
      <c r="B300" s="6" t="s">
        <v>2657</v>
      </c>
      <c r="C300" t="s">
        <v>2319</v>
      </c>
      <c r="D300" t="s">
        <v>47</v>
      </c>
      <c r="E300">
        <v>1</v>
      </c>
      <c r="F300" s="6" t="s">
        <v>1552</v>
      </c>
      <c r="G300" t="s">
        <v>1554</v>
      </c>
      <c r="I300" s="6" t="s">
        <v>1583</v>
      </c>
      <c r="J300" s="6" t="s">
        <v>1589</v>
      </c>
      <c r="K300" t="s">
        <v>2302</v>
      </c>
      <c r="L300" t="s">
        <v>157</v>
      </c>
      <c r="P30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01" spans="1:16">
      <c r="A301" t="s">
        <v>2299</v>
      </c>
      <c r="B301" s="6" t="s">
        <v>2658</v>
      </c>
      <c r="C301" t="s">
        <v>2319</v>
      </c>
      <c r="D301" t="s">
        <v>43</v>
      </c>
      <c r="E301">
        <v>1</v>
      </c>
      <c r="F301" s="6" t="s">
        <v>1552</v>
      </c>
      <c r="G301" t="s">
        <v>1554</v>
      </c>
      <c r="I301" s="6" t="s">
        <v>1590</v>
      </c>
      <c r="J301" s="6" t="s">
        <v>1599</v>
      </c>
      <c r="K301" t="s">
        <v>2302</v>
      </c>
      <c r="L301" t="s">
        <v>157</v>
      </c>
      <c r="P30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02" spans="1:16">
      <c r="A302" t="s">
        <v>2299</v>
      </c>
      <c r="B302" s="6" t="s">
        <v>2659</v>
      </c>
      <c r="C302" t="s">
        <v>2319</v>
      </c>
      <c r="D302" t="s">
        <v>340</v>
      </c>
      <c r="E302">
        <v>1</v>
      </c>
      <c r="F302" s="6" t="s">
        <v>1552</v>
      </c>
      <c r="G302" t="s">
        <v>1554</v>
      </c>
      <c r="I302" s="6" t="s">
        <v>1600</v>
      </c>
      <c r="J302" s="6" t="s">
        <v>256</v>
      </c>
      <c r="K302" t="s">
        <v>2302</v>
      </c>
      <c r="L302" t="s">
        <v>157</v>
      </c>
      <c r="P30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03" spans="1:16">
      <c r="A303" t="s">
        <v>2299</v>
      </c>
      <c r="B303" s="6" t="s">
        <v>2660</v>
      </c>
      <c r="C303" t="s">
        <v>2319</v>
      </c>
      <c r="D303" t="s">
        <v>305</v>
      </c>
      <c r="E303">
        <v>1</v>
      </c>
      <c r="F303" s="6" t="s">
        <v>1552</v>
      </c>
      <c r="G303" t="s">
        <v>1554</v>
      </c>
      <c r="I303" s="6" t="s">
        <v>1617</v>
      </c>
      <c r="J303" s="6" t="s">
        <v>310</v>
      </c>
      <c r="K303" t="s">
        <v>2302</v>
      </c>
      <c r="L303" t="s">
        <v>157</v>
      </c>
      <c r="P30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04" spans="1:16">
      <c r="A304" t="s">
        <v>2299</v>
      </c>
      <c r="B304" s="6" t="s">
        <v>2661</v>
      </c>
      <c r="C304" t="s">
        <v>2319</v>
      </c>
      <c r="D304" t="s">
        <v>305</v>
      </c>
      <c r="E304">
        <v>1</v>
      </c>
      <c r="F304" s="6" t="s">
        <v>1552</v>
      </c>
      <c r="G304" t="s">
        <v>1554</v>
      </c>
      <c r="I304" s="6" t="s">
        <v>1621</v>
      </c>
      <c r="J304" s="6" t="s">
        <v>1626</v>
      </c>
      <c r="K304" t="s">
        <v>2302</v>
      </c>
      <c r="L304" t="s">
        <v>157</v>
      </c>
      <c r="P30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05" spans="1:16">
      <c r="A305" t="s">
        <v>2299</v>
      </c>
      <c r="B305" s="6" t="s">
        <v>2662</v>
      </c>
      <c r="C305" t="s">
        <v>2319</v>
      </c>
      <c r="D305" t="s">
        <v>44</v>
      </c>
      <c r="E305">
        <v>1</v>
      </c>
      <c r="F305" s="6" t="s">
        <v>1552</v>
      </c>
      <c r="G305" t="s">
        <v>1554</v>
      </c>
      <c r="I305" s="6" t="s">
        <v>1627</v>
      </c>
      <c r="J305" s="6" t="s">
        <v>1632</v>
      </c>
      <c r="K305" t="s">
        <v>2302</v>
      </c>
      <c r="L305" t="s">
        <v>157</v>
      </c>
      <c r="P30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06" spans="1:16">
      <c r="A306" t="s">
        <v>2299</v>
      </c>
      <c r="B306" s="6" t="s">
        <v>2663</v>
      </c>
      <c r="C306" t="s">
        <v>2319</v>
      </c>
      <c r="D306" t="s">
        <v>43</v>
      </c>
      <c r="E306">
        <v>1</v>
      </c>
      <c r="F306" s="6" t="s">
        <v>1552</v>
      </c>
      <c r="G306" t="s">
        <v>1554</v>
      </c>
      <c r="I306" s="6" t="s">
        <v>1637</v>
      </c>
      <c r="J306" s="6" t="s">
        <v>1647</v>
      </c>
      <c r="K306" t="s">
        <v>2302</v>
      </c>
      <c r="L306" t="s">
        <v>157</v>
      </c>
      <c r="P30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07" spans="1:16">
      <c r="A307" t="s">
        <v>2299</v>
      </c>
      <c r="B307" s="6" t="s">
        <v>2664</v>
      </c>
      <c r="C307" t="s">
        <v>2319</v>
      </c>
      <c r="D307" t="s">
        <v>44</v>
      </c>
      <c r="E307">
        <v>1</v>
      </c>
      <c r="F307" s="6" t="s">
        <v>1552</v>
      </c>
      <c r="G307" t="s">
        <v>1554</v>
      </c>
      <c r="I307" s="6" t="s">
        <v>1650</v>
      </c>
      <c r="J307" s="6" t="s">
        <v>321</v>
      </c>
      <c r="K307" t="s">
        <v>2302</v>
      </c>
      <c r="L307" t="s">
        <v>157</v>
      </c>
      <c r="P30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08" spans="1:16">
      <c r="A308" t="s">
        <v>2299</v>
      </c>
      <c r="B308" s="6" t="s">
        <v>2665</v>
      </c>
      <c r="C308" t="s">
        <v>2319</v>
      </c>
      <c r="D308" t="s">
        <v>52</v>
      </c>
      <c r="E308">
        <v>1</v>
      </c>
      <c r="F308" s="6" t="s">
        <v>1552</v>
      </c>
      <c r="G308" t="s">
        <v>1554</v>
      </c>
      <c r="I308" s="6" t="s">
        <v>1652</v>
      </c>
      <c r="J308" s="6" t="s">
        <v>521</v>
      </c>
      <c r="K308" t="s">
        <v>2302</v>
      </c>
      <c r="L308" t="s">
        <v>157</v>
      </c>
      <c r="P30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09" spans="1:16">
      <c r="A309" t="s">
        <v>2299</v>
      </c>
      <c r="B309" s="6" t="s">
        <v>2666</v>
      </c>
      <c r="C309" t="s">
        <v>2319</v>
      </c>
      <c r="D309" t="s">
        <v>43</v>
      </c>
      <c r="E309">
        <v>1</v>
      </c>
      <c r="F309" s="6" t="s">
        <v>1552</v>
      </c>
      <c r="G309" t="s">
        <v>1554</v>
      </c>
      <c r="I309" s="6" t="s">
        <v>1661</v>
      </c>
      <c r="J309" s="6" t="s">
        <v>1671</v>
      </c>
      <c r="K309" t="s">
        <v>2302</v>
      </c>
      <c r="L309" t="s">
        <v>157</v>
      </c>
      <c r="P30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10" spans="1:16">
      <c r="A310" t="s">
        <v>2299</v>
      </c>
      <c r="B310" s="6" t="s">
        <v>2667</v>
      </c>
      <c r="C310" t="s">
        <v>2319</v>
      </c>
      <c r="D310" t="s">
        <v>305</v>
      </c>
      <c r="E310">
        <v>1</v>
      </c>
      <c r="F310" s="6" t="s">
        <v>1552</v>
      </c>
      <c r="G310" t="s">
        <v>1554</v>
      </c>
      <c r="I310" s="6" t="s">
        <v>1672</v>
      </c>
      <c r="J310" s="6" t="s">
        <v>306</v>
      </c>
      <c r="K310" t="s">
        <v>2302</v>
      </c>
      <c r="L310" t="s">
        <v>157</v>
      </c>
      <c r="P31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11" spans="1:16">
      <c r="A311" t="s">
        <v>2299</v>
      </c>
      <c r="B311" s="6" t="s">
        <v>2668</v>
      </c>
      <c r="C311" t="s">
        <v>2319</v>
      </c>
      <c r="D311" t="s">
        <v>44</v>
      </c>
      <c r="E311">
        <v>1</v>
      </c>
      <c r="F311" s="6" t="s">
        <v>1552</v>
      </c>
      <c r="G311" t="s">
        <v>1554</v>
      </c>
      <c r="I311" s="6" t="s">
        <v>1674</v>
      </c>
      <c r="J311" s="6" t="s">
        <v>1679</v>
      </c>
      <c r="K311" t="s">
        <v>2302</v>
      </c>
      <c r="L311" t="s">
        <v>157</v>
      </c>
      <c r="P31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12" spans="1:16">
      <c r="A312" t="s">
        <v>2299</v>
      </c>
      <c r="B312" s="6" t="s">
        <v>2669</v>
      </c>
      <c r="C312" t="s">
        <v>2319</v>
      </c>
      <c r="D312" t="s">
        <v>1689</v>
      </c>
      <c r="E312">
        <v>1</v>
      </c>
      <c r="F312" s="6" t="s">
        <v>1552</v>
      </c>
      <c r="G312" t="s">
        <v>1554</v>
      </c>
      <c r="I312" s="6" t="s">
        <v>1680</v>
      </c>
      <c r="J312" s="6" t="s">
        <v>1690</v>
      </c>
      <c r="K312" t="s">
        <v>2302</v>
      </c>
      <c r="L312" t="s">
        <v>157</v>
      </c>
      <c r="P31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13" spans="1:16">
      <c r="A313" t="s">
        <v>2299</v>
      </c>
      <c r="B313" s="6" t="s">
        <v>2670</v>
      </c>
      <c r="C313" t="s">
        <v>2319</v>
      </c>
      <c r="D313" t="s">
        <v>43</v>
      </c>
      <c r="E313">
        <v>1</v>
      </c>
      <c r="F313" s="6" t="s">
        <v>1552</v>
      </c>
      <c r="G313" t="s">
        <v>1554</v>
      </c>
      <c r="I313" s="6" t="s">
        <v>1691</v>
      </c>
      <c r="J313" s="6" t="s">
        <v>1700</v>
      </c>
      <c r="K313" t="s">
        <v>2302</v>
      </c>
      <c r="L313" t="s">
        <v>157</v>
      </c>
      <c r="P31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14" spans="1:16">
      <c r="A314" t="s">
        <v>2299</v>
      </c>
      <c r="B314" s="6" t="s">
        <v>2671</v>
      </c>
      <c r="C314" t="s">
        <v>2319</v>
      </c>
      <c r="D314" t="s">
        <v>43</v>
      </c>
      <c r="E314">
        <v>1</v>
      </c>
      <c r="F314" s="6" t="s">
        <v>1552</v>
      </c>
      <c r="G314" t="s">
        <v>1554</v>
      </c>
      <c r="I314" s="6" t="s">
        <v>1701</v>
      </c>
      <c r="J314" s="6" t="s">
        <v>1709</v>
      </c>
      <c r="K314" t="s">
        <v>2302</v>
      </c>
      <c r="L314" t="s">
        <v>157</v>
      </c>
      <c r="P31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15" spans="1:16">
      <c r="A315" t="s">
        <v>2299</v>
      </c>
      <c r="B315" s="6" t="s">
        <v>2672</v>
      </c>
      <c r="C315" t="s">
        <v>2319</v>
      </c>
      <c r="D315" t="s">
        <v>43</v>
      </c>
      <c r="E315">
        <v>1</v>
      </c>
      <c r="F315" s="6" t="s">
        <v>1552</v>
      </c>
      <c r="G315" t="s">
        <v>1554</v>
      </c>
      <c r="I315" s="6" t="s">
        <v>1710</v>
      </c>
      <c r="J315" s="6" t="s">
        <v>622</v>
      </c>
      <c r="K315" t="s">
        <v>2302</v>
      </c>
      <c r="L315" t="s">
        <v>157</v>
      </c>
      <c r="P31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16" spans="1:16">
      <c r="A316" t="s">
        <v>2299</v>
      </c>
      <c r="B316" s="6" t="s">
        <v>2673</v>
      </c>
      <c r="C316" t="s">
        <v>2319</v>
      </c>
      <c r="D316" t="s">
        <v>1717</v>
      </c>
      <c r="E316">
        <v>1</v>
      </c>
      <c r="F316" s="6" t="s">
        <v>1552</v>
      </c>
      <c r="G316" t="s">
        <v>1554</v>
      </c>
      <c r="I316" s="6" t="s">
        <v>1715</v>
      </c>
      <c r="J316" s="6" t="s">
        <v>485</v>
      </c>
      <c r="K316" t="s">
        <v>2302</v>
      </c>
      <c r="L316" t="s">
        <v>157</v>
      </c>
      <c r="P31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17" spans="1:16">
      <c r="A317" t="s">
        <v>2299</v>
      </c>
      <c r="B317" s="6" t="s">
        <v>2674</v>
      </c>
      <c r="C317" t="s">
        <v>2319</v>
      </c>
      <c r="D317" t="s">
        <v>1722</v>
      </c>
      <c r="E317">
        <v>1</v>
      </c>
      <c r="F317" s="6" t="s">
        <v>1552</v>
      </c>
      <c r="G317" t="s">
        <v>1554</v>
      </c>
      <c r="I317" s="6" t="s">
        <v>1718</v>
      </c>
      <c r="J317" s="6" t="s">
        <v>327</v>
      </c>
      <c r="K317" t="s">
        <v>2302</v>
      </c>
      <c r="L317" t="s">
        <v>157</v>
      </c>
      <c r="P31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18" spans="1:16">
      <c r="A318" t="s">
        <v>2299</v>
      </c>
      <c r="B318" s="6" t="s">
        <v>2675</v>
      </c>
      <c r="C318" t="s">
        <v>2319</v>
      </c>
      <c r="D318" t="s">
        <v>43</v>
      </c>
      <c r="E318">
        <v>1</v>
      </c>
      <c r="F318" s="6" t="s">
        <v>1552</v>
      </c>
      <c r="G318" t="s">
        <v>1554</v>
      </c>
      <c r="I318" s="6" t="s">
        <v>1730</v>
      </c>
      <c r="J318" s="6" t="s">
        <v>1738</v>
      </c>
      <c r="K318" t="s">
        <v>2302</v>
      </c>
      <c r="L318" t="s">
        <v>157</v>
      </c>
      <c r="P31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19" spans="1:16">
      <c r="A319" t="s">
        <v>2299</v>
      </c>
      <c r="B319" s="6" t="s">
        <v>2676</v>
      </c>
      <c r="C319" t="s">
        <v>2319</v>
      </c>
      <c r="D319" t="s">
        <v>47</v>
      </c>
      <c r="E319">
        <v>1</v>
      </c>
      <c r="F319" s="6" t="s">
        <v>1552</v>
      </c>
      <c r="G319" t="s">
        <v>1554</v>
      </c>
      <c r="I319" s="6" t="s">
        <v>1747</v>
      </c>
      <c r="J319" s="6" t="s">
        <v>1753</v>
      </c>
      <c r="K319" t="s">
        <v>2302</v>
      </c>
      <c r="L319" t="s">
        <v>157</v>
      </c>
      <c r="P31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20" spans="1:16">
      <c r="A320" t="s">
        <v>2299</v>
      </c>
      <c r="B320" s="6" t="s">
        <v>2677</v>
      </c>
      <c r="C320" t="s">
        <v>2319</v>
      </c>
      <c r="D320" t="s">
        <v>1756</v>
      </c>
      <c r="E320">
        <v>1</v>
      </c>
      <c r="F320" s="6" t="s">
        <v>1552</v>
      </c>
      <c r="G320" t="s">
        <v>1554</v>
      </c>
      <c r="I320" s="6" t="s">
        <v>1754</v>
      </c>
      <c r="J320" s="6" t="s">
        <v>542</v>
      </c>
      <c r="K320" t="s">
        <v>2302</v>
      </c>
      <c r="L320" t="s">
        <v>157</v>
      </c>
      <c r="P32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21" spans="1:16">
      <c r="A321" t="s">
        <v>2299</v>
      </c>
      <c r="B321" s="6" t="s">
        <v>2678</v>
      </c>
      <c r="C321" t="s">
        <v>2319</v>
      </c>
      <c r="D321" t="s">
        <v>43</v>
      </c>
      <c r="E321">
        <v>1</v>
      </c>
      <c r="F321" s="6" t="s">
        <v>1552</v>
      </c>
      <c r="G321" t="s">
        <v>1554</v>
      </c>
      <c r="I321" s="6" t="s">
        <v>1757</v>
      </c>
      <c r="J321" s="6" t="s">
        <v>1766</v>
      </c>
      <c r="K321" t="s">
        <v>2302</v>
      </c>
      <c r="L321" t="s">
        <v>157</v>
      </c>
      <c r="P32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22" spans="1:16">
      <c r="A322" t="s">
        <v>2299</v>
      </c>
      <c r="B322" s="6" t="s">
        <v>2679</v>
      </c>
      <c r="C322" t="s">
        <v>2319</v>
      </c>
      <c r="D322" t="s">
        <v>340</v>
      </c>
      <c r="E322">
        <v>1</v>
      </c>
      <c r="F322" s="6" t="s">
        <v>1552</v>
      </c>
      <c r="G322" t="s">
        <v>1554</v>
      </c>
      <c r="I322" s="6" t="s">
        <v>1767</v>
      </c>
      <c r="J322" s="6" t="s">
        <v>514</v>
      </c>
      <c r="K322" t="s">
        <v>2302</v>
      </c>
      <c r="L322" t="s">
        <v>157</v>
      </c>
      <c r="P32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23" spans="1:16">
      <c r="A323" t="s">
        <v>2299</v>
      </c>
      <c r="B323" s="6" t="s">
        <v>2680</v>
      </c>
      <c r="C323" t="s">
        <v>2319</v>
      </c>
      <c r="D323" t="s">
        <v>43</v>
      </c>
      <c r="E323">
        <v>1</v>
      </c>
      <c r="F323" s="6" t="s">
        <v>1552</v>
      </c>
      <c r="G323" t="s">
        <v>1554</v>
      </c>
      <c r="I323" s="6" t="s">
        <v>1769</v>
      </c>
      <c r="J323" s="6" t="s">
        <v>1779</v>
      </c>
      <c r="K323" t="s">
        <v>2302</v>
      </c>
      <c r="L323" t="s">
        <v>157</v>
      </c>
      <c r="P32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24" spans="1:16">
      <c r="A324" t="s">
        <v>2299</v>
      </c>
      <c r="B324" s="6" t="s">
        <v>2681</v>
      </c>
      <c r="C324" t="s">
        <v>2319</v>
      </c>
      <c r="D324" t="s">
        <v>43</v>
      </c>
      <c r="E324">
        <v>1</v>
      </c>
      <c r="F324" s="6" t="s">
        <v>1552</v>
      </c>
      <c r="G324" t="s">
        <v>1554</v>
      </c>
      <c r="I324" s="6" t="s">
        <v>1786</v>
      </c>
      <c r="J324" s="6" t="s">
        <v>1795</v>
      </c>
      <c r="K324" t="s">
        <v>2302</v>
      </c>
      <c r="L324" t="s">
        <v>157</v>
      </c>
      <c r="P32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25" spans="1:16">
      <c r="A325" t="s">
        <v>2299</v>
      </c>
      <c r="B325" s="6" t="s">
        <v>2682</v>
      </c>
      <c r="C325" t="s">
        <v>2319</v>
      </c>
      <c r="D325" t="s">
        <v>1722</v>
      </c>
      <c r="E325">
        <v>1</v>
      </c>
      <c r="F325" s="6" t="s">
        <v>1552</v>
      </c>
      <c r="G325" t="s">
        <v>1554</v>
      </c>
      <c r="I325" s="6" t="s">
        <v>1799</v>
      </c>
      <c r="J325" s="6" t="s">
        <v>440</v>
      </c>
      <c r="K325" t="s">
        <v>2302</v>
      </c>
      <c r="L325" t="s">
        <v>157</v>
      </c>
      <c r="P32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26" spans="1:16">
      <c r="A326" t="s">
        <v>2299</v>
      </c>
      <c r="B326" s="6" t="s">
        <v>2683</v>
      </c>
      <c r="C326" t="s">
        <v>2319</v>
      </c>
      <c r="D326" t="s">
        <v>43</v>
      </c>
      <c r="E326">
        <v>1</v>
      </c>
      <c r="F326" s="6" t="s">
        <v>1552</v>
      </c>
      <c r="G326" t="s">
        <v>1554</v>
      </c>
      <c r="I326" s="6" t="s">
        <v>1801</v>
      </c>
      <c r="J326" s="6" t="s">
        <v>625</v>
      </c>
      <c r="K326" t="s">
        <v>2302</v>
      </c>
      <c r="L326" t="s">
        <v>157</v>
      </c>
      <c r="P32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27" spans="1:16">
      <c r="A327" t="s">
        <v>2299</v>
      </c>
      <c r="B327" s="6" t="s">
        <v>2684</v>
      </c>
      <c r="C327" t="s">
        <v>2319</v>
      </c>
      <c r="D327" t="s">
        <v>44</v>
      </c>
      <c r="E327">
        <v>1</v>
      </c>
      <c r="F327" s="6" t="s">
        <v>1552</v>
      </c>
      <c r="G327" t="s">
        <v>1554</v>
      </c>
      <c r="I327" s="6" t="s">
        <v>1807</v>
      </c>
      <c r="J327" s="6" t="s">
        <v>640</v>
      </c>
      <c r="K327" t="s">
        <v>2302</v>
      </c>
      <c r="L327" t="s">
        <v>157</v>
      </c>
      <c r="P32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28" spans="1:16">
      <c r="A328" t="s">
        <v>2299</v>
      </c>
      <c r="B328" s="6" t="s">
        <v>2685</v>
      </c>
      <c r="C328" t="s">
        <v>2319</v>
      </c>
      <c r="D328" t="s">
        <v>43</v>
      </c>
      <c r="E328">
        <v>1</v>
      </c>
      <c r="F328" s="6" t="s">
        <v>1552</v>
      </c>
      <c r="G328" t="s">
        <v>1554</v>
      </c>
      <c r="I328" s="6" t="s">
        <v>1811</v>
      </c>
      <c r="J328" s="6" t="s">
        <v>367</v>
      </c>
      <c r="K328" t="s">
        <v>2302</v>
      </c>
      <c r="L328" t="s">
        <v>157</v>
      </c>
      <c r="P32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29" spans="1:16">
      <c r="A329" t="s">
        <v>2299</v>
      </c>
      <c r="B329" s="6" t="s">
        <v>2686</v>
      </c>
      <c r="C329" t="s">
        <v>2319</v>
      </c>
      <c r="D329" t="s">
        <v>305</v>
      </c>
      <c r="E329">
        <v>1</v>
      </c>
      <c r="F329" s="6" t="s">
        <v>1552</v>
      </c>
      <c r="G329" t="s">
        <v>1554</v>
      </c>
      <c r="I329" s="6" t="s">
        <v>1814</v>
      </c>
      <c r="J329" s="6" t="s">
        <v>1331</v>
      </c>
      <c r="K329" t="s">
        <v>2302</v>
      </c>
      <c r="L329" t="s">
        <v>157</v>
      </c>
      <c r="P32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30" spans="1:16">
      <c r="A330" t="s">
        <v>2299</v>
      </c>
      <c r="B330" s="6" t="s">
        <v>2687</v>
      </c>
      <c r="C330" t="s">
        <v>2319</v>
      </c>
      <c r="D330" t="s">
        <v>43</v>
      </c>
      <c r="E330">
        <v>1</v>
      </c>
      <c r="F330" s="6" t="s">
        <v>1552</v>
      </c>
      <c r="G330" t="s">
        <v>1554</v>
      </c>
      <c r="I330" s="6" t="s">
        <v>1830</v>
      </c>
      <c r="J330" s="6" t="s">
        <v>619</v>
      </c>
      <c r="K330" t="s">
        <v>2302</v>
      </c>
      <c r="L330" t="s">
        <v>157</v>
      </c>
      <c r="P33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31" spans="1:16">
      <c r="A331" t="s">
        <v>2299</v>
      </c>
      <c r="B331" s="6" t="s">
        <v>2688</v>
      </c>
      <c r="C331" t="s">
        <v>2319</v>
      </c>
      <c r="D331" t="s">
        <v>43</v>
      </c>
      <c r="E331">
        <v>1</v>
      </c>
      <c r="F331" s="6" t="s">
        <v>1552</v>
      </c>
      <c r="G331" t="s">
        <v>1554</v>
      </c>
      <c r="I331" s="6" t="s">
        <v>1832</v>
      </c>
      <c r="J331" s="6" t="s">
        <v>692</v>
      </c>
      <c r="K331" t="s">
        <v>2302</v>
      </c>
      <c r="L331" t="s">
        <v>157</v>
      </c>
      <c r="P33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32" spans="1:16">
      <c r="A332" t="s">
        <v>2299</v>
      </c>
      <c r="B332" s="6" t="s">
        <v>2689</v>
      </c>
      <c r="C332" t="s">
        <v>2319</v>
      </c>
      <c r="D332" t="s">
        <v>43</v>
      </c>
      <c r="E332">
        <v>1</v>
      </c>
      <c r="F332" s="6" t="s">
        <v>1552</v>
      </c>
      <c r="G332" t="s">
        <v>1554</v>
      </c>
      <c r="I332" s="6" t="s">
        <v>1836</v>
      </c>
      <c r="J332" s="6" t="s">
        <v>1844</v>
      </c>
      <c r="K332" t="s">
        <v>2302</v>
      </c>
      <c r="L332" t="s">
        <v>157</v>
      </c>
      <c r="P33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33" spans="1:16">
      <c r="A333" t="s">
        <v>2299</v>
      </c>
      <c r="B333" s="6" t="s">
        <v>2690</v>
      </c>
      <c r="C333" t="s">
        <v>2319</v>
      </c>
      <c r="D333" t="s">
        <v>44</v>
      </c>
      <c r="E333">
        <v>1</v>
      </c>
      <c r="F333" s="6" t="s">
        <v>1552</v>
      </c>
      <c r="G333" t="s">
        <v>1554</v>
      </c>
      <c r="I333" s="6" t="s">
        <v>1852</v>
      </c>
      <c r="J333" s="6" t="s">
        <v>681</v>
      </c>
      <c r="K333" t="s">
        <v>2302</v>
      </c>
      <c r="L333" t="s">
        <v>157</v>
      </c>
      <c r="P33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34" spans="1:16">
      <c r="A334" t="s">
        <v>2299</v>
      </c>
      <c r="B334" s="6" t="s">
        <v>2691</v>
      </c>
      <c r="C334" t="s">
        <v>2319</v>
      </c>
      <c r="D334" t="s">
        <v>44</v>
      </c>
      <c r="E334">
        <v>1</v>
      </c>
      <c r="F334" s="6" t="s">
        <v>1552</v>
      </c>
      <c r="G334" t="s">
        <v>1554</v>
      </c>
      <c r="I334" s="6" t="s">
        <v>1854</v>
      </c>
      <c r="J334" s="6" t="s">
        <v>518</v>
      </c>
      <c r="K334" t="s">
        <v>2302</v>
      </c>
      <c r="L334" t="s">
        <v>157</v>
      </c>
      <c r="P33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35" spans="1:16">
      <c r="A335" t="s">
        <v>2299</v>
      </c>
      <c r="B335" s="6" t="s">
        <v>2692</v>
      </c>
      <c r="C335" t="s">
        <v>2319</v>
      </c>
      <c r="D335" t="s">
        <v>1867</v>
      </c>
      <c r="E335">
        <v>1</v>
      </c>
      <c r="F335" s="6" t="s">
        <v>1552</v>
      </c>
      <c r="G335" t="s">
        <v>1554</v>
      </c>
      <c r="I335" s="6" t="s">
        <v>1858</v>
      </c>
      <c r="J335" s="6" t="s">
        <v>1868</v>
      </c>
      <c r="K335" t="s">
        <v>2302</v>
      </c>
      <c r="L335" t="s">
        <v>157</v>
      </c>
      <c r="P33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36" spans="1:16">
      <c r="A336" t="s">
        <v>2299</v>
      </c>
      <c r="B336" s="6" t="s">
        <v>2693</v>
      </c>
      <c r="C336" t="s">
        <v>2319</v>
      </c>
      <c r="D336" t="s">
        <v>44</v>
      </c>
      <c r="E336">
        <v>1</v>
      </c>
      <c r="F336" s="6" t="s">
        <v>1552</v>
      </c>
      <c r="G336" t="s">
        <v>1554</v>
      </c>
      <c r="I336" s="6" t="s">
        <v>1869</v>
      </c>
      <c r="J336" s="6" t="s">
        <v>643</v>
      </c>
      <c r="K336" t="s">
        <v>2302</v>
      </c>
      <c r="L336" t="s">
        <v>157</v>
      </c>
      <c r="P33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37" spans="1:16">
      <c r="A337" t="s">
        <v>2299</v>
      </c>
      <c r="B337" s="6" t="s">
        <v>2694</v>
      </c>
      <c r="C337" t="s">
        <v>2319</v>
      </c>
      <c r="D337" t="s">
        <v>44</v>
      </c>
      <c r="E337">
        <v>1</v>
      </c>
      <c r="F337" s="6" t="s">
        <v>1552</v>
      </c>
      <c r="G337" t="s">
        <v>1554</v>
      </c>
      <c r="I337" s="6" t="s">
        <v>1873</v>
      </c>
      <c r="J337" s="6" t="s">
        <v>262</v>
      </c>
      <c r="K337" t="s">
        <v>2302</v>
      </c>
      <c r="L337" t="s">
        <v>157</v>
      </c>
      <c r="P33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38" spans="1:16">
      <c r="A338" t="s">
        <v>2299</v>
      </c>
      <c r="B338" s="6" t="s">
        <v>2695</v>
      </c>
      <c r="C338" t="s">
        <v>2319</v>
      </c>
      <c r="D338" t="s">
        <v>52</v>
      </c>
      <c r="E338">
        <v>1</v>
      </c>
      <c r="F338" s="6" t="s">
        <v>1552</v>
      </c>
      <c r="G338" t="s">
        <v>1554</v>
      </c>
      <c r="I338" s="6" t="s">
        <v>1878</v>
      </c>
      <c r="J338" s="6" t="s">
        <v>586</v>
      </c>
      <c r="K338" t="s">
        <v>2302</v>
      </c>
      <c r="L338" t="s">
        <v>157</v>
      </c>
      <c r="P33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39" spans="1:16">
      <c r="A339" t="s">
        <v>2299</v>
      </c>
      <c r="B339" s="6" t="s">
        <v>2696</v>
      </c>
      <c r="C339" t="s">
        <v>2319</v>
      </c>
      <c r="D339" t="s">
        <v>44</v>
      </c>
      <c r="E339">
        <v>1</v>
      </c>
      <c r="F339" s="6" t="s">
        <v>1552</v>
      </c>
      <c r="G339" t="s">
        <v>1554</v>
      </c>
      <c r="I339" s="6" t="s">
        <v>1890</v>
      </c>
      <c r="J339" s="6" t="s">
        <v>1895</v>
      </c>
      <c r="K339" t="s">
        <v>2302</v>
      </c>
      <c r="L339" t="s">
        <v>157</v>
      </c>
      <c r="P33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40" spans="1:16">
      <c r="A340" t="s">
        <v>2299</v>
      </c>
      <c r="B340" s="6" t="s">
        <v>2697</v>
      </c>
      <c r="C340" t="s">
        <v>2319</v>
      </c>
      <c r="D340" t="s">
        <v>44</v>
      </c>
      <c r="E340">
        <v>1</v>
      </c>
      <c r="F340" s="6" t="s">
        <v>1552</v>
      </c>
      <c r="G340" t="s">
        <v>1554</v>
      </c>
      <c r="I340" s="6" t="s">
        <v>1896</v>
      </c>
      <c r="J340" s="6" t="s">
        <v>1901</v>
      </c>
      <c r="K340" t="s">
        <v>2302</v>
      </c>
      <c r="L340" t="s">
        <v>157</v>
      </c>
      <c r="P34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41" spans="1:16">
      <c r="A341" t="s">
        <v>2299</v>
      </c>
      <c r="B341" s="6" t="s">
        <v>2698</v>
      </c>
      <c r="C341" t="s">
        <v>2319</v>
      </c>
      <c r="D341" t="s">
        <v>43</v>
      </c>
      <c r="E341">
        <v>1</v>
      </c>
      <c r="F341" s="6" t="s">
        <v>1552</v>
      </c>
      <c r="G341" t="s">
        <v>1554</v>
      </c>
      <c r="I341" s="6" t="s">
        <v>1902</v>
      </c>
      <c r="J341" s="6" t="s">
        <v>1907</v>
      </c>
      <c r="K341" t="s">
        <v>2302</v>
      </c>
      <c r="L341" t="s">
        <v>157</v>
      </c>
      <c r="P34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42" spans="1:16">
      <c r="A342" t="s">
        <v>2299</v>
      </c>
      <c r="B342" s="6" t="s">
        <v>2699</v>
      </c>
      <c r="C342" t="s">
        <v>2319</v>
      </c>
      <c r="D342" t="s">
        <v>792</v>
      </c>
      <c r="E342">
        <v>1</v>
      </c>
      <c r="F342" s="6" t="s">
        <v>1552</v>
      </c>
      <c r="G342" t="s">
        <v>1554</v>
      </c>
      <c r="I342" s="6" t="s">
        <v>1908</v>
      </c>
      <c r="J342" s="6" t="s">
        <v>599</v>
      </c>
      <c r="K342" t="s">
        <v>2302</v>
      </c>
      <c r="L342" t="s">
        <v>157</v>
      </c>
      <c r="P34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43" spans="1:16">
      <c r="A343" t="s">
        <v>2299</v>
      </c>
      <c r="B343" s="6" t="s">
        <v>2700</v>
      </c>
      <c r="C343" t="s">
        <v>2319</v>
      </c>
      <c r="D343" t="s">
        <v>1722</v>
      </c>
      <c r="E343">
        <v>1</v>
      </c>
      <c r="F343" s="6" t="s">
        <v>1552</v>
      </c>
      <c r="G343" t="s">
        <v>1554</v>
      </c>
      <c r="I343" s="6" t="s">
        <v>1912</v>
      </c>
      <c r="J343" s="6" t="s">
        <v>156</v>
      </c>
      <c r="K343" t="s">
        <v>2302</v>
      </c>
      <c r="L343" t="s">
        <v>157</v>
      </c>
      <c r="P34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44" spans="1:16">
      <c r="A344" t="s">
        <v>2299</v>
      </c>
      <c r="B344" s="6" t="s">
        <v>2701</v>
      </c>
      <c r="C344" t="s">
        <v>2319</v>
      </c>
      <c r="D344" t="s">
        <v>43</v>
      </c>
      <c r="E344">
        <v>1</v>
      </c>
      <c r="F344" s="6" t="s">
        <v>1552</v>
      </c>
      <c r="G344" t="s">
        <v>1554</v>
      </c>
      <c r="I344" s="6" t="s">
        <v>1915</v>
      </c>
      <c r="J344" s="6" t="s">
        <v>1924</v>
      </c>
      <c r="K344" t="s">
        <v>2302</v>
      </c>
      <c r="L344" t="s">
        <v>157</v>
      </c>
      <c r="P34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45" spans="1:16">
      <c r="A345" t="s">
        <v>2299</v>
      </c>
      <c r="B345" s="6" t="s">
        <v>2702</v>
      </c>
      <c r="C345" t="s">
        <v>2319</v>
      </c>
      <c r="D345" t="s">
        <v>340</v>
      </c>
      <c r="E345">
        <v>1</v>
      </c>
      <c r="F345" s="6" t="s">
        <v>1552</v>
      </c>
      <c r="G345" t="s">
        <v>1554</v>
      </c>
      <c r="I345" s="6" t="s">
        <v>1925</v>
      </c>
      <c r="J345" s="6" t="s">
        <v>1929</v>
      </c>
      <c r="K345" t="s">
        <v>2302</v>
      </c>
      <c r="L345" t="s">
        <v>157</v>
      </c>
      <c r="P34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46" spans="1:16">
      <c r="A346" t="s">
        <v>2299</v>
      </c>
      <c r="B346" s="6" t="s">
        <v>2703</v>
      </c>
      <c r="C346" t="s">
        <v>2319</v>
      </c>
      <c r="D346" t="s">
        <v>43</v>
      </c>
      <c r="E346">
        <v>1</v>
      </c>
      <c r="F346" s="6" t="s">
        <v>1931</v>
      </c>
      <c r="I346" s="6" t="s">
        <v>1930</v>
      </c>
      <c r="J346" s="6" t="s">
        <v>367</v>
      </c>
      <c r="K346" t="s">
        <v>2302</v>
      </c>
      <c r="L346" t="s">
        <v>157</v>
      </c>
      <c r="P34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47" spans="1:16">
      <c r="A347" t="s">
        <v>2299</v>
      </c>
      <c r="B347" s="6" t="s">
        <v>2704</v>
      </c>
      <c r="C347" t="s">
        <v>2319</v>
      </c>
      <c r="D347" t="s">
        <v>1936</v>
      </c>
      <c r="E347">
        <v>1</v>
      </c>
      <c r="F347" s="6" t="s">
        <v>1931</v>
      </c>
      <c r="I347" s="6" t="s">
        <v>1934</v>
      </c>
      <c r="J347" s="6" t="s">
        <v>709</v>
      </c>
      <c r="K347" t="s">
        <v>2302</v>
      </c>
      <c r="L347" t="s">
        <v>157</v>
      </c>
      <c r="P34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48" spans="1:16">
      <c r="A348" t="s">
        <v>2299</v>
      </c>
      <c r="B348" s="6" t="s">
        <v>2705</v>
      </c>
      <c r="C348" t="s">
        <v>2319</v>
      </c>
      <c r="D348" t="s">
        <v>44</v>
      </c>
      <c r="E348">
        <v>1</v>
      </c>
      <c r="F348" s="6" t="s">
        <v>1931</v>
      </c>
      <c r="I348" s="6" t="s">
        <v>1937</v>
      </c>
      <c r="J348" s="6" t="s">
        <v>277</v>
      </c>
      <c r="K348" t="s">
        <v>2302</v>
      </c>
      <c r="L348" t="s">
        <v>157</v>
      </c>
      <c r="P34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49" spans="1:16">
      <c r="A349" t="s">
        <v>2299</v>
      </c>
      <c r="B349" s="6" t="s">
        <v>2706</v>
      </c>
      <c r="C349" t="s">
        <v>2319</v>
      </c>
      <c r="D349" t="s">
        <v>44</v>
      </c>
      <c r="E349">
        <v>1</v>
      </c>
      <c r="F349" s="6" t="s">
        <v>1931</v>
      </c>
      <c r="I349" s="6" t="s">
        <v>1939</v>
      </c>
      <c r="J349" s="6" t="s">
        <v>553</v>
      </c>
      <c r="K349" t="s">
        <v>2302</v>
      </c>
      <c r="L349" t="s">
        <v>157</v>
      </c>
      <c r="P34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50" spans="1:16">
      <c r="A350" t="s">
        <v>2299</v>
      </c>
      <c r="B350" s="6" t="s">
        <v>2707</v>
      </c>
      <c r="C350" t="s">
        <v>2319</v>
      </c>
      <c r="D350" t="s">
        <v>44</v>
      </c>
      <c r="E350">
        <v>1</v>
      </c>
      <c r="F350" s="6" t="s">
        <v>1931</v>
      </c>
      <c r="I350" s="6" t="s">
        <v>1941</v>
      </c>
      <c r="J350" s="6" t="s">
        <v>440</v>
      </c>
      <c r="K350" t="s">
        <v>2302</v>
      </c>
      <c r="L350" t="s">
        <v>157</v>
      </c>
      <c r="P35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51" spans="1:16">
      <c r="A351" t="s">
        <v>2299</v>
      </c>
      <c r="B351" s="6" t="s">
        <v>2708</v>
      </c>
      <c r="C351" t="s">
        <v>2319</v>
      </c>
      <c r="D351" t="s">
        <v>44</v>
      </c>
      <c r="E351">
        <v>1</v>
      </c>
      <c r="F351" s="6" t="s">
        <v>1931</v>
      </c>
      <c r="I351" s="6" t="s">
        <v>1943</v>
      </c>
      <c r="J351" s="6" t="s">
        <v>514</v>
      </c>
      <c r="K351" t="s">
        <v>2302</v>
      </c>
      <c r="L351" t="s">
        <v>157</v>
      </c>
      <c r="P35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52" spans="1:16">
      <c r="A352" t="s">
        <v>2299</v>
      </c>
      <c r="B352" s="6" t="s">
        <v>2709</v>
      </c>
      <c r="C352" t="s">
        <v>2319</v>
      </c>
      <c r="D352" t="s">
        <v>1935</v>
      </c>
      <c r="E352">
        <v>1</v>
      </c>
      <c r="F352" s="6" t="s">
        <v>1931</v>
      </c>
      <c r="I352" s="6" t="s">
        <v>1946</v>
      </c>
      <c r="J352" s="6" t="s">
        <v>1284</v>
      </c>
      <c r="K352" t="s">
        <v>2302</v>
      </c>
      <c r="L352" t="s">
        <v>157</v>
      </c>
      <c r="P35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53" spans="1:16">
      <c r="A353" t="s">
        <v>2299</v>
      </c>
      <c r="B353" s="6" t="s">
        <v>2710</v>
      </c>
      <c r="C353" t="s">
        <v>2319</v>
      </c>
      <c r="D353" t="s">
        <v>44</v>
      </c>
      <c r="E353">
        <v>1</v>
      </c>
      <c r="F353" s="6" t="s">
        <v>1931</v>
      </c>
      <c r="I353" s="6" t="s">
        <v>1949</v>
      </c>
      <c r="J353" s="6" t="s">
        <v>256</v>
      </c>
      <c r="K353" t="s">
        <v>2302</v>
      </c>
      <c r="L353" t="s">
        <v>157</v>
      </c>
      <c r="P35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54" spans="1:16">
      <c r="A354" t="s">
        <v>2299</v>
      </c>
      <c r="B354" s="6" t="s">
        <v>2711</v>
      </c>
      <c r="C354" t="s">
        <v>2319</v>
      </c>
      <c r="D354" t="s">
        <v>1952</v>
      </c>
      <c r="E354">
        <v>1</v>
      </c>
      <c r="F354" s="6" t="s">
        <v>1931</v>
      </c>
      <c r="I354" s="6" t="s">
        <v>1950</v>
      </c>
      <c r="J354" s="6" t="s">
        <v>451</v>
      </c>
      <c r="K354" t="s">
        <v>2302</v>
      </c>
      <c r="L354" t="s">
        <v>157</v>
      </c>
      <c r="P35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55" spans="1:16">
      <c r="A355" t="s">
        <v>2299</v>
      </c>
      <c r="B355" s="6" t="s">
        <v>2712</v>
      </c>
      <c r="C355" t="s">
        <v>2319</v>
      </c>
      <c r="D355" t="s">
        <v>44</v>
      </c>
      <c r="E355">
        <v>1</v>
      </c>
      <c r="F355" s="6" t="s">
        <v>1931</v>
      </c>
      <c r="I355" s="6" t="s">
        <v>1955</v>
      </c>
      <c r="J355" s="6" t="s">
        <v>156</v>
      </c>
      <c r="K355" t="s">
        <v>2302</v>
      </c>
      <c r="L355" t="s">
        <v>157</v>
      </c>
      <c r="P35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56" spans="1:16">
      <c r="A356" t="s">
        <v>2299</v>
      </c>
      <c r="B356" s="6" t="s">
        <v>2713</v>
      </c>
      <c r="C356" t="s">
        <v>2319</v>
      </c>
      <c r="D356" t="s">
        <v>44</v>
      </c>
      <c r="E356">
        <v>1</v>
      </c>
      <c r="F356" s="6" t="s">
        <v>1931</v>
      </c>
      <c r="I356" s="6" t="s">
        <v>1956</v>
      </c>
      <c r="J356" s="6" t="s">
        <v>681</v>
      </c>
      <c r="K356" t="s">
        <v>2302</v>
      </c>
      <c r="L356" t="s">
        <v>157</v>
      </c>
      <c r="P35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57" spans="1:16">
      <c r="A357" t="s">
        <v>2299</v>
      </c>
      <c r="B357" s="6" t="s">
        <v>2714</v>
      </c>
      <c r="C357" t="s">
        <v>2319</v>
      </c>
      <c r="D357" t="s">
        <v>47</v>
      </c>
      <c r="E357">
        <v>1</v>
      </c>
      <c r="F357" s="6" t="s">
        <v>1931</v>
      </c>
      <c r="I357" s="6" t="s">
        <v>1958</v>
      </c>
      <c r="J357" s="6" t="s">
        <v>505</v>
      </c>
      <c r="K357" t="s">
        <v>2302</v>
      </c>
      <c r="L357" t="s">
        <v>157</v>
      </c>
      <c r="P35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58" spans="1:16">
      <c r="A358" t="s">
        <v>2299</v>
      </c>
      <c r="B358" s="6" t="s">
        <v>2715</v>
      </c>
      <c r="C358" t="s">
        <v>2319</v>
      </c>
      <c r="D358" t="s">
        <v>305</v>
      </c>
      <c r="E358">
        <v>1</v>
      </c>
      <c r="F358" s="6" t="s">
        <v>1931</v>
      </c>
      <c r="I358" s="6" t="s">
        <v>1968</v>
      </c>
      <c r="J358" s="6" t="s">
        <v>1331</v>
      </c>
      <c r="K358" t="s">
        <v>2302</v>
      </c>
      <c r="L358" t="s">
        <v>157</v>
      </c>
      <c r="P35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59" spans="1:16">
      <c r="A359" t="s">
        <v>2299</v>
      </c>
      <c r="B359" s="6" t="s">
        <v>2716</v>
      </c>
      <c r="C359" t="s">
        <v>2319</v>
      </c>
      <c r="D359" t="s">
        <v>43</v>
      </c>
      <c r="E359">
        <v>1</v>
      </c>
      <c r="F359" s="6" t="s">
        <v>1931</v>
      </c>
      <c r="I359" s="6" t="s">
        <v>1975</v>
      </c>
      <c r="J359" s="6" t="s">
        <v>619</v>
      </c>
      <c r="K359" t="s">
        <v>2302</v>
      </c>
      <c r="L359" t="s">
        <v>157</v>
      </c>
      <c r="P35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60" spans="1:16">
      <c r="A360" t="s">
        <v>2299</v>
      </c>
      <c r="B360" s="6" t="s">
        <v>2717</v>
      </c>
      <c r="C360" t="s">
        <v>2319</v>
      </c>
      <c r="D360" t="s">
        <v>1977</v>
      </c>
      <c r="E360">
        <v>1</v>
      </c>
      <c r="F360" s="6" t="s">
        <v>1931</v>
      </c>
      <c r="I360" s="6" t="s">
        <v>1976</v>
      </c>
      <c r="J360" s="6" t="s">
        <v>306</v>
      </c>
      <c r="K360" t="s">
        <v>2302</v>
      </c>
      <c r="L360" t="s">
        <v>157</v>
      </c>
      <c r="P36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61" spans="1:16">
      <c r="A361" t="s">
        <v>2299</v>
      </c>
      <c r="B361" s="6" t="s">
        <v>2718</v>
      </c>
      <c r="C361" t="s">
        <v>2319</v>
      </c>
      <c r="D361" t="s">
        <v>44</v>
      </c>
      <c r="E361">
        <v>1</v>
      </c>
      <c r="F361" s="6" t="s">
        <v>1931</v>
      </c>
      <c r="I361" s="6" t="s">
        <v>1978</v>
      </c>
      <c r="J361" s="6" t="s">
        <v>321</v>
      </c>
      <c r="K361" t="s">
        <v>2302</v>
      </c>
      <c r="L361" t="s">
        <v>157</v>
      </c>
      <c r="P36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62" spans="1:16">
      <c r="A362" t="s">
        <v>2299</v>
      </c>
      <c r="B362" s="6" t="s">
        <v>2719</v>
      </c>
      <c r="C362" t="s">
        <v>2319</v>
      </c>
      <c r="D362" t="s">
        <v>43</v>
      </c>
      <c r="E362">
        <v>1</v>
      </c>
      <c r="F362" s="6" t="s">
        <v>1931</v>
      </c>
      <c r="I362" s="6" t="s">
        <v>1980</v>
      </c>
      <c r="J362" s="6" t="s">
        <v>207</v>
      </c>
      <c r="K362" t="s">
        <v>2302</v>
      </c>
      <c r="L362" t="s">
        <v>157</v>
      </c>
      <c r="P36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63" spans="1:16">
      <c r="A363" t="s">
        <v>2299</v>
      </c>
      <c r="B363" s="6" t="s">
        <v>2720</v>
      </c>
      <c r="C363" t="s">
        <v>2319</v>
      </c>
      <c r="D363" t="s">
        <v>1935</v>
      </c>
      <c r="E363">
        <v>1</v>
      </c>
      <c r="F363" s="6" t="s">
        <v>1931</v>
      </c>
      <c r="I363" s="6" t="s">
        <v>1981</v>
      </c>
      <c r="J363" s="6" t="s">
        <v>607</v>
      </c>
      <c r="K363" t="s">
        <v>2302</v>
      </c>
      <c r="L363" t="s">
        <v>157</v>
      </c>
      <c r="P36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64" spans="1:16">
      <c r="A364" t="s">
        <v>2299</v>
      </c>
      <c r="B364" s="6" t="s">
        <v>2721</v>
      </c>
      <c r="C364" t="s">
        <v>2319</v>
      </c>
      <c r="D364" t="s">
        <v>43</v>
      </c>
      <c r="E364">
        <v>1</v>
      </c>
      <c r="F364" s="6" t="s">
        <v>1931</v>
      </c>
      <c r="I364" s="6" t="s">
        <v>1987</v>
      </c>
      <c r="J364" s="6" t="s">
        <v>599</v>
      </c>
      <c r="K364" t="s">
        <v>2302</v>
      </c>
      <c r="L364" t="s">
        <v>157</v>
      </c>
      <c r="P36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65" spans="1:16">
      <c r="A365" t="s">
        <v>2299</v>
      </c>
      <c r="B365" s="6" t="s">
        <v>2722</v>
      </c>
      <c r="C365" t="s">
        <v>2319</v>
      </c>
      <c r="D365" t="s">
        <v>44</v>
      </c>
      <c r="E365">
        <v>1</v>
      </c>
      <c r="F365" s="6" t="s">
        <v>1931</v>
      </c>
      <c r="I365" s="6" t="s">
        <v>1988</v>
      </c>
      <c r="J365" s="6" t="s">
        <v>241</v>
      </c>
      <c r="K365" t="s">
        <v>2302</v>
      </c>
      <c r="L365" t="s">
        <v>157</v>
      </c>
      <c r="P36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66" spans="1:16">
      <c r="A366" t="s">
        <v>2299</v>
      </c>
      <c r="B366" s="6" t="s">
        <v>2723</v>
      </c>
      <c r="C366" t="s">
        <v>2319</v>
      </c>
      <c r="D366" t="s">
        <v>43</v>
      </c>
      <c r="E366">
        <v>1</v>
      </c>
      <c r="F366" s="6" t="s">
        <v>1931</v>
      </c>
      <c r="I366" s="6" t="s">
        <v>1990</v>
      </c>
      <c r="J366" s="6" t="s">
        <v>692</v>
      </c>
      <c r="K366" t="s">
        <v>2302</v>
      </c>
      <c r="L366" t="s">
        <v>157</v>
      </c>
      <c r="P36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67" spans="1:16">
      <c r="A367" t="s">
        <v>2299</v>
      </c>
      <c r="B367" s="6" t="s">
        <v>2724</v>
      </c>
      <c r="C367" t="s">
        <v>2319</v>
      </c>
      <c r="D367" t="s">
        <v>43</v>
      </c>
      <c r="E367">
        <v>1</v>
      </c>
      <c r="F367" s="6" t="s">
        <v>1931</v>
      </c>
      <c r="I367" s="6" t="s">
        <v>1991</v>
      </c>
      <c r="J367" s="6" t="s">
        <v>542</v>
      </c>
      <c r="K367" t="s">
        <v>2302</v>
      </c>
      <c r="L367" t="s">
        <v>157</v>
      </c>
      <c r="P36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68" spans="1:16">
      <c r="A368" t="s">
        <v>2299</v>
      </c>
      <c r="B368" s="6" t="s">
        <v>2725</v>
      </c>
      <c r="C368" t="s">
        <v>2319</v>
      </c>
      <c r="D368" t="s">
        <v>43</v>
      </c>
      <c r="E368">
        <v>1</v>
      </c>
      <c r="F368" s="6" t="s">
        <v>1931</v>
      </c>
      <c r="I368" s="6" t="s">
        <v>1994</v>
      </c>
      <c r="J368" s="6" t="s">
        <v>367</v>
      </c>
      <c r="K368" t="s">
        <v>2302</v>
      </c>
      <c r="L368" t="s">
        <v>157</v>
      </c>
      <c r="P36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69" spans="1:16">
      <c r="A369" t="s">
        <v>2299</v>
      </c>
      <c r="B369" s="6" t="s">
        <v>2726</v>
      </c>
      <c r="C369" t="s">
        <v>2319</v>
      </c>
      <c r="D369" t="s">
        <v>1936</v>
      </c>
      <c r="E369">
        <v>1</v>
      </c>
      <c r="F369" s="6" t="s">
        <v>1931</v>
      </c>
      <c r="I369" s="6" t="s">
        <v>1995</v>
      </c>
      <c r="J369" s="6" t="s">
        <v>709</v>
      </c>
      <c r="K369" t="s">
        <v>2302</v>
      </c>
      <c r="L369" t="s">
        <v>157</v>
      </c>
      <c r="P36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70" spans="1:16">
      <c r="A370" t="s">
        <v>2299</v>
      </c>
      <c r="B370" s="6" t="s">
        <v>2727</v>
      </c>
      <c r="C370" t="s">
        <v>2319</v>
      </c>
      <c r="D370" t="s">
        <v>44</v>
      </c>
      <c r="E370">
        <v>1</v>
      </c>
      <c r="F370" s="6" t="s">
        <v>1931</v>
      </c>
      <c r="I370" s="6" t="s">
        <v>1996</v>
      </c>
      <c r="J370" s="6" t="s">
        <v>277</v>
      </c>
      <c r="K370" t="s">
        <v>2302</v>
      </c>
      <c r="L370" t="s">
        <v>157</v>
      </c>
      <c r="P37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71" spans="1:16">
      <c r="A371" t="s">
        <v>2299</v>
      </c>
      <c r="B371" s="6" t="s">
        <v>2728</v>
      </c>
      <c r="C371" t="s">
        <v>2319</v>
      </c>
      <c r="D371" t="s">
        <v>44</v>
      </c>
      <c r="E371">
        <v>1</v>
      </c>
      <c r="F371" s="6" t="s">
        <v>1931</v>
      </c>
      <c r="I371" s="6" t="s">
        <v>1998</v>
      </c>
      <c r="J371" s="6" t="s">
        <v>553</v>
      </c>
      <c r="K371" t="s">
        <v>2302</v>
      </c>
      <c r="L371" t="s">
        <v>157</v>
      </c>
      <c r="P37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72" spans="1:16">
      <c r="A372" t="s">
        <v>2299</v>
      </c>
      <c r="B372" s="6" t="s">
        <v>2729</v>
      </c>
      <c r="C372" t="s">
        <v>2319</v>
      </c>
      <c r="D372" t="s">
        <v>44</v>
      </c>
      <c r="E372">
        <v>1</v>
      </c>
      <c r="F372" s="6" t="s">
        <v>1931</v>
      </c>
      <c r="I372" s="6" t="s">
        <v>1999</v>
      </c>
      <c r="J372" s="6" t="s">
        <v>440</v>
      </c>
      <c r="K372" t="s">
        <v>2302</v>
      </c>
      <c r="L372" t="s">
        <v>157</v>
      </c>
      <c r="P37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73" spans="1:16">
      <c r="A373" t="s">
        <v>2299</v>
      </c>
      <c r="B373" s="6" t="s">
        <v>2730</v>
      </c>
      <c r="C373" t="s">
        <v>2319</v>
      </c>
      <c r="D373" t="s">
        <v>44</v>
      </c>
      <c r="E373">
        <v>1</v>
      </c>
      <c r="F373" s="6" t="s">
        <v>1931</v>
      </c>
      <c r="I373" s="6" t="s">
        <v>2001</v>
      </c>
      <c r="J373" s="6" t="s">
        <v>514</v>
      </c>
      <c r="K373" t="s">
        <v>2302</v>
      </c>
      <c r="L373" t="s">
        <v>157</v>
      </c>
      <c r="P37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74" spans="1:16">
      <c r="A374" t="s">
        <v>2299</v>
      </c>
      <c r="B374" s="6" t="s">
        <v>2731</v>
      </c>
      <c r="C374" t="s">
        <v>2319</v>
      </c>
      <c r="D374" t="s">
        <v>1935</v>
      </c>
      <c r="E374">
        <v>1</v>
      </c>
      <c r="F374" s="6" t="s">
        <v>1931</v>
      </c>
      <c r="I374" s="6" t="s">
        <v>2003</v>
      </c>
      <c r="J374" s="6" t="s">
        <v>1284</v>
      </c>
      <c r="K374" t="s">
        <v>2302</v>
      </c>
      <c r="L374" t="s">
        <v>157</v>
      </c>
      <c r="P37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75" spans="1:16">
      <c r="A375" t="s">
        <v>2299</v>
      </c>
      <c r="B375" s="6" t="s">
        <v>2732</v>
      </c>
      <c r="C375" t="s">
        <v>2319</v>
      </c>
      <c r="D375" t="s">
        <v>44</v>
      </c>
      <c r="E375">
        <v>1</v>
      </c>
      <c r="F375" s="6" t="s">
        <v>1931</v>
      </c>
      <c r="I375" s="6" t="s">
        <v>2006</v>
      </c>
      <c r="J375" s="6" t="s">
        <v>256</v>
      </c>
      <c r="K375" t="s">
        <v>2302</v>
      </c>
      <c r="L375" t="s">
        <v>157</v>
      </c>
      <c r="P37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76" spans="1:16">
      <c r="A376" t="s">
        <v>2299</v>
      </c>
      <c r="B376" s="6" t="s">
        <v>2733</v>
      </c>
      <c r="C376" t="s">
        <v>2319</v>
      </c>
      <c r="D376" t="s">
        <v>44</v>
      </c>
      <c r="E376">
        <v>1</v>
      </c>
      <c r="F376" s="6" t="s">
        <v>1931</v>
      </c>
      <c r="I376" s="6" t="s">
        <v>2010</v>
      </c>
      <c r="J376" s="6" t="s">
        <v>156</v>
      </c>
      <c r="K376" t="s">
        <v>2302</v>
      </c>
      <c r="L376" t="s">
        <v>157</v>
      </c>
      <c r="P37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77" spans="1:16">
      <c r="A377" t="s">
        <v>2299</v>
      </c>
      <c r="B377" s="6" t="s">
        <v>2734</v>
      </c>
      <c r="C377" t="s">
        <v>2319</v>
      </c>
      <c r="D377" t="s">
        <v>44</v>
      </c>
      <c r="E377">
        <v>1</v>
      </c>
      <c r="F377" s="6" t="s">
        <v>1931</v>
      </c>
      <c r="I377" s="6" t="s">
        <v>2011</v>
      </c>
      <c r="J377" s="6" t="s">
        <v>681</v>
      </c>
      <c r="K377" t="s">
        <v>2302</v>
      </c>
      <c r="L377" t="s">
        <v>157</v>
      </c>
      <c r="P37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78" spans="1:16">
      <c r="A378" t="s">
        <v>2299</v>
      </c>
      <c r="B378" s="6" t="s">
        <v>2735</v>
      </c>
      <c r="C378" t="s">
        <v>2319</v>
      </c>
      <c r="D378" t="s">
        <v>47</v>
      </c>
      <c r="E378">
        <v>1</v>
      </c>
      <c r="F378" s="6" t="s">
        <v>1931</v>
      </c>
      <c r="I378" s="6" t="s">
        <v>2012</v>
      </c>
      <c r="J378" s="6" t="s">
        <v>505</v>
      </c>
      <c r="K378" t="s">
        <v>2302</v>
      </c>
      <c r="L378" t="s">
        <v>157</v>
      </c>
      <c r="P37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79" spans="1:16">
      <c r="A379" t="s">
        <v>2299</v>
      </c>
      <c r="B379" s="6" t="s">
        <v>2736</v>
      </c>
      <c r="C379" t="s">
        <v>2319</v>
      </c>
      <c r="D379" t="s">
        <v>305</v>
      </c>
      <c r="E379">
        <v>1</v>
      </c>
      <c r="F379" s="6" t="s">
        <v>1931</v>
      </c>
      <c r="I379" s="6" t="s">
        <v>2019</v>
      </c>
      <c r="J379" s="6" t="s">
        <v>1331</v>
      </c>
      <c r="K379" t="s">
        <v>2302</v>
      </c>
      <c r="L379" t="s">
        <v>157</v>
      </c>
      <c r="P37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80" spans="1:16">
      <c r="A380" t="s">
        <v>2299</v>
      </c>
      <c r="B380" s="6" t="s">
        <v>2737</v>
      </c>
      <c r="C380" t="s">
        <v>2319</v>
      </c>
      <c r="D380" t="s">
        <v>43</v>
      </c>
      <c r="E380">
        <v>1</v>
      </c>
      <c r="F380" s="6" t="s">
        <v>1931</v>
      </c>
      <c r="I380" s="6" t="s">
        <v>2023</v>
      </c>
      <c r="J380" s="6" t="s">
        <v>619</v>
      </c>
      <c r="K380" t="s">
        <v>2302</v>
      </c>
      <c r="L380" t="s">
        <v>157</v>
      </c>
      <c r="P38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81" spans="1:16">
      <c r="A381" t="s">
        <v>2299</v>
      </c>
      <c r="B381" s="6" t="s">
        <v>2738</v>
      </c>
      <c r="C381" t="s">
        <v>2319</v>
      </c>
      <c r="D381" t="s">
        <v>1977</v>
      </c>
      <c r="E381">
        <v>1</v>
      </c>
      <c r="F381" s="6" t="s">
        <v>1931</v>
      </c>
      <c r="I381" s="6" t="s">
        <v>2024</v>
      </c>
      <c r="J381" s="6" t="s">
        <v>306</v>
      </c>
      <c r="K381" t="s">
        <v>2302</v>
      </c>
      <c r="L381" t="s">
        <v>157</v>
      </c>
      <c r="P38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82" spans="1:16">
      <c r="A382" t="s">
        <v>2299</v>
      </c>
      <c r="B382" s="6" t="s">
        <v>2739</v>
      </c>
      <c r="C382" t="s">
        <v>2319</v>
      </c>
      <c r="D382" t="s">
        <v>44</v>
      </c>
      <c r="E382">
        <v>1</v>
      </c>
      <c r="F382" s="6" t="s">
        <v>1931</v>
      </c>
      <c r="I382" s="6" t="s">
        <v>2025</v>
      </c>
      <c r="J382" s="6" t="s">
        <v>321</v>
      </c>
      <c r="K382" t="s">
        <v>2302</v>
      </c>
      <c r="L382" t="s">
        <v>157</v>
      </c>
      <c r="P38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83" spans="1:16">
      <c r="A383" t="s">
        <v>2299</v>
      </c>
      <c r="B383" s="6" t="s">
        <v>2740</v>
      </c>
      <c r="C383" t="s">
        <v>2319</v>
      </c>
      <c r="D383" t="s">
        <v>43</v>
      </c>
      <c r="E383">
        <v>1</v>
      </c>
      <c r="F383" s="6" t="s">
        <v>1931</v>
      </c>
      <c r="I383" s="6" t="s">
        <v>2026</v>
      </c>
      <c r="J383" s="6" t="s">
        <v>207</v>
      </c>
      <c r="K383" t="s">
        <v>2302</v>
      </c>
      <c r="L383" t="s">
        <v>157</v>
      </c>
      <c r="P38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84" spans="1:16">
      <c r="A384" t="s">
        <v>2299</v>
      </c>
      <c r="B384" s="6" t="s">
        <v>2741</v>
      </c>
      <c r="C384" t="s">
        <v>2319</v>
      </c>
      <c r="D384" t="s">
        <v>1935</v>
      </c>
      <c r="E384">
        <v>1</v>
      </c>
      <c r="F384" s="6" t="s">
        <v>1931</v>
      </c>
      <c r="I384" s="6" t="s">
        <v>2027</v>
      </c>
      <c r="J384" s="6" t="s">
        <v>607</v>
      </c>
      <c r="K384" t="s">
        <v>2302</v>
      </c>
      <c r="L384" t="s">
        <v>157</v>
      </c>
      <c r="P38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85" spans="1:16">
      <c r="A385" t="s">
        <v>2299</v>
      </c>
      <c r="B385" s="6" t="s">
        <v>2742</v>
      </c>
      <c r="C385" t="s">
        <v>2319</v>
      </c>
      <c r="D385" t="s">
        <v>43</v>
      </c>
      <c r="E385">
        <v>1</v>
      </c>
      <c r="F385" s="6" t="s">
        <v>1931</v>
      </c>
      <c r="I385" s="6" t="s">
        <v>2031</v>
      </c>
      <c r="J385" s="6" t="s">
        <v>599</v>
      </c>
      <c r="K385" t="s">
        <v>2302</v>
      </c>
      <c r="L385" t="s">
        <v>157</v>
      </c>
      <c r="P38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86" spans="1:16">
      <c r="A386" t="s">
        <v>2299</v>
      </c>
      <c r="B386" s="6" t="s">
        <v>2743</v>
      </c>
      <c r="C386" t="s">
        <v>2319</v>
      </c>
      <c r="D386" t="s">
        <v>44</v>
      </c>
      <c r="E386">
        <v>1</v>
      </c>
      <c r="F386" s="6" t="s">
        <v>1931</v>
      </c>
      <c r="I386" s="6" t="s">
        <v>2032</v>
      </c>
      <c r="J386" s="6" t="s">
        <v>241</v>
      </c>
      <c r="K386" t="s">
        <v>2302</v>
      </c>
      <c r="L386" t="s">
        <v>157</v>
      </c>
      <c r="P38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87" spans="1:16">
      <c r="A387" t="s">
        <v>2299</v>
      </c>
      <c r="B387" s="6" t="s">
        <v>2744</v>
      </c>
      <c r="C387" t="s">
        <v>2319</v>
      </c>
      <c r="D387" t="s">
        <v>43</v>
      </c>
      <c r="E387">
        <v>1</v>
      </c>
      <c r="F387" s="6" t="s">
        <v>1931</v>
      </c>
      <c r="I387" s="6" t="s">
        <v>2033</v>
      </c>
      <c r="J387" s="6" t="s">
        <v>692</v>
      </c>
      <c r="K387" t="s">
        <v>2302</v>
      </c>
      <c r="L387" t="s">
        <v>157</v>
      </c>
      <c r="P38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88" spans="1:16">
      <c r="A388" t="s">
        <v>2299</v>
      </c>
      <c r="B388" s="6" t="s">
        <v>2745</v>
      </c>
      <c r="C388" t="s">
        <v>2319</v>
      </c>
      <c r="D388" t="s">
        <v>43</v>
      </c>
      <c r="E388">
        <v>1</v>
      </c>
      <c r="F388" s="6" t="s">
        <v>1931</v>
      </c>
      <c r="I388" s="6" t="s">
        <v>2035</v>
      </c>
      <c r="J388" s="6" t="s">
        <v>542</v>
      </c>
      <c r="K388" t="s">
        <v>2302</v>
      </c>
      <c r="L388" t="s">
        <v>157</v>
      </c>
      <c r="P38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89" spans="1:16">
      <c r="A389" t="s">
        <v>2299</v>
      </c>
      <c r="B389" s="6" t="s">
        <v>2746</v>
      </c>
      <c r="C389" t="s">
        <v>2319</v>
      </c>
      <c r="D389" t="s">
        <v>43</v>
      </c>
      <c r="E389">
        <v>1</v>
      </c>
      <c r="F389" s="6" t="s">
        <v>2038</v>
      </c>
      <c r="G389" t="s">
        <v>2040</v>
      </c>
      <c r="I389" s="6" t="s">
        <v>2037</v>
      </c>
      <c r="J389" s="6" t="s">
        <v>2050</v>
      </c>
      <c r="K389" t="s">
        <v>2302</v>
      </c>
      <c r="L389" t="s">
        <v>157</v>
      </c>
      <c r="P38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90" spans="1:16">
      <c r="A390" t="s">
        <v>2299</v>
      </c>
      <c r="B390" s="6" t="s">
        <v>2747</v>
      </c>
      <c r="C390" t="s">
        <v>2319</v>
      </c>
      <c r="D390" t="s">
        <v>48</v>
      </c>
      <c r="E390">
        <v>1</v>
      </c>
      <c r="F390" s="6" t="s">
        <v>2038</v>
      </c>
      <c r="G390" t="s">
        <v>2040</v>
      </c>
      <c r="I390" s="6" t="s">
        <v>2051</v>
      </c>
      <c r="J390" s="6" t="s">
        <v>2056</v>
      </c>
      <c r="K390" t="s">
        <v>2302</v>
      </c>
      <c r="L390" t="s">
        <v>157</v>
      </c>
      <c r="P39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91" spans="1:16">
      <c r="A391" t="s">
        <v>2299</v>
      </c>
      <c r="B391" s="6" t="s">
        <v>2748</v>
      </c>
      <c r="C391" t="s">
        <v>2319</v>
      </c>
      <c r="D391" t="s">
        <v>43</v>
      </c>
      <c r="E391">
        <v>1</v>
      </c>
      <c r="F391" s="6" t="s">
        <v>2038</v>
      </c>
      <c r="G391" t="s">
        <v>2040</v>
      </c>
      <c r="I391" s="6" t="s">
        <v>2057</v>
      </c>
      <c r="J391" s="6" t="s">
        <v>2062</v>
      </c>
      <c r="K391" t="s">
        <v>2302</v>
      </c>
      <c r="L391" t="s">
        <v>157</v>
      </c>
      <c r="P39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92" spans="1:16">
      <c r="A392" t="s">
        <v>2299</v>
      </c>
      <c r="B392" s="6" t="s">
        <v>2749</v>
      </c>
      <c r="C392" t="s">
        <v>2319</v>
      </c>
      <c r="D392" t="s">
        <v>48</v>
      </c>
      <c r="E392">
        <v>1</v>
      </c>
      <c r="F392" s="6" t="s">
        <v>2038</v>
      </c>
      <c r="G392" t="s">
        <v>2040</v>
      </c>
      <c r="I392" s="6" t="s">
        <v>2063</v>
      </c>
      <c r="J392" s="6" t="s">
        <v>2066</v>
      </c>
      <c r="K392" t="s">
        <v>2302</v>
      </c>
      <c r="L392" t="s">
        <v>157</v>
      </c>
      <c r="P39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93" spans="1:16">
      <c r="A393" t="s">
        <v>2299</v>
      </c>
      <c r="B393" s="6" t="s">
        <v>2750</v>
      </c>
      <c r="C393" t="s">
        <v>2319</v>
      </c>
      <c r="D393" t="s">
        <v>44</v>
      </c>
      <c r="E393">
        <v>1</v>
      </c>
      <c r="F393" s="6" t="s">
        <v>2038</v>
      </c>
      <c r="G393" t="s">
        <v>2040</v>
      </c>
      <c r="I393" s="6" t="s">
        <v>2067</v>
      </c>
      <c r="J393" s="6" t="s">
        <v>1632</v>
      </c>
      <c r="K393" t="s">
        <v>2302</v>
      </c>
      <c r="L393" t="s">
        <v>157</v>
      </c>
      <c r="P39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94" spans="1:16">
      <c r="A394" t="s">
        <v>2299</v>
      </c>
      <c r="B394" s="6" t="s">
        <v>2751</v>
      </c>
      <c r="C394" t="s">
        <v>2319</v>
      </c>
      <c r="D394" t="s">
        <v>320</v>
      </c>
      <c r="E394">
        <v>1</v>
      </c>
      <c r="F394" s="6" t="s">
        <v>2038</v>
      </c>
      <c r="G394" t="s">
        <v>2040</v>
      </c>
      <c r="I394" s="6" t="s">
        <v>2071</v>
      </c>
      <c r="J394" s="6" t="s">
        <v>2073</v>
      </c>
      <c r="K394" t="s">
        <v>2302</v>
      </c>
      <c r="L394" t="s">
        <v>157</v>
      </c>
      <c r="P39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95" spans="1:16">
      <c r="A395" t="s">
        <v>2299</v>
      </c>
      <c r="B395" s="6" t="s">
        <v>2752</v>
      </c>
      <c r="C395" t="s">
        <v>2319</v>
      </c>
      <c r="D395" t="s">
        <v>43</v>
      </c>
      <c r="E395">
        <v>1</v>
      </c>
      <c r="F395" s="6" t="s">
        <v>2038</v>
      </c>
      <c r="G395" t="s">
        <v>2040</v>
      </c>
      <c r="I395" s="6" t="s">
        <v>2074</v>
      </c>
      <c r="J395" s="6" t="s">
        <v>2080</v>
      </c>
      <c r="K395" t="s">
        <v>2302</v>
      </c>
      <c r="L395" t="s">
        <v>157</v>
      </c>
      <c r="P39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96" spans="1:16">
      <c r="A396" t="s">
        <v>2299</v>
      </c>
      <c r="B396" s="6" t="s">
        <v>2753</v>
      </c>
      <c r="C396" t="s">
        <v>2319</v>
      </c>
      <c r="D396" t="s">
        <v>320</v>
      </c>
      <c r="E396">
        <v>1</v>
      </c>
      <c r="F396" s="6" t="s">
        <v>2038</v>
      </c>
      <c r="G396" t="s">
        <v>2040</v>
      </c>
      <c r="I396" s="6" t="s">
        <v>2081</v>
      </c>
      <c r="J396" s="6" t="s">
        <v>2083</v>
      </c>
      <c r="K396" t="s">
        <v>2302</v>
      </c>
      <c r="L396" t="s">
        <v>157</v>
      </c>
      <c r="P39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97" spans="1:16">
      <c r="A397" t="s">
        <v>2299</v>
      </c>
      <c r="B397" s="6" t="s">
        <v>2754</v>
      </c>
      <c r="C397" t="s">
        <v>2319</v>
      </c>
      <c r="D397" t="s">
        <v>48</v>
      </c>
      <c r="E397">
        <v>1</v>
      </c>
      <c r="F397" s="6" t="s">
        <v>2038</v>
      </c>
      <c r="G397" t="s">
        <v>2040</v>
      </c>
      <c r="I397" s="6" t="s">
        <v>2089</v>
      </c>
      <c r="J397" s="6" t="s">
        <v>2091</v>
      </c>
      <c r="K397" t="s">
        <v>2302</v>
      </c>
      <c r="L397" t="s">
        <v>157</v>
      </c>
      <c r="P39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98" spans="1:16">
      <c r="A398" t="s">
        <v>2299</v>
      </c>
      <c r="B398" s="6" t="s">
        <v>2755</v>
      </c>
      <c r="C398" t="s">
        <v>2319</v>
      </c>
      <c r="D398" t="s">
        <v>320</v>
      </c>
      <c r="E398">
        <v>1</v>
      </c>
      <c r="F398" s="6" t="s">
        <v>2038</v>
      </c>
      <c r="G398" t="s">
        <v>2040</v>
      </c>
      <c r="I398" s="6" t="s">
        <v>2094</v>
      </c>
      <c r="J398" s="6" t="s">
        <v>2095</v>
      </c>
      <c r="K398" t="s">
        <v>2302</v>
      </c>
      <c r="L398" t="s">
        <v>157</v>
      </c>
      <c r="P39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399" spans="1:16">
      <c r="A399" t="s">
        <v>2299</v>
      </c>
      <c r="B399" s="6" t="s">
        <v>2756</v>
      </c>
      <c r="C399" t="s">
        <v>2319</v>
      </c>
      <c r="D399" t="s">
        <v>305</v>
      </c>
      <c r="E399">
        <v>1</v>
      </c>
      <c r="F399" s="6" t="s">
        <v>2038</v>
      </c>
      <c r="G399" t="s">
        <v>2040</v>
      </c>
      <c r="I399" s="6" t="s">
        <v>2096</v>
      </c>
      <c r="J399" s="6" t="s">
        <v>1626</v>
      </c>
      <c r="K399" t="s">
        <v>2302</v>
      </c>
      <c r="L399" t="s">
        <v>157</v>
      </c>
      <c r="P39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00" spans="1:16">
      <c r="A400" t="s">
        <v>2299</v>
      </c>
      <c r="B400" s="6" t="s">
        <v>2757</v>
      </c>
      <c r="C400" t="s">
        <v>2319</v>
      </c>
      <c r="D400" t="s">
        <v>2758</v>
      </c>
      <c r="E400">
        <v>1</v>
      </c>
      <c r="F400" s="6" t="s">
        <v>2038</v>
      </c>
      <c r="G400" t="s">
        <v>2040</v>
      </c>
      <c r="I400" s="6" t="s">
        <v>2099</v>
      </c>
      <c r="J400" s="6" t="s">
        <v>2101</v>
      </c>
      <c r="K400" t="s">
        <v>2302</v>
      </c>
      <c r="L400" t="s">
        <v>157</v>
      </c>
      <c r="P40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01" spans="1:16">
      <c r="A401" t="s">
        <v>2299</v>
      </c>
      <c r="B401" s="6" t="s">
        <v>2759</v>
      </c>
      <c r="C401" t="s">
        <v>2319</v>
      </c>
      <c r="D401" t="s">
        <v>43</v>
      </c>
      <c r="E401">
        <v>1</v>
      </c>
      <c r="F401" s="6" t="s">
        <v>2038</v>
      </c>
      <c r="G401" t="s">
        <v>2040</v>
      </c>
      <c r="I401" s="6" t="s">
        <v>2102</v>
      </c>
      <c r="J401" s="6" t="s">
        <v>2108</v>
      </c>
      <c r="K401" t="s">
        <v>2302</v>
      </c>
      <c r="L401" t="s">
        <v>157</v>
      </c>
      <c r="P40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02" spans="1:16">
      <c r="A402" t="s">
        <v>2299</v>
      </c>
      <c r="B402" s="6" t="s">
        <v>2760</v>
      </c>
      <c r="C402" t="s">
        <v>2319</v>
      </c>
      <c r="D402" t="s">
        <v>48</v>
      </c>
      <c r="E402">
        <v>1</v>
      </c>
      <c r="F402" s="6" t="s">
        <v>2038</v>
      </c>
      <c r="G402" t="s">
        <v>2040</v>
      </c>
      <c r="I402" s="6" t="s">
        <v>2109</v>
      </c>
      <c r="J402" s="6" t="s">
        <v>2111</v>
      </c>
      <c r="K402" t="s">
        <v>2302</v>
      </c>
      <c r="L402" t="s">
        <v>157</v>
      </c>
      <c r="P40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03" spans="1:16">
      <c r="A403" t="s">
        <v>2299</v>
      </c>
      <c r="B403" s="6" t="s">
        <v>2761</v>
      </c>
      <c r="C403" t="s">
        <v>2319</v>
      </c>
      <c r="D403" t="s">
        <v>43</v>
      </c>
      <c r="E403">
        <v>1</v>
      </c>
      <c r="F403" s="6" t="s">
        <v>2038</v>
      </c>
      <c r="G403" t="s">
        <v>2040</v>
      </c>
      <c r="I403" s="6" t="s">
        <v>2112</v>
      </c>
      <c r="J403" s="6" t="s">
        <v>2117</v>
      </c>
      <c r="K403" t="s">
        <v>2302</v>
      </c>
      <c r="L403" t="s">
        <v>157</v>
      </c>
      <c r="P40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04" spans="1:16">
      <c r="A404" t="s">
        <v>2299</v>
      </c>
      <c r="B404" s="6" t="s">
        <v>2762</v>
      </c>
      <c r="C404" t="s">
        <v>2319</v>
      </c>
      <c r="D404" t="s">
        <v>320</v>
      </c>
      <c r="E404">
        <v>1</v>
      </c>
      <c r="F404" s="6" t="s">
        <v>2038</v>
      </c>
      <c r="G404" t="s">
        <v>2040</v>
      </c>
      <c r="I404" s="6" t="s">
        <v>2118</v>
      </c>
      <c r="J404" s="6" t="s">
        <v>2121</v>
      </c>
      <c r="K404" t="s">
        <v>2302</v>
      </c>
      <c r="L404" t="s">
        <v>157</v>
      </c>
      <c r="P40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05" spans="1:16">
      <c r="A405" t="s">
        <v>2299</v>
      </c>
      <c r="B405" s="6" t="s">
        <v>2763</v>
      </c>
      <c r="C405" t="s">
        <v>2319</v>
      </c>
      <c r="D405" t="s">
        <v>320</v>
      </c>
      <c r="E405">
        <v>1</v>
      </c>
      <c r="F405" s="6" t="s">
        <v>2038</v>
      </c>
      <c r="G405" t="s">
        <v>2040</v>
      </c>
      <c r="I405" s="6" t="s">
        <v>2127</v>
      </c>
      <c r="J405" s="6" t="s">
        <v>2129</v>
      </c>
      <c r="K405" t="s">
        <v>2302</v>
      </c>
      <c r="L405" t="s">
        <v>157</v>
      </c>
      <c r="P40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06" spans="1:16">
      <c r="A406" t="s">
        <v>2299</v>
      </c>
      <c r="B406" s="6" t="s">
        <v>2764</v>
      </c>
      <c r="C406" t="s">
        <v>2319</v>
      </c>
      <c r="D406" t="s">
        <v>48</v>
      </c>
      <c r="E406">
        <v>1</v>
      </c>
      <c r="F406" s="6" t="s">
        <v>2038</v>
      </c>
      <c r="G406" t="s">
        <v>2040</v>
      </c>
      <c r="I406" s="6" t="s">
        <v>2135</v>
      </c>
      <c r="J406" s="6" t="s">
        <v>2137</v>
      </c>
      <c r="K406" t="s">
        <v>2302</v>
      </c>
      <c r="L406" t="s">
        <v>157</v>
      </c>
      <c r="P40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07" spans="1:16">
      <c r="A407" t="s">
        <v>2299</v>
      </c>
      <c r="B407" s="6" t="s">
        <v>2765</v>
      </c>
      <c r="C407" t="s">
        <v>2319</v>
      </c>
      <c r="D407" t="s">
        <v>43</v>
      </c>
      <c r="E407">
        <v>1</v>
      </c>
      <c r="F407" s="6" t="s">
        <v>2038</v>
      </c>
      <c r="G407" t="s">
        <v>2040</v>
      </c>
      <c r="I407" s="6" t="s">
        <v>2138</v>
      </c>
      <c r="J407" s="6" t="s">
        <v>2145</v>
      </c>
      <c r="K407" t="s">
        <v>2302</v>
      </c>
      <c r="L407" t="s">
        <v>157</v>
      </c>
      <c r="P40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08" spans="1:16">
      <c r="A408" t="s">
        <v>2299</v>
      </c>
      <c r="B408" s="6" t="s">
        <v>2766</v>
      </c>
      <c r="C408" t="s">
        <v>2319</v>
      </c>
      <c r="D408" t="s">
        <v>48</v>
      </c>
      <c r="E408">
        <v>1</v>
      </c>
      <c r="F408" s="6" t="s">
        <v>2038</v>
      </c>
      <c r="G408" t="s">
        <v>2040</v>
      </c>
      <c r="I408" s="6" t="s">
        <v>2146</v>
      </c>
      <c r="J408" s="6" t="s">
        <v>2148</v>
      </c>
      <c r="K408" t="s">
        <v>2302</v>
      </c>
      <c r="L408" t="s">
        <v>157</v>
      </c>
      <c r="P40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09" spans="1:16">
      <c r="A409" t="s">
        <v>2299</v>
      </c>
      <c r="B409" s="6" t="s">
        <v>2767</v>
      </c>
      <c r="C409" t="s">
        <v>2319</v>
      </c>
      <c r="D409" t="s">
        <v>47</v>
      </c>
      <c r="E409">
        <v>1</v>
      </c>
      <c r="F409" s="6" t="s">
        <v>2038</v>
      </c>
      <c r="G409" t="s">
        <v>2040</v>
      </c>
      <c r="I409" s="6" t="s">
        <v>2149</v>
      </c>
      <c r="J409" s="6" t="s">
        <v>2153</v>
      </c>
      <c r="K409" t="s">
        <v>2302</v>
      </c>
      <c r="L409" t="s">
        <v>157</v>
      </c>
      <c r="P40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10" spans="1:16">
      <c r="A410" t="s">
        <v>2299</v>
      </c>
      <c r="B410" s="6" t="s">
        <v>2768</v>
      </c>
      <c r="C410" t="s">
        <v>2319</v>
      </c>
      <c r="D410" t="s">
        <v>2769</v>
      </c>
      <c r="E410">
        <v>1</v>
      </c>
      <c r="F410" s="6" t="s">
        <v>2038</v>
      </c>
      <c r="G410" t="s">
        <v>2040</v>
      </c>
      <c r="I410" s="6" t="s">
        <v>2154</v>
      </c>
      <c r="J410" s="6" t="s">
        <v>2158</v>
      </c>
      <c r="K410" t="s">
        <v>2302</v>
      </c>
      <c r="L410" t="s">
        <v>157</v>
      </c>
      <c r="P41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11" spans="1:16">
      <c r="A411" t="s">
        <v>2299</v>
      </c>
      <c r="B411" s="6" t="s">
        <v>2770</v>
      </c>
      <c r="C411" t="s">
        <v>2319</v>
      </c>
      <c r="D411" t="s">
        <v>43</v>
      </c>
      <c r="E411">
        <v>1</v>
      </c>
      <c r="F411" s="6" t="s">
        <v>2038</v>
      </c>
      <c r="G411" t="s">
        <v>2040</v>
      </c>
      <c r="I411" s="6" t="s">
        <v>2159</v>
      </c>
      <c r="J411" s="6" t="s">
        <v>2166</v>
      </c>
      <c r="K411" t="s">
        <v>2302</v>
      </c>
      <c r="L411" t="s">
        <v>157</v>
      </c>
      <c r="P41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12" spans="1:16">
      <c r="A412" t="s">
        <v>2299</v>
      </c>
      <c r="B412" s="6" t="s">
        <v>2771</v>
      </c>
      <c r="C412" t="s">
        <v>2319</v>
      </c>
      <c r="D412" t="s">
        <v>2772</v>
      </c>
      <c r="E412">
        <v>1</v>
      </c>
      <c r="F412" s="6" t="s">
        <v>2038</v>
      </c>
      <c r="G412" t="s">
        <v>2040</v>
      </c>
      <c r="I412" s="6" t="s">
        <v>2167</v>
      </c>
      <c r="J412" s="6" t="s">
        <v>2170</v>
      </c>
      <c r="K412" t="s">
        <v>2302</v>
      </c>
      <c r="L412" t="s">
        <v>157</v>
      </c>
      <c r="P41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13" spans="1:16">
      <c r="A413" t="s">
        <v>2299</v>
      </c>
      <c r="B413" s="6" t="s">
        <v>2773</v>
      </c>
      <c r="C413" t="s">
        <v>2319</v>
      </c>
      <c r="D413" t="s">
        <v>48</v>
      </c>
      <c r="E413">
        <v>1</v>
      </c>
      <c r="F413" s="6" t="s">
        <v>2038</v>
      </c>
      <c r="G413" t="s">
        <v>2040</v>
      </c>
      <c r="I413" s="6" t="s">
        <v>2176</v>
      </c>
      <c r="J413" s="6" t="s">
        <v>2179</v>
      </c>
      <c r="K413" t="s">
        <v>2302</v>
      </c>
      <c r="L413" t="s">
        <v>157</v>
      </c>
      <c r="P41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14" spans="1:16">
      <c r="A414" t="s">
        <v>2299</v>
      </c>
      <c r="B414" s="6" t="s">
        <v>2774</v>
      </c>
      <c r="C414" t="s">
        <v>2319</v>
      </c>
      <c r="D414" t="s">
        <v>43</v>
      </c>
      <c r="E414">
        <v>1</v>
      </c>
      <c r="F414" s="6" t="s">
        <v>2038</v>
      </c>
      <c r="G414" t="s">
        <v>2040</v>
      </c>
      <c r="I414" s="6" t="s">
        <v>2180</v>
      </c>
      <c r="J414" s="6" t="s">
        <v>2187</v>
      </c>
      <c r="K414" t="s">
        <v>2302</v>
      </c>
      <c r="L414" t="s">
        <v>157</v>
      </c>
      <c r="P41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15" spans="1:16">
      <c r="A415" t="s">
        <v>2299</v>
      </c>
      <c r="B415" s="6" t="s">
        <v>2775</v>
      </c>
      <c r="C415" t="s">
        <v>2319</v>
      </c>
      <c r="D415" t="s">
        <v>48</v>
      </c>
      <c r="E415">
        <v>1</v>
      </c>
      <c r="F415" s="6" t="s">
        <v>2038</v>
      </c>
      <c r="G415" t="s">
        <v>2040</v>
      </c>
      <c r="I415" s="6" t="s">
        <v>2188</v>
      </c>
      <c r="J415" s="6" t="s">
        <v>2190</v>
      </c>
      <c r="K415" t="s">
        <v>2302</v>
      </c>
      <c r="L415" t="s">
        <v>157</v>
      </c>
      <c r="P41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16" spans="1:16">
      <c r="A416" t="s">
        <v>2299</v>
      </c>
      <c r="B416" s="6" t="s">
        <v>2776</v>
      </c>
      <c r="C416" t="s">
        <v>2319</v>
      </c>
      <c r="D416" t="s">
        <v>48</v>
      </c>
      <c r="E416">
        <v>1</v>
      </c>
      <c r="F416" s="6" t="s">
        <v>2038</v>
      </c>
      <c r="G416" t="s">
        <v>2040</v>
      </c>
      <c r="I416" s="6" t="s">
        <v>2196</v>
      </c>
      <c r="J416" s="6" t="s">
        <v>2199</v>
      </c>
      <c r="K416" t="s">
        <v>2302</v>
      </c>
      <c r="L416" t="s">
        <v>157</v>
      </c>
      <c r="P41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17" spans="1:16">
      <c r="A417" t="s">
        <v>2299</v>
      </c>
      <c r="B417" s="6" t="s">
        <v>2777</v>
      </c>
      <c r="C417" t="s">
        <v>2319</v>
      </c>
      <c r="D417" t="s">
        <v>44</v>
      </c>
      <c r="E417">
        <v>1</v>
      </c>
      <c r="F417" s="6" t="s">
        <v>2038</v>
      </c>
      <c r="G417" t="s">
        <v>2040</v>
      </c>
      <c r="I417" s="6" t="s">
        <v>2200</v>
      </c>
      <c r="J417" s="6" t="s">
        <v>1679</v>
      </c>
      <c r="K417" t="s">
        <v>2302</v>
      </c>
      <c r="L417" t="s">
        <v>157</v>
      </c>
      <c r="P41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18" spans="1:16">
      <c r="A418" t="s">
        <v>2299</v>
      </c>
      <c r="B418" s="6" t="s">
        <v>2778</v>
      </c>
      <c r="C418" t="s">
        <v>2319</v>
      </c>
      <c r="D418" t="s">
        <v>320</v>
      </c>
      <c r="E418">
        <v>1</v>
      </c>
      <c r="F418" s="6" t="s">
        <v>2038</v>
      </c>
      <c r="G418" t="s">
        <v>2040</v>
      </c>
      <c r="I418" s="6" t="s">
        <v>2203</v>
      </c>
      <c r="J418" s="6" t="s">
        <v>2204</v>
      </c>
      <c r="K418" t="s">
        <v>2302</v>
      </c>
      <c r="L418" t="s">
        <v>157</v>
      </c>
      <c r="P41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19" spans="1:16">
      <c r="A419" t="s">
        <v>2299</v>
      </c>
      <c r="B419" s="6" t="s">
        <v>2779</v>
      </c>
      <c r="C419" t="s">
        <v>2319</v>
      </c>
      <c r="D419" t="s">
        <v>48</v>
      </c>
      <c r="E419">
        <v>1</v>
      </c>
      <c r="F419" s="6" t="s">
        <v>2038</v>
      </c>
      <c r="G419" t="s">
        <v>2040</v>
      </c>
      <c r="I419" s="6" t="s">
        <v>2210</v>
      </c>
      <c r="J419" s="6" t="s">
        <v>2211</v>
      </c>
      <c r="K419" t="s">
        <v>2302</v>
      </c>
      <c r="L419" t="s">
        <v>157</v>
      </c>
      <c r="P41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20" spans="1:16">
      <c r="A420" t="s">
        <v>2299</v>
      </c>
      <c r="B420" s="6" t="s">
        <v>2780</v>
      </c>
      <c r="C420" t="s">
        <v>2319</v>
      </c>
      <c r="D420" t="s">
        <v>43</v>
      </c>
      <c r="E420">
        <v>1</v>
      </c>
      <c r="F420" s="6" t="s">
        <v>2038</v>
      </c>
      <c r="G420" t="s">
        <v>2040</v>
      </c>
      <c r="I420" s="6" t="s">
        <v>2212</v>
      </c>
      <c r="J420" s="6" t="s">
        <v>2218</v>
      </c>
      <c r="K420" t="s">
        <v>2302</v>
      </c>
      <c r="L420" t="s">
        <v>157</v>
      </c>
      <c r="P42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21" spans="1:16">
      <c r="A421" t="s">
        <v>2299</v>
      </c>
      <c r="B421" s="6" t="s">
        <v>2781</v>
      </c>
      <c r="C421" t="s">
        <v>2319</v>
      </c>
      <c r="D421" t="s">
        <v>48</v>
      </c>
      <c r="E421">
        <v>1</v>
      </c>
      <c r="F421" s="6" t="s">
        <v>2038</v>
      </c>
      <c r="G421" t="s">
        <v>2040</v>
      </c>
      <c r="I421" s="6" t="s">
        <v>2219</v>
      </c>
      <c r="J421" s="6" t="s">
        <v>2222</v>
      </c>
      <c r="K421" t="s">
        <v>2302</v>
      </c>
      <c r="L421" t="s">
        <v>157</v>
      </c>
      <c r="P42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22" spans="1:16">
      <c r="A422" t="s">
        <v>2299</v>
      </c>
      <c r="B422" s="6" t="s">
        <v>2782</v>
      </c>
      <c r="C422" t="s">
        <v>2319</v>
      </c>
      <c r="D422" t="s">
        <v>320</v>
      </c>
      <c r="E422">
        <v>1</v>
      </c>
      <c r="F422" s="6" t="s">
        <v>2038</v>
      </c>
      <c r="G422" t="s">
        <v>2040</v>
      </c>
      <c r="I422" s="6" t="s">
        <v>2225</v>
      </c>
      <c r="J422" s="6" t="s">
        <v>2226</v>
      </c>
      <c r="K422" t="s">
        <v>2302</v>
      </c>
      <c r="L422" t="s">
        <v>157</v>
      </c>
      <c r="P42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23" spans="1:16">
      <c r="A423" t="s">
        <v>2299</v>
      </c>
      <c r="B423" s="6" t="s">
        <v>2783</v>
      </c>
      <c r="C423" t="s">
        <v>2319</v>
      </c>
      <c r="D423" t="s">
        <v>48</v>
      </c>
      <c r="E423">
        <v>1</v>
      </c>
      <c r="F423" s="6" t="s">
        <v>2038</v>
      </c>
      <c r="G423" t="s">
        <v>2040</v>
      </c>
      <c r="I423" s="6" t="s">
        <v>2231</v>
      </c>
      <c r="J423" s="6" t="s">
        <v>2233</v>
      </c>
      <c r="K423" t="s">
        <v>2302</v>
      </c>
      <c r="L423" t="s">
        <v>157</v>
      </c>
      <c r="P42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24" spans="1:16">
      <c r="A424" t="s">
        <v>2299</v>
      </c>
      <c r="B424" s="6" t="s">
        <v>2784</v>
      </c>
      <c r="C424" t="s">
        <v>2319</v>
      </c>
      <c r="D424" t="s">
        <v>320</v>
      </c>
      <c r="E424">
        <v>1</v>
      </c>
      <c r="F424" s="6" t="s">
        <v>2038</v>
      </c>
      <c r="G424" t="s">
        <v>2040</v>
      </c>
      <c r="I424" s="6" t="s">
        <v>2236</v>
      </c>
      <c r="J424" s="6" t="s">
        <v>2237</v>
      </c>
      <c r="K424" t="s">
        <v>2302</v>
      </c>
      <c r="L424" t="s">
        <v>157</v>
      </c>
      <c r="P42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25" spans="1:16">
      <c r="A425" t="s">
        <v>2299</v>
      </c>
      <c r="B425" s="6" t="s">
        <v>2785</v>
      </c>
      <c r="C425" t="s">
        <v>2319</v>
      </c>
      <c r="D425" t="s">
        <v>48</v>
      </c>
      <c r="E425">
        <v>1</v>
      </c>
      <c r="F425" s="6" t="s">
        <v>2038</v>
      </c>
      <c r="G425" t="s">
        <v>2040</v>
      </c>
      <c r="I425" s="6" t="s">
        <v>2242</v>
      </c>
      <c r="J425" s="6" t="s">
        <v>2244</v>
      </c>
      <c r="K425" t="s">
        <v>2302</v>
      </c>
      <c r="L425" t="s">
        <v>157</v>
      </c>
      <c r="P42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26" spans="1:16">
      <c r="A426" t="s">
        <v>2299</v>
      </c>
      <c r="B426" s="6" t="s">
        <v>2786</v>
      </c>
      <c r="C426" t="s">
        <v>2319</v>
      </c>
      <c r="D426" t="s">
        <v>48</v>
      </c>
      <c r="E426">
        <v>1</v>
      </c>
      <c r="F426" s="6" t="s">
        <v>2038</v>
      </c>
      <c r="G426" t="s">
        <v>2040</v>
      </c>
      <c r="I426" s="6" t="s">
        <v>2249</v>
      </c>
      <c r="J426" s="6" t="s">
        <v>2251</v>
      </c>
      <c r="K426" t="s">
        <v>2302</v>
      </c>
      <c r="L426" t="s">
        <v>157</v>
      </c>
      <c r="P426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27" spans="1:16">
      <c r="A427" t="s">
        <v>2299</v>
      </c>
      <c r="B427" s="6" t="s">
        <v>2787</v>
      </c>
      <c r="C427" t="s">
        <v>2319</v>
      </c>
      <c r="D427" t="s">
        <v>48</v>
      </c>
      <c r="E427">
        <v>1</v>
      </c>
      <c r="F427" s="6" t="s">
        <v>2038</v>
      </c>
      <c r="G427" t="s">
        <v>2040</v>
      </c>
      <c r="I427" s="6" t="s">
        <v>2257</v>
      </c>
      <c r="J427" s="6" t="s">
        <v>2259</v>
      </c>
      <c r="K427" t="s">
        <v>2302</v>
      </c>
      <c r="L427" t="s">
        <v>157</v>
      </c>
      <c r="P427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28" spans="1:16">
      <c r="A428" t="s">
        <v>2299</v>
      </c>
      <c r="B428" s="6" t="s">
        <v>2788</v>
      </c>
      <c r="C428" t="s">
        <v>2319</v>
      </c>
      <c r="D428" t="s">
        <v>320</v>
      </c>
      <c r="E428">
        <v>1</v>
      </c>
      <c r="F428" s="6" t="s">
        <v>2038</v>
      </c>
      <c r="G428" t="s">
        <v>2040</v>
      </c>
      <c r="I428" s="6" t="s">
        <v>2263</v>
      </c>
      <c r="J428" s="6" t="s">
        <v>2265</v>
      </c>
      <c r="K428" t="s">
        <v>2302</v>
      </c>
      <c r="L428" t="s">
        <v>157</v>
      </c>
      <c r="P428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29" spans="1:16">
      <c r="A429" t="s">
        <v>2299</v>
      </c>
      <c r="B429" s="6" t="s">
        <v>2789</v>
      </c>
      <c r="C429" t="s">
        <v>2319</v>
      </c>
      <c r="D429" t="s">
        <v>44</v>
      </c>
      <c r="E429">
        <v>1</v>
      </c>
      <c r="F429" s="6" t="s">
        <v>2038</v>
      </c>
      <c r="G429" t="s">
        <v>2040</v>
      </c>
      <c r="I429" s="6" t="s">
        <v>2266</v>
      </c>
      <c r="J429" s="6" t="s">
        <v>1929</v>
      </c>
      <c r="K429" t="s">
        <v>2302</v>
      </c>
      <c r="L429" t="s">
        <v>157</v>
      </c>
      <c r="P429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30" spans="1:16">
      <c r="A430" t="s">
        <v>2299</v>
      </c>
      <c r="B430" s="6" t="s">
        <v>2790</v>
      </c>
      <c r="C430" t="s">
        <v>2319</v>
      </c>
      <c r="D430" t="s">
        <v>320</v>
      </c>
      <c r="E430">
        <v>1</v>
      </c>
      <c r="F430" s="6" t="s">
        <v>2038</v>
      </c>
      <c r="G430" t="s">
        <v>2040</v>
      </c>
      <c r="I430" s="6" t="s">
        <v>2268</v>
      </c>
      <c r="J430" s="6" t="s">
        <v>2269</v>
      </c>
      <c r="K430" t="s">
        <v>2302</v>
      </c>
      <c r="L430" t="s">
        <v>157</v>
      </c>
      <c r="P430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31" spans="1:16">
      <c r="A431" t="s">
        <v>2299</v>
      </c>
      <c r="B431" s="6" t="s">
        <v>2791</v>
      </c>
      <c r="C431" t="s">
        <v>2319</v>
      </c>
      <c r="D431" t="s">
        <v>43</v>
      </c>
      <c r="E431">
        <v>1</v>
      </c>
      <c r="F431" s="6" t="s">
        <v>2038</v>
      </c>
      <c r="G431" t="s">
        <v>2040</v>
      </c>
      <c r="I431" s="6" t="s">
        <v>2270</v>
      </c>
      <c r="J431" s="6" t="s">
        <v>2277</v>
      </c>
      <c r="K431" t="s">
        <v>2302</v>
      </c>
      <c r="L431" t="s">
        <v>157</v>
      </c>
      <c r="P431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32" spans="1:16">
      <c r="A432" t="s">
        <v>2299</v>
      </c>
      <c r="B432" s="6" t="s">
        <v>2792</v>
      </c>
      <c r="C432" t="s">
        <v>2319</v>
      </c>
      <c r="D432" t="s">
        <v>48</v>
      </c>
      <c r="E432">
        <v>1</v>
      </c>
      <c r="F432" s="6" t="s">
        <v>2038</v>
      </c>
      <c r="G432" t="s">
        <v>2040</v>
      </c>
      <c r="I432" s="6" t="s">
        <v>2278</v>
      </c>
      <c r="J432" s="6" t="s">
        <v>2280</v>
      </c>
      <c r="K432" t="s">
        <v>2302</v>
      </c>
      <c r="L432" t="s">
        <v>157</v>
      </c>
      <c r="P432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33" spans="1:16">
      <c r="A433" t="s">
        <v>2299</v>
      </c>
      <c r="B433" s="6" t="s">
        <v>2793</v>
      </c>
      <c r="C433" t="s">
        <v>2319</v>
      </c>
      <c r="D433" t="s">
        <v>305</v>
      </c>
      <c r="E433">
        <v>1</v>
      </c>
      <c r="F433" s="6" t="s">
        <v>2038</v>
      </c>
      <c r="G433" t="s">
        <v>2040</v>
      </c>
      <c r="I433" s="6" t="s">
        <v>2281</v>
      </c>
      <c r="J433" s="6" t="s">
        <v>310</v>
      </c>
      <c r="K433" t="s">
        <v>2302</v>
      </c>
      <c r="L433" t="s">
        <v>157</v>
      </c>
      <c r="P433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34" spans="1:16">
      <c r="A434" t="s">
        <v>2299</v>
      </c>
      <c r="B434" s="6" t="s">
        <v>2794</v>
      </c>
      <c r="C434" t="s">
        <v>2319</v>
      </c>
      <c r="D434" t="s">
        <v>2758</v>
      </c>
      <c r="E434">
        <v>1</v>
      </c>
      <c r="F434" s="6" t="s">
        <v>2038</v>
      </c>
      <c r="G434" t="s">
        <v>2040</v>
      </c>
      <c r="I434" s="6" t="s">
        <v>2283</v>
      </c>
      <c r="J434" s="6" t="s">
        <v>2284</v>
      </c>
      <c r="K434" t="s">
        <v>2302</v>
      </c>
      <c r="L434" t="s">
        <v>157</v>
      </c>
      <c r="P434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  <row r="435" spans="1:16">
      <c r="A435" t="s">
        <v>2317</v>
      </c>
      <c r="B435" s="6" t="s">
        <v>2795</v>
      </c>
      <c r="C435" t="s">
        <v>2319</v>
      </c>
      <c r="D435" t="s">
        <v>2796</v>
      </c>
      <c r="E435">
        <v>65</v>
      </c>
      <c r="F435" s="6" t="s">
        <v>1552</v>
      </c>
      <c r="G435" t="s">
        <v>1554</v>
      </c>
      <c r="H435" t="s">
        <v>2797</v>
      </c>
      <c r="I435" s="6"/>
      <c r="J435" s="6"/>
      <c r="K435" t="s">
        <v>2798</v>
      </c>
      <c r="L435" t="s">
        <v>2798</v>
      </c>
      <c r="P435">
        <f>IFERROR(IF(tblReview[[#This Row],[mention_id]]&lt;&gt;"",HYPERLINK("#Mentions!A"&amp;(MATCH(tblReview[[#This Row],[mention_id]],tblMentions[mention_id],0)+1),"go"),HYPERLINK("#Mentions!A"&amp;(MATCH(tblReview[[#This Row],[doc_id]],tblMentions[doc_id],0)+1),"go")),"")</f>
        <v>0</v>
      </c>
    </row>
  </sheetData>
  <conditionalFormatting sqref="A5:P435">
    <cfRule type="expression" dxfId="6" priority="1">
      <formula>$L5="RESOLVED"</formula>
    </cfRule>
  </conditionalFormatting>
  <conditionalFormatting sqref="C5:C435">
    <cfRule type="expression" dxfId="0" priority="2">
      <formula>$C5="ERROR"</formula>
    </cfRule>
  </conditionalFormatting>
  <dataValidations count="1">
    <dataValidation type="list" allowBlank="1" showInputMessage="1" showErrorMessage="1" errorTitle="review_status" error="Pick PENDING, ACCEPTED, REJECTED or RESOLVED." sqref="L5:L435">
      <formula1>"PENDING,ACCEPTED,REJECTED,RESOLVED"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Q2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/>
  <cols>
    <col min="1" max="1" width="11.7109375" customWidth="1"/>
    <col min="2" max="2" width="12.7109375" customWidth="1"/>
    <col min="3" max="3" width="16.7109375" customWidth="1"/>
    <col min="4" max="4" width="11.7109375" customWidth="1"/>
    <col min="5" max="5" width="13.7109375" customWidth="1"/>
    <col min="6" max="7" width="15.7109375" customWidth="1"/>
    <col min="8" max="11" width="10.7109375" customWidth="1"/>
    <col min="12" max="12" width="16.7109375" customWidth="1"/>
    <col min="13" max="14" width="10.7109375" customWidth="1"/>
    <col min="15" max="15" width="13.7109375" customWidth="1"/>
    <col min="16" max="16" width="12.7109375" customWidth="1"/>
    <col min="17" max="18" width="18.7109375" customWidth="1"/>
    <col min="19" max="19" width="22.7109375" customWidth="1"/>
    <col min="20" max="20" width="14.7109375" customWidth="1"/>
    <col min="21" max="21" width="13.7109375" customWidth="1"/>
    <col min="22" max="23" width="19.7109375" customWidth="1"/>
    <col min="24" max="24" width="25.7109375" customWidth="1"/>
    <col min="25" max="25" width="26.7109375" customWidth="1"/>
    <col min="26" max="26" width="28.7109375" customWidth="1"/>
    <col min="27" max="27" width="13.7109375" customWidth="1"/>
    <col min="28" max="28" width="20.7109375" customWidth="1"/>
    <col min="29" max="29" width="18.7109375" customWidth="1"/>
    <col min="30" max="30" width="16.7109375" customWidth="1"/>
    <col min="31" max="31" width="19.7109375" customWidth="1"/>
    <col min="32" max="32" width="17.7109375" customWidth="1"/>
    <col min="33" max="33" width="26.7109375" customWidth="1"/>
    <col min="34" max="34" width="19.7109375" customWidth="1"/>
    <col min="35" max="35" width="15.7109375" customWidth="1"/>
    <col min="36" max="36" width="13.7109375" customWidth="1"/>
    <col min="37" max="37" width="14.7109375" customWidth="1"/>
    <col min="38" max="38" width="20.7109375" customWidth="1"/>
    <col min="39" max="39" width="12.7109375" customWidth="1"/>
    <col min="40" max="40" width="14.7109375" customWidth="1"/>
    <col min="41" max="41" width="17.7109375" customWidth="1"/>
    <col min="42" max="42" width="16.7109375" customWidth="1"/>
    <col min="43" max="43" width="19.7109375" customWidth="1"/>
  </cols>
  <sheetData>
    <row r="1" spans="1:43">
      <c r="A1" t="s">
        <v>129</v>
      </c>
      <c r="B1" t="s">
        <v>66</v>
      </c>
      <c r="C1" t="s">
        <v>68</v>
      </c>
      <c r="D1" t="s">
        <v>69</v>
      </c>
      <c r="E1" t="s">
        <v>70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78</v>
      </c>
      <c r="L1" t="s">
        <v>79</v>
      </c>
      <c r="M1" t="s">
        <v>84</v>
      </c>
      <c r="N1" t="s">
        <v>86</v>
      </c>
      <c r="O1" t="s">
        <v>2799</v>
      </c>
      <c r="P1" t="s">
        <v>2800</v>
      </c>
      <c r="Q1" t="s">
        <v>2801</v>
      </c>
      <c r="R1" t="s">
        <v>2802</v>
      </c>
      <c r="S1" t="s">
        <v>2803</v>
      </c>
      <c r="T1" t="s">
        <v>2804</v>
      </c>
      <c r="U1" t="s">
        <v>2805</v>
      </c>
      <c r="V1" t="s">
        <v>2806</v>
      </c>
      <c r="W1" t="s">
        <v>2807</v>
      </c>
      <c r="X1" t="s">
        <v>2808</v>
      </c>
      <c r="Y1" t="s">
        <v>2809</v>
      </c>
      <c r="Z1" t="s">
        <v>2810</v>
      </c>
      <c r="AA1" t="s">
        <v>2811</v>
      </c>
      <c r="AB1" t="s">
        <v>2812</v>
      </c>
      <c r="AC1" t="s">
        <v>2813</v>
      </c>
      <c r="AD1" t="s">
        <v>2814</v>
      </c>
      <c r="AE1" t="s">
        <v>2815</v>
      </c>
      <c r="AF1" t="s">
        <v>2816</v>
      </c>
      <c r="AG1" t="s">
        <v>2817</v>
      </c>
      <c r="AH1" t="s">
        <v>2818</v>
      </c>
      <c r="AI1" t="s">
        <v>2819</v>
      </c>
      <c r="AJ1" t="s">
        <v>2820</v>
      </c>
      <c r="AK1" t="s">
        <v>2821</v>
      </c>
      <c r="AL1" t="s">
        <v>130</v>
      </c>
      <c r="AM1" t="s">
        <v>124</v>
      </c>
      <c r="AN1" t="s">
        <v>2822</v>
      </c>
      <c r="AO1" t="s">
        <v>2823</v>
      </c>
      <c r="AP1" t="s">
        <v>2824</v>
      </c>
      <c r="AQ1" t="s">
        <v>2825</v>
      </c>
    </row>
    <row r="2" spans="1:43">
      <c r="A2" s="6" t="s">
        <v>156</v>
      </c>
      <c r="B2" t="s">
        <v>141</v>
      </c>
      <c r="C2" t="s">
        <v>142</v>
      </c>
      <c r="D2" t="s">
        <v>143</v>
      </c>
      <c r="F2" t="s">
        <v>145</v>
      </c>
      <c r="H2" t="s">
        <v>146</v>
      </c>
      <c r="I2" t="s">
        <v>33</v>
      </c>
      <c r="J2" s="6" t="s">
        <v>147</v>
      </c>
      <c r="K2" t="s">
        <v>148</v>
      </c>
      <c r="L2" t="s">
        <v>149</v>
      </c>
      <c r="M2" s="3">
        <v>26808</v>
      </c>
      <c r="N2" t="b">
        <v>0</v>
      </c>
      <c r="O2" t="b">
        <v>1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1</v>
      </c>
      <c r="V2" t="b">
        <v>0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0</v>
      </c>
      <c r="AC2" t="s">
        <v>2826</v>
      </c>
      <c r="AD2" t="b">
        <v>1</v>
      </c>
      <c r="AE2" t="b">
        <v>0</v>
      </c>
      <c r="AF2" t="b">
        <v>1</v>
      </c>
      <c r="AG2" t="b">
        <v>1</v>
      </c>
      <c r="AH2" t="b">
        <v>0</v>
      </c>
      <c r="AI2">
        <v>6</v>
      </c>
      <c r="AJ2" t="s">
        <v>2827</v>
      </c>
      <c r="AK2" t="s">
        <v>2828</v>
      </c>
      <c r="AL2">
        <v>1</v>
      </c>
      <c r="AM2" t="b">
        <v>0</v>
      </c>
      <c r="AN2" t="b">
        <v>1</v>
      </c>
      <c r="AO2" t="b">
        <v>1</v>
      </c>
      <c r="AP2">
        <f>IF(ISNUMBER(tblPeople[[#This Row],[dob]]),DATEDIF(tblPeople[[#This Row],[dob]],RunDate,"y"),"")</f>
        <v>0</v>
      </c>
      <c r="AQ2">
        <f>COUNTIFS(tblReview[person_id],tblPeople[[#This Row],[person_id]],tblReview[status],"OPEN")</f>
        <v>0</v>
      </c>
    </row>
    <row r="3" spans="1:43">
      <c r="A3" s="6" t="s">
        <v>173</v>
      </c>
      <c r="B3" t="s">
        <v>162</v>
      </c>
      <c r="C3" t="s">
        <v>163</v>
      </c>
      <c r="D3" t="s">
        <v>164</v>
      </c>
      <c r="F3" t="s">
        <v>165</v>
      </c>
      <c r="H3" t="s">
        <v>166</v>
      </c>
      <c r="I3" t="s">
        <v>38</v>
      </c>
      <c r="J3" s="6" t="s">
        <v>167</v>
      </c>
      <c r="K3" t="s">
        <v>148</v>
      </c>
      <c r="L3" t="s">
        <v>149</v>
      </c>
      <c r="M3" s="3">
        <v>35582</v>
      </c>
      <c r="N3" t="b">
        <v>0</v>
      </c>
      <c r="O3" t="b">
        <v>1</v>
      </c>
      <c r="P3" t="b">
        <v>0</v>
      </c>
      <c r="Q3" t="b">
        <v>0</v>
      </c>
      <c r="R3" t="b">
        <v>0</v>
      </c>
      <c r="S3" t="b">
        <v>0</v>
      </c>
      <c r="T3" t="b">
        <v>1</v>
      </c>
      <c r="U3" t="b">
        <v>0</v>
      </c>
      <c r="V3" t="b">
        <v>0</v>
      </c>
      <c r="W3" t="b">
        <v>1</v>
      </c>
      <c r="X3" t="b">
        <v>1</v>
      </c>
      <c r="Y3" t="b">
        <v>1</v>
      </c>
      <c r="Z3" t="b">
        <v>0</v>
      </c>
      <c r="AA3" t="b">
        <v>1</v>
      </c>
      <c r="AB3" t="b">
        <v>0</v>
      </c>
      <c r="AC3" t="s">
        <v>2829</v>
      </c>
      <c r="AD3" t="b">
        <v>1</v>
      </c>
      <c r="AE3" t="b">
        <v>1</v>
      </c>
      <c r="AF3" t="b">
        <v>1</v>
      </c>
      <c r="AG3" t="b">
        <v>1</v>
      </c>
      <c r="AH3" t="b">
        <v>0</v>
      </c>
      <c r="AI3">
        <v>5</v>
      </c>
      <c r="AJ3" t="s">
        <v>2830</v>
      </c>
      <c r="AK3" t="s">
        <v>2828</v>
      </c>
      <c r="AL3">
        <v>1</v>
      </c>
      <c r="AM3" t="b">
        <v>0</v>
      </c>
      <c r="AN3" t="b">
        <v>1</v>
      </c>
      <c r="AO3" t="b">
        <v>1</v>
      </c>
      <c r="AP3">
        <f>IF(ISNUMBER(tblPeople[[#This Row],[dob]]),DATEDIF(tblPeople[[#This Row],[dob]],RunDate,"y"),"")</f>
        <v>0</v>
      </c>
      <c r="AQ3">
        <f>COUNTIFS(tblReview[person_id],tblPeople[[#This Row],[person_id]],tblReview[status],"OPEN")</f>
        <v>0</v>
      </c>
    </row>
    <row r="4" spans="1:43">
      <c r="A4" s="6" t="s">
        <v>184</v>
      </c>
      <c r="B4" t="s">
        <v>177</v>
      </c>
      <c r="C4" t="s">
        <v>178</v>
      </c>
      <c r="D4" t="s">
        <v>179</v>
      </c>
      <c r="F4" t="s">
        <v>180</v>
      </c>
      <c r="H4" t="s">
        <v>181</v>
      </c>
      <c r="I4" t="s">
        <v>40</v>
      </c>
      <c r="J4" s="6" t="s">
        <v>182</v>
      </c>
      <c r="K4" t="s">
        <v>148</v>
      </c>
      <c r="L4" t="s">
        <v>149</v>
      </c>
      <c r="M4" s="3">
        <v>31930</v>
      </c>
      <c r="N4" t="b">
        <v>0</v>
      </c>
      <c r="O4" t="b">
        <v>1</v>
      </c>
      <c r="P4" t="b">
        <v>1</v>
      </c>
      <c r="Q4" t="b">
        <v>0</v>
      </c>
      <c r="R4" t="b">
        <v>0</v>
      </c>
      <c r="S4" t="b">
        <v>0</v>
      </c>
      <c r="T4" t="b">
        <v>0</v>
      </c>
      <c r="U4" t="b">
        <v>1</v>
      </c>
      <c r="V4" t="b">
        <v>1</v>
      </c>
      <c r="W4" t="b">
        <v>1</v>
      </c>
      <c r="X4" t="b">
        <v>1</v>
      </c>
      <c r="Y4" t="b">
        <v>1</v>
      </c>
      <c r="Z4" t="b">
        <v>1</v>
      </c>
      <c r="AA4" t="b">
        <v>1</v>
      </c>
      <c r="AB4" t="b">
        <v>0</v>
      </c>
      <c r="AC4" t="s">
        <v>2831</v>
      </c>
      <c r="AD4" t="b">
        <v>1</v>
      </c>
      <c r="AE4" t="b">
        <v>0</v>
      </c>
      <c r="AF4" t="b">
        <v>1</v>
      </c>
      <c r="AG4" t="b">
        <v>1</v>
      </c>
      <c r="AH4" t="b">
        <v>0</v>
      </c>
      <c r="AI4">
        <v>10</v>
      </c>
      <c r="AJ4" t="s">
        <v>2832</v>
      </c>
      <c r="AK4" t="s">
        <v>2828</v>
      </c>
      <c r="AL4">
        <v>1</v>
      </c>
      <c r="AM4" t="b">
        <v>0</v>
      </c>
      <c r="AN4" t="b">
        <v>0</v>
      </c>
      <c r="AO4" t="b">
        <v>1</v>
      </c>
      <c r="AP4">
        <f>IF(ISNUMBER(tblPeople[[#This Row],[dob]]),DATEDIF(tblPeople[[#This Row],[dob]],RunDate,"y"),"")</f>
        <v>0</v>
      </c>
      <c r="AQ4">
        <f>COUNTIFS(tblReview[person_id],tblPeople[[#This Row],[person_id]],tblReview[status],"OPEN")</f>
        <v>0</v>
      </c>
    </row>
    <row r="5" spans="1:43">
      <c r="A5" s="6" t="s">
        <v>195</v>
      </c>
      <c r="B5" t="s">
        <v>188</v>
      </c>
      <c r="C5" t="s">
        <v>189</v>
      </c>
      <c r="D5" t="s">
        <v>190</v>
      </c>
      <c r="F5" t="s">
        <v>191</v>
      </c>
      <c r="H5" t="s">
        <v>192</v>
      </c>
      <c r="I5" t="s">
        <v>38</v>
      </c>
      <c r="J5" s="6" t="s">
        <v>193</v>
      </c>
      <c r="K5" t="s">
        <v>148</v>
      </c>
      <c r="L5" t="s">
        <v>149</v>
      </c>
      <c r="M5" s="3">
        <v>27063</v>
      </c>
      <c r="N5" t="b">
        <v>0</v>
      </c>
      <c r="O5" t="b">
        <v>1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1</v>
      </c>
      <c r="V5" t="b">
        <v>0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0</v>
      </c>
      <c r="AC5" t="s">
        <v>2826</v>
      </c>
      <c r="AD5" t="b">
        <v>1</v>
      </c>
      <c r="AE5" t="b">
        <v>0</v>
      </c>
      <c r="AF5" t="b">
        <v>1</v>
      </c>
      <c r="AG5" t="b">
        <v>1</v>
      </c>
      <c r="AH5" t="b">
        <v>0</v>
      </c>
      <c r="AI5">
        <v>6</v>
      </c>
      <c r="AJ5" t="s">
        <v>2833</v>
      </c>
      <c r="AK5" t="s">
        <v>2828</v>
      </c>
      <c r="AL5">
        <v>1</v>
      </c>
      <c r="AM5" t="b">
        <v>0</v>
      </c>
      <c r="AN5" t="b">
        <v>0</v>
      </c>
      <c r="AO5" t="b">
        <v>1</v>
      </c>
      <c r="AP5">
        <f>IF(ISNUMBER(tblPeople[[#This Row],[dob]]),DATEDIF(tblPeople[[#This Row],[dob]],RunDate,"y"),"")</f>
        <v>0</v>
      </c>
      <c r="AQ5">
        <f>COUNTIFS(tblReview[person_id],tblPeople[[#This Row],[person_id]],tblReview[status],"OPEN")</f>
        <v>0</v>
      </c>
    </row>
    <row r="6" spans="1:43">
      <c r="A6" s="6" t="s">
        <v>207</v>
      </c>
      <c r="B6" t="s">
        <v>199</v>
      </c>
      <c r="D6" t="s">
        <v>200</v>
      </c>
      <c r="E6" t="s">
        <v>201</v>
      </c>
      <c r="F6" t="s">
        <v>202</v>
      </c>
      <c r="H6" t="s">
        <v>203</v>
      </c>
      <c r="I6" t="s">
        <v>34</v>
      </c>
      <c r="J6" s="6" t="s">
        <v>204</v>
      </c>
      <c r="K6" t="s">
        <v>148</v>
      </c>
      <c r="L6" t="s">
        <v>205</v>
      </c>
      <c r="M6" s="3">
        <v>36152</v>
      </c>
      <c r="N6" t="b">
        <v>0</v>
      </c>
      <c r="O6" t="b">
        <v>1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0</v>
      </c>
      <c r="AC6" t="s">
        <v>2826</v>
      </c>
      <c r="AD6" t="b">
        <v>1</v>
      </c>
      <c r="AE6" t="b">
        <v>0</v>
      </c>
      <c r="AF6" t="b">
        <v>1</v>
      </c>
      <c r="AG6" t="b">
        <v>1</v>
      </c>
      <c r="AH6" t="b">
        <v>0</v>
      </c>
      <c r="AI6">
        <v>6</v>
      </c>
      <c r="AJ6" t="s">
        <v>2834</v>
      </c>
      <c r="AK6" t="s">
        <v>2828</v>
      </c>
      <c r="AL6">
        <v>1</v>
      </c>
      <c r="AM6" t="b">
        <v>0</v>
      </c>
      <c r="AN6" t="b">
        <v>0</v>
      </c>
      <c r="AO6" t="b">
        <v>1</v>
      </c>
      <c r="AP6">
        <f>IF(ISNUMBER(tblPeople[[#This Row],[dob]]),DATEDIF(tblPeople[[#This Row],[dob]],RunDate,"y"),"")</f>
        <v>0</v>
      </c>
      <c r="AQ6">
        <f>COUNTIFS(tblReview[person_id],tblPeople[[#This Row],[person_id]],tblReview[status],"OPEN")</f>
        <v>0</v>
      </c>
    </row>
    <row r="7" spans="1:43">
      <c r="A7" s="6" t="s">
        <v>219</v>
      </c>
      <c r="B7" t="s">
        <v>211</v>
      </c>
      <c r="C7" t="s">
        <v>212</v>
      </c>
      <c r="D7" t="s">
        <v>213</v>
      </c>
      <c r="E7" t="s">
        <v>214</v>
      </c>
      <c r="F7" t="s">
        <v>215</v>
      </c>
      <c r="H7" t="s">
        <v>216</v>
      </c>
      <c r="I7" t="s">
        <v>37</v>
      </c>
      <c r="J7" s="6" t="s">
        <v>217</v>
      </c>
      <c r="K7" t="s">
        <v>148</v>
      </c>
      <c r="L7" t="s">
        <v>149</v>
      </c>
      <c r="M7" s="3">
        <v>25031</v>
      </c>
      <c r="N7" t="b">
        <v>0</v>
      </c>
      <c r="O7" t="b">
        <v>1</v>
      </c>
      <c r="P7" t="b">
        <v>0</v>
      </c>
      <c r="Q7" t="b">
        <v>0</v>
      </c>
      <c r="R7" t="b">
        <v>0</v>
      </c>
      <c r="S7" t="b">
        <v>1</v>
      </c>
      <c r="T7" t="b">
        <v>0</v>
      </c>
      <c r="U7" t="b">
        <v>0</v>
      </c>
      <c r="V7" t="b">
        <v>0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0</v>
      </c>
      <c r="AC7" t="s">
        <v>2835</v>
      </c>
      <c r="AD7" t="b">
        <v>1</v>
      </c>
      <c r="AE7" t="b">
        <v>1</v>
      </c>
      <c r="AF7" t="b">
        <v>1</v>
      </c>
      <c r="AG7" t="b">
        <v>1</v>
      </c>
      <c r="AH7" t="b">
        <v>0</v>
      </c>
      <c r="AI7">
        <v>6</v>
      </c>
      <c r="AJ7" t="s">
        <v>2836</v>
      </c>
      <c r="AK7" t="s">
        <v>2828</v>
      </c>
      <c r="AL7">
        <v>1</v>
      </c>
      <c r="AM7" t="b">
        <v>0</v>
      </c>
      <c r="AN7" t="b">
        <v>0</v>
      </c>
      <c r="AO7" t="b">
        <v>1</v>
      </c>
      <c r="AP7">
        <f>IF(ISNUMBER(tblPeople[[#This Row],[dob]]),DATEDIF(tblPeople[[#This Row],[dob]],RunDate,"y"),"")</f>
        <v>0</v>
      </c>
      <c r="AQ7">
        <f>COUNTIFS(tblReview[person_id],tblPeople[[#This Row],[person_id]],tblReview[status],"OPEN")</f>
        <v>0</v>
      </c>
    </row>
    <row r="8" spans="1:43">
      <c r="A8" s="6" t="s">
        <v>230</v>
      </c>
      <c r="B8" t="s">
        <v>223</v>
      </c>
      <c r="C8" t="s">
        <v>224</v>
      </c>
      <c r="D8" t="s">
        <v>225</v>
      </c>
      <c r="F8" t="s">
        <v>226</v>
      </c>
      <c r="H8" t="s">
        <v>227</v>
      </c>
      <c r="I8" t="s">
        <v>37</v>
      </c>
      <c r="J8" s="6" t="s">
        <v>228</v>
      </c>
      <c r="K8" t="s">
        <v>148</v>
      </c>
      <c r="L8" t="s">
        <v>149</v>
      </c>
      <c r="M8" s="3">
        <v>24202</v>
      </c>
      <c r="N8" t="b">
        <v>0</v>
      </c>
      <c r="O8" t="b">
        <v>1</v>
      </c>
      <c r="P8" t="b">
        <v>0</v>
      </c>
      <c r="Q8" t="b">
        <v>0</v>
      </c>
      <c r="R8" t="b">
        <v>0</v>
      </c>
      <c r="S8" t="b">
        <v>1</v>
      </c>
      <c r="T8" t="b">
        <v>0</v>
      </c>
      <c r="U8" t="b">
        <v>1</v>
      </c>
      <c r="V8" t="b">
        <v>0</v>
      </c>
      <c r="W8" t="b">
        <v>1</v>
      </c>
      <c r="X8" t="b">
        <v>1</v>
      </c>
      <c r="Y8" t="b">
        <v>1</v>
      </c>
      <c r="Z8" t="b">
        <v>1</v>
      </c>
      <c r="AA8" t="b">
        <v>1</v>
      </c>
      <c r="AB8" t="b">
        <v>0</v>
      </c>
      <c r="AC8" t="s">
        <v>2835</v>
      </c>
      <c r="AD8" t="b">
        <v>1</v>
      </c>
      <c r="AE8" t="b">
        <v>1</v>
      </c>
      <c r="AF8" t="b">
        <v>1</v>
      </c>
      <c r="AG8" t="b">
        <v>1</v>
      </c>
      <c r="AH8" t="b">
        <v>0</v>
      </c>
      <c r="AI8">
        <v>7</v>
      </c>
      <c r="AJ8" t="s">
        <v>2837</v>
      </c>
      <c r="AK8" t="s">
        <v>2828</v>
      </c>
      <c r="AL8">
        <v>1</v>
      </c>
      <c r="AM8" t="b">
        <v>0</v>
      </c>
      <c r="AN8" t="b">
        <v>0</v>
      </c>
      <c r="AO8" t="b">
        <v>1</v>
      </c>
      <c r="AP8">
        <f>IF(ISNUMBER(tblPeople[[#This Row],[dob]]),DATEDIF(tblPeople[[#This Row],[dob]],RunDate,"y"),"")</f>
        <v>0</v>
      </c>
      <c r="AQ8">
        <f>COUNTIFS(tblReview[person_id],tblPeople[[#This Row],[person_id]],tblReview[status],"OPEN")</f>
        <v>0</v>
      </c>
    </row>
    <row r="9" spans="1:43">
      <c r="A9" s="6" t="s">
        <v>241</v>
      </c>
      <c r="B9" t="s">
        <v>234</v>
      </c>
      <c r="C9" t="s">
        <v>235</v>
      </c>
      <c r="D9" t="s">
        <v>236</v>
      </c>
      <c r="F9" t="s">
        <v>237</v>
      </c>
      <c r="H9" t="s">
        <v>238</v>
      </c>
      <c r="I9" t="s">
        <v>37</v>
      </c>
      <c r="J9" s="6" t="s">
        <v>239</v>
      </c>
      <c r="K9" t="s">
        <v>148</v>
      </c>
      <c r="L9" t="s">
        <v>149</v>
      </c>
      <c r="M9" s="3">
        <v>19844</v>
      </c>
      <c r="N9" t="b">
        <v>0</v>
      </c>
      <c r="O9" t="b">
        <v>1</v>
      </c>
      <c r="P9" t="b">
        <v>0</v>
      </c>
      <c r="Q9" t="b">
        <v>0</v>
      </c>
      <c r="R9" t="b">
        <v>0</v>
      </c>
      <c r="S9" t="b">
        <v>1</v>
      </c>
      <c r="T9" t="b">
        <v>0</v>
      </c>
      <c r="U9" t="b">
        <v>0</v>
      </c>
      <c r="V9" t="b">
        <v>0</v>
      </c>
      <c r="W9" t="b">
        <v>1</v>
      </c>
      <c r="X9" t="b">
        <v>1</v>
      </c>
      <c r="Y9" t="b">
        <v>1</v>
      </c>
      <c r="Z9" t="b">
        <v>1</v>
      </c>
      <c r="AA9" t="b">
        <v>1</v>
      </c>
      <c r="AB9" t="b">
        <v>0</v>
      </c>
      <c r="AC9" t="s">
        <v>2835</v>
      </c>
      <c r="AD9" t="b">
        <v>1</v>
      </c>
      <c r="AE9" t="b">
        <v>1</v>
      </c>
      <c r="AF9" t="b">
        <v>1</v>
      </c>
      <c r="AG9" t="b">
        <v>1</v>
      </c>
      <c r="AH9" t="b">
        <v>0</v>
      </c>
      <c r="AI9">
        <v>6</v>
      </c>
      <c r="AJ9" t="s">
        <v>2838</v>
      </c>
      <c r="AK9" t="s">
        <v>2828</v>
      </c>
      <c r="AL9">
        <v>1</v>
      </c>
      <c r="AM9" t="b">
        <v>0</v>
      </c>
      <c r="AN9" t="b">
        <v>1</v>
      </c>
      <c r="AO9" t="b">
        <v>1</v>
      </c>
      <c r="AP9">
        <f>IF(ISNUMBER(tblPeople[[#This Row],[dob]]),DATEDIF(tblPeople[[#This Row],[dob]],RunDate,"y"),"")</f>
        <v>0</v>
      </c>
      <c r="AQ9">
        <f>COUNTIFS(tblReview[person_id],tblPeople[[#This Row],[person_id]],tblReview[status],"OPEN")</f>
        <v>0</v>
      </c>
    </row>
    <row r="10" spans="1:43">
      <c r="A10" s="6" t="s">
        <v>256</v>
      </c>
      <c r="B10" t="s">
        <v>247</v>
      </c>
      <c r="C10" t="s">
        <v>224</v>
      </c>
      <c r="D10" t="s">
        <v>248</v>
      </c>
      <c r="F10" t="s">
        <v>250</v>
      </c>
      <c r="H10" t="s">
        <v>251</v>
      </c>
      <c r="I10" t="s">
        <v>39</v>
      </c>
      <c r="J10" s="6" t="s">
        <v>252</v>
      </c>
      <c r="K10" t="s">
        <v>148</v>
      </c>
      <c r="L10" t="s">
        <v>149</v>
      </c>
      <c r="M10" s="3">
        <v>32257</v>
      </c>
      <c r="N10" t="b">
        <v>0</v>
      </c>
      <c r="O10" t="b">
        <v>1</v>
      </c>
      <c r="P10" t="b">
        <v>0</v>
      </c>
      <c r="Q10" t="b">
        <v>0</v>
      </c>
      <c r="R10" t="b">
        <v>0</v>
      </c>
      <c r="S10" t="b">
        <v>1</v>
      </c>
      <c r="T10" t="b">
        <v>0</v>
      </c>
      <c r="U10" t="b">
        <v>1</v>
      </c>
      <c r="V10" t="b">
        <v>1</v>
      </c>
      <c r="W10" t="b">
        <v>1</v>
      </c>
      <c r="X10" t="b">
        <v>1</v>
      </c>
      <c r="Y10" t="b">
        <v>1</v>
      </c>
      <c r="Z10" t="b">
        <v>1</v>
      </c>
      <c r="AA10" t="b">
        <v>1</v>
      </c>
      <c r="AB10" t="b">
        <v>0</v>
      </c>
      <c r="AC10" t="s">
        <v>2835</v>
      </c>
      <c r="AD10" t="b">
        <v>1</v>
      </c>
      <c r="AE10" t="b">
        <v>1</v>
      </c>
      <c r="AF10" t="b">
        <v>1</v>
      </c>
      <c r="AG10" t="b">
        <v>1</v>
      </c>
      <c r="AH10" t="b">
        <v>0</v>
      </c>
      <c r="AI10">
        <v>8</v>
      </c>
      <c r="AJ10" t="s">
        <v>2839</v>
      </c>
      <c r="AK10" t="s">
        <v>2828</v>
      </c>
      <c r="AL10">
        <v>1</v>
      </c>
      <c r="AM10" t="b">
        <v>0</v>
      </c>
      <c r="AN10" t="b">
        <v>1</v>
      </c>
      <c r="AO10" t="b">
        <v>1</v>
      </c>
      <c r="AP10">
        <f>IF(ISNUMBER(tblPeople[[#This Row],[dob]]),DATEDIF(tblPeople[[#This Row],[dob]],RunDate,"y"),"")</f>
        <v>0</v>
      </c>
      <c r="AQ10">
        <f>COUNTIFS(tblReview[person_id],tblPeople[[#This Row],[person_id]],tblReview[status],"OPEN")</f>
        <v>0</v>
      </c>
    </row>
    <row r="11" spans="1:43">
      <c r="A11" s="6" t="s">
        <v>262</v>
      </c>
      <c r="B11" t="s">
        <v>258</v>
      </c>
      <c r="C11" t="s">
        <v>259</v>
      </c>
      <c r="D11" t="s">
        <v>248</v>
      </c>
      <c r="F11" t="s">
        <v>250</v>
      </c>
      <c r="H11" t="s">
        <v>251</v>
      </c>
      <c r="I11" t="s">
        <v>39</v>
      </c>
      <c r="J11" s="6" t="s">
        <v>252</v>
      </c>
      <c r="K11" t="s">
        <v>148</v>
      </c>
      <c r="L11" t="s">
        <v>149</v>
      </c>
      <c r="M11" s="3">
        <v>43220</v>
      </c>
      <c r="N11" t="b">
        <v>1</v>
      </c>
      <c r="O11" t="b">
        <v>1</v>
      </c>
      <c r="P11" t="b">
        <v>0</v>
      </c>
      <c r="Q11" t="b">
        <v>0</v>
      </c>
      <c r="R11" t="b">
        <v>0</v>
      </c>
      <c r="S11" t="b">
        <v>0</v>
      </c>
      <c r="T11" t="b">
        <v>0</v>
      </c>
      <c r="U11" t="b">
        <v>1</v>
      </c>
      <c r="V11" t="b">
        <v>1</v>
      </c>
      <c r="W11" t="b">
        <v>1</v>
      </c>
      <c r="X11" t="b">
        <v>1</v>
      </c>
      <c r="Y11" t="b">
        <v>1</v>
      </c>
      <c r="Z11" t="b">
        <v>0</v>
      </c>
      <c r="AA11" t="b">
        <v>1</v>
      </c>
      <c r="AB11" t="b">
        <v>0</v>
      </c>
      <c r="AC11" t="s">
        <v>2826</v>
      </c>
      <c r="AD11" t="b">
        <v>1</v>
      </c>
      <c r="AE11" t="b">
        <v>0</v>
      </c>
      <c r="AF11" t="b">
        <v>1</v>
      </c>
      <c r="AG11" t="b">
        <v>1</v>
      </c>
      <c r="AH11" t="b">
        <v>0</v>
      </c>
      <c r="AI11">
        <v>3</v>
      </c>
      <c r="AJ11" t="s">
        <v>2840</v>
      </c>
      <c r="AK11" t="s">
        <v>2828</v>
      </c>
      <c r="AL11">
        <v>1</v>
      </c>
      <c r="AM11" t="b">
        <v>0</v>
      </c>
      <c r="AN11" t="b">
        <v>1</v>
      </c>
      <c r="AO11" t="b">
        <v>1</v>
      </c>
      <c r="AP11">
        <f>IF(ISNUMBER(tblPeople[[#This Row],[dob]]),DATEDIF(tblPeople[[#This Row],[dob]],RunDate,"y"),"")</f>
        <v>0</v>
      </c>
      <c r="AQ11">
        <f>COUNTIFS(tblReview[person_id],tblPeople[[#This Row],[person_id]],tblReview[status],"OPEN")</f>
        <v>0</v>
      </c>
    </row>
    <row r="12" spans="1:43">
      <c r="A12" s="6" t="s">
        <v>277</v>
      </c>
      <c r="B12" t="s">
        <v>266</v>
      </c>
      <c r="C12" t="s">
        <v>267</v>
      </c>
      <c r="D12" t="s">
        <v>268</v>
      </c>
      <c r="F12" t="s">
        <v>269</v>
      </c>
      <c r="H12" t="s">
        <v>636</v>
      </c>
      <c r="I12" t="s">
        <v>33</v>
      </c>
      <c r="J12" s="6" t="s">
        <v>271</v>
      </c>
      <c r="K12" t="s">
        <v>148</v>
      </c>
      <c r="L12" t="s">
        <v>149</v>
      </c>
      <c r="M12" s="3">
        <v>24084</v>
      </c>
      <c r="N12" t="b">
        <v>0</v>
      </c>
      <c r="O12" t="b">
        <v>1</v>
      </c>
      <c r="P12" t="b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1</v>
      </c>
      <c r="W12" t="b">
        <v>1</v>
      </c>
      <c r="X12" t="b">
        <v>1</v>
      </c>
      <c r="Y12" t="b">
        <v>1</v>
      </c>
      <c r="Z12" t="b">
        <v>1</v>
      </c>
      <c r="AA12" t="b">
        <v>1</v>
      </c>
      <c r="AB12" t="b">
        <v>0</v>
      </c>
      <c r="AC12" t="s">
        <v>2826</v>
      </c>
      <c r="AD12" t="b">
        <v>1</v>
      </c>
      <c r="AE12" t="b">
        <v>0</v>
      </c>
      <c r="AF12" t="b">
        <v>1</v>
      </c>
      <c r="AG12" t="b">
        <v>1</v>
      </c>
      <c r="AH12" t="b">
        <v>0</v>
      </c>
      <c r="AI12">
        <v>6</v>
      </c>
      <c r="AJ12" t="s">
        <v>2841</v>
      </c>
      <c r="AK12" t="s">
        <v>2828</v>
      </c>
      <c r="AL12">
        <v>1</v>
      </c>
      <c r="AM12" t="b">
        <v>0</v>
      </c>
      <c r="AN12" t="b">
        <v>1</v>
      </c>
      <c r="AO12" t="b">
        <v>1</v>
      </c>
      <c r="AP12">
        <f>IF(ISNUMBER(tblPeople[[#This Row],[dob]]),DATEDIF(tblPeople[[#This Row],[dob]],RunDate,"y"),"")</f>
        <v>0</v>
      </c>
      <c r="AQ12">
        <f>COUNTIFS(tblReview[person_id],tblPeople[[#This Row],[person_id]],tblReview[status],"OPEN")</f>
        <v>0</v>
      </c>
    </row>
    <row r="13" spans="1:43">
      <c r="A13" s="6" t="s">
        <v>291</v>
      </c>
      <c r="B13" t="s">
        <v>281</v>
      </c>
      <c r="C13" t="s">
        <v>142</v>
      </c>
      <c r="D13" t="s">
        <v>282</v>
      </c>
      <c r="F13" t="s">
        <v>283</v>
      </c>
      <c r="H13" t="s">
        <v>284</v>
      </c>
      <c r="I13" t="s">
        <v>39</v>
      </c>
      <c r="J13" s="6" t="s">
        <v>627</v>
      </c>
      <c r="K13" t="s">
        <v>148</v>
      </c>
      <c r="L13" t="s">
        <v>149</v>
      </c>
      <c r="M13" s="3">
        <v>25182</v>
      </c>
      <c r="N13" t="b">
        <v>0</v>
      </c>
      <c r="O13" t="b">
        <v>1</v>
      </c>
      <c r="P13" t="b">
        <v>0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1</v>
      </c>
      <c r="W13" t="b">
        <v>1</v>
      </c>
      <c r="X13" t="b">
        <v>1</v>
      </c>
      <c r="Y13" t="b">
        <v>1</v>
      </c>
      <c r="Z13" t="b">
        <v>1</v>
      </c>
      <c r="AA13" t="b">
        <v>1</v>
      </c>
      <c r="AB13" t="b">
        <v>0</v>
      </c>
      <c r="AC13" t="s">
        <v>2826</v>
      </c>
      <c r="AD13" t="b">
        <v>1</v>
      </c>
      <c r="AE13" t="b">
        <v>0</v>
      </c>
      <c r="AF13" t="b">
        <v>1</v>
      </c>
      <c r="AG13" t="b">
        <v>1</v>
      </c>
      <c r="AH13" t="b">
        <v>0</v>
      </c>
      <c r="AI13">
        <v>5</v>
      </c>
      <c r="AJ13" t="s">
        <v>2842</v>
      </c>
      <c r="AK13" t="s">
        <v>2828</v>
      </c>
      <c r="AL13">
        <v>0.9</v>
      </c>
      <c r="AM13" t="b">
        <v>0</v>
      </c>
      <c r="AN13" t="b">
        <v>0</v>
      </c>
      <c r="AO13" t="b">
        <v>1</v>
      </c>
      <c r="AP13">
        <f>IF(ISNUMBER(tblPeople[[#This Row],[dob]]),DATEDIF(tblPeople[[#This Row],[dob]],RunDate,"y"),"")</f>
        <v>0</v>
      </c>
      <c r="AQ13">
        <f>COUNTIFS(tblReview[person_id],tblPeople[[#This Row],[person_id]],tblReview[status],"OPEN")</f>
        <v>0</v>
      </c>
    </row>
    <row r="14" spans="1:43">
      <c r="A14" s="6" t="s">
        <v>306</v>
      </c>
      <c r="B14" t="s">
        <v>298</v>
      </c>
      <c r="C14" t="s">
        <v>299</v>
      </c>
      <c r="D14" t="s">
        <v>300</v>
      </c>
      <c r="F14" t="s">
        <v>301</v>
      </c>
      <c r="H14" t="s">
        <v>302</v>
      </c>
      <c r="I14" t="s">
        <v>35</v>
      </c>
      <c r="J14" s="6" t="s">
        <v>303</v>
      </c>
      <c r="K14" t="s">
        <v>148</v>
      </c>
      <c r="L14" t="s">
        <v>149</v>
      </c>
      <c r="M14" s="3">
        <v>20070</v>
      </c>
      <c r="N14" t="b">
        <v>0</v>
      </c>
      <c r="O14" t="b">
        <v>1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1</v>
      </c>
      <c r="V14" t="b">
        <v>0</v>
      </c>
      <c r="W14" t="b">
        <v>0</v>
      </c>
      <c r="X14" t="b">
        <v>0</v>
      </c>
      <c r="Y14" t="b">
        <v>1</v>
      </c>
      <c r="Z14" t="b">
        <v>1</v>
      </c>
      <c r="AA14" t="b">
        <v>1</v>
      </c>
      <c r="AB14" t="b">
        <v>0</v>
      </c>
      <c r="AC14" t="s">
        <v>2826</v>
      </c>
      <c r="AD14" t="b">
        <v>1</v>
      </c>
      <c r="AE14" t="b">
        <v>0</v>
      </c>
      <c r="AF14" t="b">
        <v>1</v>
      </c>
      <c r="AG14" t="b">
        <v>1</v>
      </c>
      <c r="AH14" t="b">
        <v>0</v>
      </c>
      <c r="AI14">
        <v>7</v>
      </c>
      <c r="AJ14" t="s">
        <v>2843</v>
      </c>
      <c r="AK14" t="s">
        <v>2828</v>
      </c>
      <c r="AL14">
        <v>1</v>
      </c>
      <c r="AM14" t="b">
        <v>0</v>
      </c>
      <c r="AN14" t="b">
        <v>1</v>
      </c>
      <c r="AO14" t="b">
        <v>1</v>
      </c>
      <c r="AP14">
        <f>IF(ISNUMBER(tblPeople[[#This Row],[dob]]),DATEDIF(tblPeople[[#This Row],[dob]],RunDate,"y"),"")</f>
        <v>0</v>
      </c>
      <c r="AQ14">
        <f>COUNTIFS(tblReview[person_id],tblPeople[[#This Row],[person_id]],tblReview[status],"OPEN")</f>
        <v>0</v>
      </c>
    </row>
    <row r="15" spans="1:43">
      <c r="A15" s="6" t="s">
        <v>310</v>
      </c>
      <c r="B15" t="s">
        <v>308</v>
      </c>
      <c r="C15" t="s">
        <v>224</v>
      </c>
      <c r="D15" t="s">
        <v>300</v>
      </c>
      <c r="F15" t="s">
        <v>301</v>
      </c>
      <c r="H15" t="s">
        <v>302</v>
      </c>
      <c r="I15" t="s">
        <v>35</v>
      </c>
      <c r="J15" s="6" t="s">
        <v>303</v>
      </c>
      <c r="K15" t="s">
        <v>148</v>
      </c>
      <c r="L15" t="s">
        <v>149</v>
      </c>
      <c r="M15" s="3">
        <v>41455</v>
      </c>
      <c r="N15" t="b">
        <v>1</v>
      </c>
      <c r="O15" t="b">
        <v>1</v>
      </c>
      <c r="P15" t="b">
        <v>0</v>
      </c>
      <c r="Q15" t="b">
        <v>0</v>
      </c>
      <c r="R15" t="b">
        <v>0</v>
      </c>
      <c r="S15" t="b">
        <v>0</v>
      </c>
      <c r="T15" t="b">
        <v>0</v>
      </c>
      <c r="U15" t="b">
        <v>1</v>
      </c>
      <c r="V15" t="b">
        <v>1</v>
      </c>
      <c r="W15" t="b">
        <v>1</v>
      </c>
      <c r="X15" t="b">
        <v>1</v>
      </c>
      <c r="Y15" t="b">
        <v>1</v>
      </c>
      <c r="Z15" t="b">
        <v>0</v>
      </c>
      <c r="AA15" t="b">
        <v>1</v>
      </c>
      <c r="AB15" t="b">
        <v>1</v>
      </c>
      <c r="AC15" t="s">
        <v>2844</v>
      </c>
      <c r="AD15" t="b">
        <v>1</v>
      </c>
      <c r="AE15" t="b">
        <v>0</v>
      </c>
      <c r="AF15" t="b">
        <v>1</v>
      </c>
      <c r="AG15" t="b">
        <v>1</v>
      </c>
      <c r="AH15" t="b">
        <v>1</v>
      </c>
      <c r="AI15">
        <v>3</v>
      </c>
      <c r="AJ15" t="s">
        <v>2845</v>
      </c>
      <c r="AK15" t="s">
        <v>2828</v>
      </c>
      <c r="AL15">
        <v>1</v>
      </c>
      <c r="AM15" t="b">
        <v>1</v>
      </c>
      <c r="AN15" t="b">
        <v>1</v>
      </c>
      <c r="AO15" t="b">
        <v>1</v>
      </c>
      <c r="AP15">
        <f>IF(ISNUMBER(tblPeople[[#This Row],[dob]]),DATEDIF(tblPeople[[#This Row],[dob]],RunDate,"y"),"")</f>
        <v>0</v>
      </c>
      <c r="AQ15">
        <f>COUNTIFS(tblReview[person_id],tblPeople[[#This Row],[person_id]],tblReview[status],"OPEN")</f>
        <v>0</v>
      </c>
    </row>
    <row r="16" spans="1:43">
      <c r="A16" s="6" t="s">
        <v>321</v>
      </c>
      <c r="B16" t="s">
        <v>314</v>
      </c>
      <c r="C16" t="s">
        <v>163</v>
      </c>
      <c r="D16" t="s">
        <v>315</v>
      </c>
      <c r="F16" t="s">
        <v>316</v>
      </c>
      <c r="H16" t="s">
        <v>317</v>
      </c>
      <c r="I16" t="s">
        <v>34</v>
      </c>
      <c r="J16" s="6" t="s">
        <v>318</v>
      </c>
      <c r="K16" t="s">
        <v>148</v>
      </c>
      <c r="L16" t="s">
        <v>149</v>
      </c>
      <c r="M16" s="3">
        <v>28458</v>
      </c>
      <c r="N16" t="b">
        <v>0</v>
      </c>
      <c r="O16" t="b">
        <v>1</v>
      </c>
      <c r="P16" t="b">
        <v>0</v>
      </c>
      <c r="Q16" t="b">
        <v>0</v>
      </c>
      <c r="R16" t="b">
        <v>0</v>
      </c>
      <c r="S16" t="b">
        <v>1</v>
      </c>
      <c r="T16" t="b">
        <v>1</v>
      </c>
      <c r="U16" t="b">
        <v>1</v>
      </c>
      <c r="V16" t="b">
        <v>0</v>
      </c>
      <c r="W16" t="b">
        <v>0</v>
      </c>
      <c r="X16" t="b">
        <v>0</v>
      </c>
      <c r="Y16" t="b">
        <v>1</v>
      </c>
      <c r="Z16" t="b">
        <v>1</v>
      </c>
      <c r="AA16" t="b">
        <v>1</v>
      </c>
      <c r="AB16" t="b">
        <v>0</v>
      </c>
      <c r="AC16" t="s">
        <v>2846</v>
      </c>
      <c r="AD16" t="b">
        <v>1</v>
      </c>
      <c r="AE16" t="b">
        <v>1</v>
      </c>
      <c r="AF16" t="b">
        <v>1</v>
      </c>
      <c r="AG16" t="b">
        <v>1</v>
      </c>
      <c r="AH16" t="b">
        <v>0</v>
      </c>
      <c r="AI16">
        <v>8</v>
      </c>
      <c r="AJ16" t="s">
        <v>2847</v>
      </c>
      <c r="AK16" t="s">
        <v>2828</v>
      </c>
      <c r="AL16">
        <v>1</v>
      </c>
      <c r="AM16" t="b">
        <v>0</v>
      </c>
      <c r="AN16" t="b">
        <v>1</v>
      </c>
      <c r="AO16" t="b">
        <v>1</v>
      </c>
      <c r="AP16">
        <f>IF(ISNUMBER(tblPeople[[#This Row],[dob]]),DATEDIF(tblPeople[[#This Row],[dob]],RunDate,"y"),"")</f>
        <v>0</v>
      </c>
      <c r="AQ16">
        <f>COUNTIFS(tblReview[person_id],tblPeople[[#This Row],[person_id]],tblReview[status],"OPEN")</f>
        <v>0</v>
      </c>
    </row>
    <row r="17" spans="1:43">
      <c r="A17" s="6" t="s">
        <v>327</v>
      </c>
      <c r="B17" t="s">
        <v>323</v>
      </c>
      <c r="C17" t="s">
        <v>324</v>
      </c>
      <c r="D17" t="s">
        <v>315</v>
      </c>
      <c r="F17" t="s">
        <v>316</v>
      </c>
      <c r="H17" t="s">
        <v>317</v>
      </c>
      <c r="I17" t="s">
        <v>34</v>
      </c>
      <c r="J17" s="6" t="s">
        <v>318</v>
      </c>
      <c r="K17" t="s">
        <v>148</v>
      </c>
      <c r="L17" t="s">
        <v>149</v>
      </c>
      <c r="M17" s="3">
        <v>30125</v>
      </c>
      <c r="N17" t="b">
        <v>0</v>
      </c>
      <c r="O17" t="b">
        <v>1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 t="b">
        <v>1</v>
      </c>
      <c r="Z17" t="b">
        <v>0</v>
      </c>
      <c r="AA17" t="b">
        <v>1</v>
      </c>
      <c r="AB17" t="b">
        <v>0</v>
      </c>
      <c r="AC17" t="s">
        <v>2826</v>
      </c>
      <c r="AD17" t="b">
        <v>1</v>
      </c>
      <c r="AE17" t="b">
        <v>0</v>
      </c>
      <c r="AF17" t="b">
        <v>1</v>
      </c>
      <c r="AG17" t="b">
        <v>1</v>
      </c>
      <c r="AH17" t="b">
        <v>0</v>
      </c>
      <c r="AI17">
        <v>3</v>
      </c>
      <c r="AJ17" t="s">
        <v>2848</v>
      </c>
      <c r="AK17" t="s">
        <v>2828</v>
      </c>
      <c r="AL17">
        <v>1</v>
      </c>
      <c r="AM17" t="b">
        <v>0</v>
      </c>
      <c r="AN17" t="b">
        <v>1</v>
      </c>
      <c r="AO17" t="b">
        <v>1</v>
      </c>
      <c r="AP17">
        <f>IF(ISNUMBER(tblPeople[[#This Row],[dob]]),DATEDIF(tblPeople[[#This Row],[dob]],RunDate,"y"),"")</f>
        <v>0</v>
      </c>
      <c r="AQ17">
        <f>COUNTIFS(tblReview[person_id],tblPeople[[#This Row],[person_id]],tblReview[status],"OPEN")</f>
        <v>0</v>
      </c>
    </row>
    <row r="18" spans="1:43">
      <c r="A18" s="6" t="s">
        <v>336</v>
      </c>
      <c r="B18" t="s">
        <v>331</v>
      </c>
      <c r="C18" t="s">
        <v>142</v>
      </c>
      <c r="D18" t="s">
        <v>332</v>
      </c>
      <c r="F18" t="s">
        <v>333</v>
      </c>
      <c r="H18" t="s">
        <v>334</v>
      </c>
      <c r="I18" t="s">
        <v>33</v>
      </c>
      <c r="J18" s="6" t="s">
        <v>335</v>
      </c>
      <c r="K18" t="s">
        <v>148</v>
      </c>
      <c r="L18" t="s">
        <v>149</v>
      </c>
      <c r="M18" s="3">
        <v>31194</v>
      </c>
      <c r="N18" t="b">
        <v>0</v>
      </c>
      <c r="O18" t="b">
        <v>1</v>
      </c>
      <c r="P18" t="b">
        <v>1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1</v>
      </c>
      <c r="W18" t="b">
        <v>1</v>
      </c>
      <c r="X18" t="b">
        <v>1</v>
      </c>
      <c r="Y18" t="b">
        <v>1</v>
      </c>
      <c r="Z18" t="b">
        <v>1</v>
      </c>
      <c r="AA18" t="b">
        <v>1</v>
      </c>
      <c r="AB18" t="b">
        <v>0</v>
      </c>
      <c r="AC18" t="s">
        <v>2831</v>
      </c>
      <c r="AD18" t="b">
        <v>1</v>
      </c>
      <c r="AE18" t="b">
        <v>0</v>
      </c>
      <c r="AF18" t="b">
        <v>1</v>
      </c>
      <c r="AG18" t="b">
        <v>1</v>
      </c>
      <c r="AH18" t="b">
        <v>0</v>
      </c>
      <c r="AI18">
        <v>7</v>
      </c>
      <c r="AJ18" t="s">
        <v>2849</v>
      </c>
      <c r="AK18" t="s">
        <v>2828</v>
      </c>
      <c r="AL18">
        <v>1</v>
      </c>
      <c r="AM18" t="b">
        <v>0</v>
      </c>
      <c r="AN18" t="b">
        <v>0</v>
      </c>
      <c r="AO18" t="b">
        <v>1</v>
      </c>
      <c r="AP18">
        <f>IF(ISNUMBER(tblPeople[[#This Row],[dob]]),DATEDIF(tblPeople[[#This Row],[dob]],RunDate,"y"),"")</f>
        <v>0</v>
      </c>
      <c r="AQ18">
        <f>COUNTIFS(tblReview[person_id],tblPeople[[#This Row],[person_id]],tblReview[status],"OPEN")</f>
        <v>0</v>
      </c>
    </row>
    <row r="19" spans="1:43">
      <c r="A19" s="6" t="s">
        <v>367</v>
      </c>
      <c r="B19" t="s">
        <v>356</v>
      </c>
      <c r="D19" t="s">
        <v>357</v>
      </c>
      <c r="F19" t="s">
        <v>358</v>
      </c>
      <c r="H19" t="s">
        <v>359</v>
      </c>
      <c r="I19" t="s">
        <v>33</v>
      </c>
      <c r="J19" s="6" t="s">
        <v>360</v>
      </c>
      <c r="K19" t="s">
        <v>148</v>
      </c>
      <c r="L19" t="s">
        <v>205</v>
      </c>
      <c r="M19" s="3">
        <v>19920</v>
      </c>
      <c r="N19" t="b">
        <v>0</v>
      </c>
      <c r="O19" t="b">
        <v>1</v>
      </c>
      <c r="P19" t="b">
        <v>1</v>
      </c>
      <c r="Q19" t="b">
        <v>0</v>
      </c>
      <c r="R19" t="b">
        <v>0</v>
      </c>
      <c r="S19" t="b">
        <v>0</v>
      </c>
      <c r="T19" t="b">
        <v>1</v>
      </c>
      <c r="U19" t="b">
        <v>1</v>
      </c>
      <c r="V19" t="b">
        <v>0</v>
      </c>
      <c r="W19" t="b">
        <v>0</v>
      </c>
      <c r="X19" t="b">
        <v>0</v>
      </c>
      <c r="Y19" t="b">
        <v>1</v>
      </c>
      <c r="Z19" t="b">
        <v>0</v>
      </c>
      <c r="AA19" t="b">
        <v>1</v>
      </c>
      <c r="AB19" t="b">
        <v>0</v>
      </c>
      <c r="AC19" t="s">
        <v>2850</v>
      </c>
      <c r="AD19" t="b">
        <v>1</v>
      </c>
      <c r="AE19" t="b">
        <v>1</v>
      </c>
      <c r="AF19" t="b">
        <v>1</v>
      </c>
      <c r="AG19" t="b">
        <v>1</v>
      </c>
      <c r="AH19" t="b">
        <v>0</v>
      </c>
      <c r="AI19">
        <v>7</v>
      </c>
      <c r="AJ19" t="s">
        <v>2851</v>
      </c>
      <c r="AK19" t="s">
        <v>2828</v>
      </c>
      <c r="AL19">
        <v>1</v>
      </c>
      <c r="AM19" t="b">
        <v>0</v>
      </c>
      <c r="AN19" t="b">
        <v>0</v>
      </c>
      <c r="AO19" t="b">
        <v>1</v>
      </c>
      <c r="AP19">
        <f>IF(ISNUMBER(tblPeople[[#This Row],[dob]]),DATEDIF(tblPeople[[#This Row],[dob]],RunDate,"y"),"")</f>
        <v>0</v>
      </c>
      <c r="AQ19">
        <f>COUNTIFS(tblReview[person_id],tblPeople[[#This Row],[person_id]],tblReview[status],"OPEN")</f>
        <v>0</v>
      </c>
    </row>
    <row r="20" spans="1:43">
      <c r="A20" s="6" t="s">
        <v>382</v>
      </c>
      <c r="B20" t="s">
        <v>371</v>
      </c>
      <c r="D20" t="s">
        <v>372</v>
      </c>
      <c r="F20" t="s">
        <v>373</v>
      </c>
      <c r="G20" t="s">
        <v>374</v>
      </c>
      <c r="H20" t="s">
        <v>375</v>
      </c>
      <c r="I20" t="s">
        <v>33</v>
      </c>
      <c r="J20" s="6" t="s">
        <v>376</v>
      </c>
      <c r="K20" t="s">
        <v>148</v>
      </c>
      <c r="L20" t="s">
        <v>149</v>
      </c>
      <c r="M20" s="3">
        <v>23557</v>
      </c>
      <c r="N20" t="b">
        <v>0</v>
      </c>
      <c r="O20" t="b">
        <v>1</v>
      </c>
      <c r="P20" t="b">
        <v>1</v>
      </c>
      <c r="Q20" t="b">
        <v>0</v>
      </c>
      <c r="R20" t="b">
        <v>0</v>
      </c>
      <c r="S20" t="b">
        <v>1</v>
      </c>
      <c r="T20" t="b">
        <v>1</v>
      </c>
      <c r="U20" t="b">
        <v>0</v>
      </c>
      <c r="V20" t="b">
        <v>0</v>
      </c>
      <c r="W20" t="b">
        <v>0</v>
      </c>
      <c r="X20" t="b">
        <v>0</v>
      </c>
      <c r="Y20" t="b">
        <v>1</v>
      </c>
      <c r="Z20" t="b">
        <v>1</v>
      </c>
      <c r="AA20" t="b">
        <v>1</v>
      </c>
      <c r="AB20" t="b">
        <v>0</v>
      </c>
      <c r="AC20" t="s">
        <v>2852</v>
      </c>
      <c r="AD20" t="b">
        <v>1</v>
      </c>
      <c r="AE20" t="b">
        <v>1</v>
      </c>
      <c r="AF20" t="b">
        <v>0</v>
      </c>
      <c r="AG20" t="b">
        <v>1</v>
      </c>
      <c r="AH20" t="b">
        <v>0</v>
      </c>
      <c r="AI20">
        <v>6</v>
      </c>
      <c r="AJ20" t="s">
        <v>2853</v>
      </c>
      <c r="AK20" t="s">
        <v>2828</v>
      </c>
      <c r="AL20">
        <v>1</v>
      </c>
      <c r="AM20" t="b">
        <v>0</v>
      </c>
      <c r="AN20" t="b">
        <v>0</v>
      </c>
      <c r="AO20" t="b">
        <v>1</v>
      </c>
      <c r="AP20">
        <f>IF(ISNUMBER(tblPeople[[#This Row],[dob]]),DATEDIF(tblPeople[[#This Row],[dob]],RunDate,"y"),"")</f>
        <v>0</v>
      </c>
      <c r="AQ20">
        <f>COUNTIFS(tblReview[person_id],tblPeople[[#This Row],[person_id]],tblReview[status],"OPEN")</f>
        <v>0</v>
      </c>
    </row>
    <row r="21" spans="1:43">
      <c r="A21" s="6" t="s">
        <v>403</v>
      </c>
      <c r="B21" t="s">
        <v>393</v>
      </c>
      <c r="C21" t="s">
        <v>299</v>
      </c>
      <c r="D21" t="s">
        <v>394</v>
      </c>
      <c r="F21" t="s">
        <v>395</v>
      </c>
      <c r="H21" t="s">
        <v>396</v>
      </c>
      <c r="I21" t="s">
        <v>38</v>
      </c>
      <c r="J21" s="6" t="s">
        <v>397</v>
      </c>
      <c r="K21" t="s">
        <v>148</v>
      </c>
      <c r="L21" t="s">
        <v>149</v>
      </c>
      <c r="M21" s="3">
        <v>30192</v>
      </c>
      <c r="N21" t="b">
        <v>0</v>
      </c>
      <c r="O21" t="b">
        <v>1</v>
      </c>
      <c r="P21" t="b">
        <v>0</v>
      </c>
      <c r="Q21" t="b">
        <v>0</v>
      </c>
      <c r="R21" t="b">
        <v>1</v>
      </c>
      <c r="S21" t="b">
        <v>0</v>
      </c>
      <c r="T21" t="b">
        <v>1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1</v>
      </c>
      <c r="AB21" t="b">
        <v>0</v>
      </c>
      <c r="AC21" t="s">
        <v>2854</v>
      </c>
      <c r="AD21" t="b">
        <v>1</v>
      </c>
      <c r="AE21" t="b">
        <v>1</v>
      </c>
      <c r="AF21" t="b">
        <v>0</v>
      </c>
      <c r="AG21" t="b">
        <v>0</v>
      </c>
      <c r="AH21" t="b">
        <v>0</v>
      </c>
      <c r="AI21">
        <v>5</v>
      </c>
      <c r="AJ21" t="s">
        <v>2855</v>
      </c>
      <c r="AK21" t="s">
        <v>2828</v>
      </c>
      <c r="AL21">
        <v>1</v>
      </c>
      <c r="AM21" t="b">
        <v>0</v>
      </c>
      <c r="AN21" t="b">
        <v>0</v>
      </c>
      <c r="AO21" t="b">
        <v>1</v>
      </c>
      <c r="AP21">
        <f>IF(ISNUMBER(tblPeople[[#This Row],[dob]]),DATEDIF(tblPeople[[#This Row],[dob]],RunDate,"y"),"")</f>
        <v>0</v>
      </c>
      <c r="AQ21">
        <f>COUNTIFS(tblReview[person_id],tblPeople[[#This Row],[person_id]],tblReview[status],"OPEN")</f>
        <v>0</v>
      </c>
    </row>
    <row r="22" spans="1:43">
      <c r="A22" s="6" t="s">
        <v>416</v>
      </c>
      <c r="B22" t="s">
        <v>407</v>
      </c>
      <c r="D22" t="s">
        <v>408</v>
      </c>
      <c r="F22" t="s">
        <v>409</v>
      </c>
      <c r="H22" t="s">
        <v>410</v>
      </c>
      <c r="I22" t="s">
        <v>39</v>
      </c>
      <c r="J22" s="6" t="s">
        <v>411</v>
      </c>
      <c r="K22" t="s">
        <v>148</v>
      </c>
      <c r="L22" t="s">
        <v>149</v>
      </c>
      <c r="M22" s="3">
        <v>20473</v>
      </c>
      <c r="N22" t="b">
        <v>0</v>
      </c>
      <c r="O22" t="b">
        <v>1</v>
      </c>
      <c r="P22" t="b">
        <v>1</v>
      </c>
      <c r="Q22" t="b">
        <v>0</v>
      </c>
      <c r="R22" t="b">
        <v>0</v>
      </c>
      <c r="S22" t="b">
        <v>1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1</v>
      </c>
      <c r="Z22" t="b">
        <v>1</v>
      </c>
      <c r="AA22" t="b">
        <v>1</v>
      </c>
      <c r="AB22" t="b">
        <v>0</v>
      </c>
      <c r="AC22" t="s">
        <v>2856</v>
      </c>
      <c r="AD22" t="b">
        <v>1</v>
      </c>
      <c r="AE22" t="b">
        <v>1</v>
      </c>
      <c r="AF22" t="b">
        <v>0</v>
      </c>
      <c r="AG22" t="b">
        <v>1</v>
      </c>
      <c r="AH22" t="b">
        <v>0</v>
      </c>
      <c r="AI22">
        <v>6</v>
      </c>
      <c r="AJ22" t="s">
        <v>2857</v>
      </c>
      <c r="AK22" t="s">
        <v>2828</v>
      </c>
      <c r="AL22">
        <v>1</v>
      </c>
      <c r="AM22" t="b">
        <v>0</v>
      </c>
      <c r="AN22" t="b">
        <v>0</v>
      </c>
      <c r="AO22" t="b">
        <v>1</v>
      </c>
      <c r="AP22">
        <f>IF(ISNUMBER(tblPeople[[#This Row],[dob]]),DATEDIF(tblPeople[[#This Row],[dob]],RunDate,"y"),"")</f>
        <v>0</v>
      </c>
      <c r="AQ22">
        <f>COUNTIFS(tblReview[person_id],tblPeople[[#This Row],[person_id]],tblReview[status],"OPEN")</f>
        <v>0</v>
      </c>
    </row>
    <row r="23" spans="1:43">
      <c r="A23" s="6" t="s">
        <v>429</v>
      </c>
      <c r="B23" t="s">
        <v>422</v>
      </c>
      <c r="C23" t="s">
        <v>163</v>
      </c>
      <c r="D23" t="s">
        <v>423</v>
      </c>
      <c r="F23" t="s">
        <v>645</v>
      </c>
      <c r="H23" t="s">
        <v>646</v>
      </c>
      <c r="I23" t="s">
        <v>40</v>
      </c>
      <c r="J23" s="6" t="s">
        <v>647</v>
      </c>
      <c r="K23" t="s">
        <v>148</v>
      </c>
      <c r="L23" t="s">
        <v>149</v>
      </c>
      <c r="M23" s="3">
        <v>24586</v>
      </c>
      <c r="N23" t="b">
        <v>0</v>
      </c>
      <c r="O23" t="b">
        <v>1</v>
      </c>
      <c r="P23" t="b">
        <v>0</v>
      </c>
      <c r="Q23" t="b">
        <v>0</v>
      </c>
      <c r="R23" t="b">
        <v>0</v>
      </c>
      <c r="S23" t="b">
        <v>1</v>
      </c>
      <c r="T23" t="b">
        <v>0</v>
      </c>
      <c r="U23" t="b">
        <v>1</v>
      </c>
      <c r="V23" t="b">
        <v>0</v>
      </c>
      <c r="W23" t="b">
        <v>0</v>
      </c>
      <c r="X23" t="b">
        <v>0</v>
      </c>
      <c r="Y23" t="b">
        <v>1</v>
      </c>
      <c r="Z23" t="b">
        <v>1</v>
      </c>
      <c r="AA23" t="b">
        <v>1</v>
      </c>
      <c r="AB23" t="b">
        <v>0</v>
      </c>
      <c r="AC23" t="s">
        <v>2835</v>
      </c>
      <c r="AD23" t="b">
        <v>1</v>
      </c>
      <c r="AE23" t="b">
        <v>1</v>
      </c>
      <c r="AF23" t="b">
        <v>1</v>
      </c>
      <c r="AG23" t="b">
        <v>1</v>
      </c>
      <c r="AH23" t="b">
        <v>0</v>
      </c>
      <c r="AI23">
        <v>6</v>
      </c>
      <c r="AJ23" t="s">
        <v>2858</v>
      </c>
      <c r="AK23" t="s">
        <v>2828</v>
      </c>
      <c r="AL23">
        <v>1</v>
      </c>
      <c r="AM23" t="b">
        <v>0</v>
      </c>
      <c r="AN23" t="b">
        <v>0</v>
      </c>
      <c r="AO23" t="b">
        <v>1</v>
      </c>
      <c r="AP23">
        <f>IF(ISNUMBER(tblPeople[[#This Row],[dob]]),DATEDIF(tblPeople[[#This Row],[dob]],RunDate,"y"),"")</f>
        <v>0</v>
      </c>
      <c r="AQ23">
        <f>COUNTIFS(tblReview[person_id],tblPeople[[#This Row],[person_id]],tblReview[status],"OPEN")</f>
        <v>0</v>
      </c>
    </row>
    <row r="24" spans="1:43">
      <c r="A24" s="6" t="s">
        <v>440</v>
      </c>
      <c r="B24" t="s">
        <v>433</v>
      </c>
      <c r="C24" t="s">
        <v>434</v>
      </c>
      <c r="D24" t="s">
        <v>435</v>
      </c>
      <c r="F24" t="s">
        <v>436</v>
      </c>
      <c r="H24" t="s">
        <v>437</v>
      </c>
      <c r="I24" t="s">
        <v>40</v>
      </c>
      <c r="J24" s="6" t="s">
        <v>438</v>
      </c>
      <c r="K24" t="s">
        <v>148</v>
      </c>
      <c r="L24" t="s">
        <v>149</v>
      </c>
      <c r="M24" s="3">
        <v>27425</v>
      </c>
      <c r="N24" t="b">
        <v>0</v>
      </c>
      <c r="O24" t="b">
        <v>1</v>
      </c>
      <c r="P24" t="b">
        <v>0</v>
      </c>
      <c r="Q24" t="b">
        <v>0</v>
      </c>
      <c r="R24" t="b">
        <v>0</v>
      </c>
      <c r="S24" t="b">
        <v>0</v>
      </c>
      <c r="T24" t="b">
        <v>1</v>
      </c>
      <c r="U24" t="b">
        <v>1</v>
      </c>
      <c r="V24" t="b">
        <v>0</v>
      </c>
      <c r="W24" t="b">
        <v>0</v>
      </c>
      <c r="X24" t="b">
        <v>0</v>
      </c>
      <c r="Y24" t="b">
        <v>1</v>
      </c>
      <c r="Z24" t="b">
        <v>1</v>
      </c>
      <c r="AA24" t="b">
        <v>1</v>
      </c>
      <c r="AB24" t="b">
        <v>0</v>
      </c>
      <c r="AC24" t="s">
        <v>2829</v>
      </c>
      <c r="AD24" t="b">
        <v>1</v>
      </c>
      <c r="AE24" t="b">
        <v>1</v>
      </c>
      <c r="AF24" t="b">
        <v>1</v>
      </c>
      <c r="AG24" t="b">
        <v>1</v>
      </c>
      <c r="AH24" t="b">
        <v>0</v>
      </c>
      <c r="AI24">
        <v>7</v>
      </c>
      <c r="AJ24" t="s">
        <v>2859</v>
      </c>
      <c r="AK24" t="s">
        <v>2828</v>
      </c>
      <c r="AL24">
        <v>1</v>
      </c>
      <c r="AM24" t="b">
        <v>0</v>
      </c>
      <c r="AN24" t="b">
        <v>1</v>
      </c>
      <c r="AO24" t="b">
        <v>1</v>
      </c>
      <c r="AP24">
        <f>IF(ISNUMBER(tblPeople[[#This Row],[dob]]),DATEDIF(tblPeople[[#This Row],[dob]],RunDate,"y"),"")</f>
        <v>0</v>
      </c>
      <c r="AQ24">
        <f>COUNTIFS(tblReview[person_id],tblPeople[[#This Row],[person_id]],tblReview[status],"OPEN")</f>
        <v>0</v>
      </c>
    </row>
    <row r="25" spans="1:43">
      <c r="A25" s="6" t="s">
        <v>451</v>
      </c>
      <c r="B25" t="s">
        <v>444</v>
      </c>
      <c r="D25" t="s">
        <v>445</v>
      </c>
      <c r="E25" t="s">
        <v>446</v>
      </c>
      <c r="F25" t="s">
        <v>447</v>
      </c>
      <c r="H25" t="s">
        <v>203</v>
      </c>
      <c r="I25" t="s">
        <v>34</v>
      </c>
      <c r="J25" s="6" t="s">
        <v>448</v>
      </c>
      <c r="K25" t="s">
        <v>148</v>
      </c>
      <c r="L25" t="s">
        <v>149</v>
      </c>
      <c r="M25" s="3">
        <v>19798</v>
      </c>
      <c r="N25" t="b">
        <v>0</v>
      </c>
      <c r="O25" t="b">
        <v>1</v>
      </c>
      <c r="P25" t="b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1</v>
      </c>
      <c r="Z25" t="b">
        <v>1</v>
      </c>
      <c r="AA25" t="b">
        <v>1</v>
      </c>
      <c r="AB25" t="b">
        <v>0</v>
      </c>
      <c r="AC25" t="s">
        <v>2860</v>
      </c>
      <c r="AD25" t="b">
        <v>1</v>
      </c>
      <c r="AE25" t="b">
        <v>0</v>
      </c>
      <c r="AF25" t="b">
        <v>0</v>
      </c>
      <c r="AG25" t="b">
        <v>1</v>
      </c>
      <c r="AH25" t="b">
        <v>0</v>
      </c>
      <c r="AI25">
        <v>5</v>
      </c>
      <c r="AJ25" t="s">
        <v>2861</v>
      </c>
      <c r="AK25" t="s">
        <v>2828</v>
      </c>
      <c r="AL25">
        <v>1</v>
      </c>
      <c r="AM25" t="b">
        <v>0</v>
      </c>
      <c r="AN25" t="b">
        <v>0</v>
      </c>
      <c r="AO25" t="b">
        <v>1</v>
      </c>
      <c r="AP25">
        <f>IF(ISNUMBER(tblPeople[[#This Row],[dob]]),DATEDIF(tblPeople[[#This Row],[dob]],RunDate,"y"),"")</f>
        <v>0</v>
      </c>
      <c r="AQ25">
        <f>COUNTIFS(tblReview[person_id],tblPeople[[#This Row],[person_id]],tblReview[status],"OPEN")</f>
        <v>0</v>
      </c>
    </row>
    <row r="26" spans="1:43">
      <c r="A26" s="6" t="s">
        <v>464</v>
      </c>
      <c r="B26" t="s">
        <v>458</v>
      </c>
      <c r="C26" t="s">
        <v>163</v>
      </c>
      <c r="D26" t="s">
        <v>459</v>
      </c>
      <c r="F26" t="s">
        <v>460</v>
      </c>
      <c r="H26" t="s">
        <v>461</v>
      </c>
      <c r="I26" t="s">
        <v>37</v>
      </c>
      <c r="J26" s="6" t="s">
        <v>462</v>
      </c>
      <c r="K26" t="s">
        <v>148</v>
      </c>
      <c r="L26" t="s">
        <v>149</v>
      </c>
      <c r="M26" s="3">
        <v>22018</v>
      </c>
      <c r="N26" t="b">
        <v>0</v>
      </c>
      <c r="O26" t="b">
        <v>1</v>
      </c>
      <c r="P26" t="b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1</v>
      </c>
      <c r="Z26" t="b">
        <v>1</v>
      </c>
      <c r="AA26" t="b">
        <v>1</v>
      </c>
      <c r="AB26" t="b">
        <v>0</v>
      </c>
      <c r="AC26" t="s">
        <v>2860</v>
      </c>
      <c r="AD26" t="b">
        <v>1</v>
      </c>
      <c r="AE26" t="b">
        <v>0</v>
      </c>
      <c r="AF26" t="b">
        <v>0</v>
      </c>
      <c r="AG26" t="b">
        <v>1</v>
      </c>
      <c r="AH26" t="b">
        <v>0</v>
      </c>
      <c r="AI26">
        <v>5</v>
      </c>
      <c r="AJ26" t="s">
        <v>2862</v>
      </c>
      <c r="AK26" t="s">
        <v>2828</v>
      </c>
      <c r="AL26">
        <v>1</v>
      </c>
      <c r="AM26" t="b">
        <v>0</v>
      </c>
      <c r="AN26" t="b">
        <v>0</v>
      </c>
      <c r="AO26" t="b">
        <v>1</v>
      </c>
      <c r="AP26">
        <f>IF(ISNUMBER(tblPeople[[#This Row],[dob]]),DATEDIF(tblPeople[[#This Row],[dob]],RunDate,"y"),"")</f>
        <v>0</v>
      </c>
      <c r="AQ26">
        <f>COUNTIFS(tblReview[person_id],tblPeople[[#This Row],[person_id]],tblReview[status],"OPEN")</f>
        <v>0</v>
      </c>
    </row>
    <row r="27" spans="1:43">
      <c r="A27" s="6" t="s">
        <v>475</v>
      </c>
      <c r="B27" t="s">
        <v>468</v>
      </c>
      <c r="C27" t="s">
        <v>163</v>
      </c>
      <c r="D27" t="s">
        <v>469</v>
      </c>
      <c r="F27" t="s">
        <v>470</v>
      </c>
      <c r="H27" t="s">
        <v>471</v>
      </c>
      <c r="I27" t="s">
        <v>38</v>
      </c>
      <c r="J27" s="6" t="s">
        <v>472</v>
      </c>
      <c r="K27" t="s">
        <v>148</v>
      </c>
      <c r="L27" t="s">
        <v>149</v>
      </c>
      <c r="M27" s="3">
        <v>35923</v>
      </c>
      <c r="N27" t="b">
        <v>0</v>
      </c>
      <c r="O27" t="b">
        <v>1</v>
      </c>
      <c r="P27" t="b">
        <v>0</v>
      </c>
      <c r="Q27" t="b">
        <v>0</v>
      </c>
      <c r="R27" t="b">
        <v>0</v>
      </c>
      <c r="S27" t="b">
        <v>0</v>
      </c>
      <c r="T27" t="b">
        <v>1</v>
      </c>
      <c r="U27" t="b">
        <v>0</v>
      </c>
      <c r="V27" t="b">
        <v>0</v>
      </c>
      <c r="W27" t="b">
        <v>0</v>
      </c>
      <c r="X27" t="b">
        <v>0</v>
      </c>
      <c r="Y27" t="b">
        <v>1</v>
      </c>
      <c r="Z27" t="b">
        <v>1</v>
      </c>
      <c r="AA27" t="b">
        <v>1</v>
      </c>
      <c r="AB27" t="b">
        <v>0</v>
      </c>
      <c r="AC27" t="s">
        <v>2863</v>
      </c>
      <c r="AD27" t="b">
        <v>1</v>
      </c>
      <c r="AE27" t="b">
        <v>1</v>
      </c>
      <c r="AF27" t="b">
        <v>0</v>
      </c>
      <c r="AG27" t="b">
        <v>1</v>
      </c>
      <c r="AH27" t="b">
        <v>0</v>
      </c>
      <c r="AI27">
        <v>7</v>
      </c>
      <c r="AJ27" t="s">
        <v>2864</v>
      </c>
      <c r="AK27" t="s">
        <v>2828</v>
      </c>
      <c r="AL27">
        <v>1</v>
      </c>
      <c r="AM27" t="b">
        <v>0</v>
      </c>
      <c r="AN27" t="b">
        <v>1</v>
      </c>
      <c r="AO27" t="b">
        <v>1</v>
      </c>
      <c r="AP27">
        <f>IF(ISNUMBER(tblPeople[[#This Row],[dob]]),DATEDIF(tblPeople[[#This Row],[dob]],RunDate,"y"),"")</f>
        <v>0</v>
      </c>
      <c r="AQ27">
        <f>COUNTIFS(tblReview[person_id],tblPeople[[#This Row],[person_id]],tblReview[status],"OPEN")</f>
        <v>0</v>
      </c>
    </row>
    <row r="28" spans="1:43">
      <c r="A28" s="6" t="s">
        <v>485</v>
      </c>
      <c r="B28" t="s">
        <v>479</v>
      </c>
      <c r="D28" t="s">
        <v>423</v>
      </c>
      <c r="F28" t="s">
        <v>480</v>
      </c>
      <c r="H28" t="s">
        <v>481</v>
      </c>
      <c r="I28" t="s">
        <v>39</v>
      </c>
      <c r="J28" s="6" t="s">
        <v>482</v>
      </c>
      <c r="K28" t="s">
        <v>148</v>
      </c>
      <c r="L28" t="s">
        <v>149</v>
      </c>
      <c r="M28" s="3">
        <v>26352</v>
      </c>
      <c r="N28" t="b">
        <v>0</v>
      </c>
      <c r="O28" t="b">
        <v>1</v>
      </c>
      <c r="P28" t="b">
        <v>0</v>
      </c>
      <c r="Q28" t="b">
        <v>0</v>
      </c>
      <c r="R28" t="b">
        <v>0</v>
      </c>
      <c r="S28" t="b">
        <v>1</v>
      </c>
      <c r="T28" t="b">
        <v>1</v>
      </c>
      <c r="U28" t="b">
        <v>1</v>
      </c>
      <c r="V28" t="b">
        <v>0</v>
      </c>
      <c r="W28" t="b">
        <v>0</v>
      </c>
      <c r="X28" t="b">
        <v>0</v>
      </c>
      <c r="Y28" t="b">
        <v>1</v>
      </c>
      <c r="Z28" t="b">
        <v>1</v>
      </c>
      <c r="AA28" t="b">
        <v>1</v>
      </c>
      <c r="AB28" t="b">
        <v>0</v>
      </c>
      <c r="AC28" t="s">
        <v>2846</v>
      </c>
      <c r="AD28" t="b">
        <v>1</v>
      </c>
      <c r="AE28" t="b">
        <v>1</v>
      </c>
      <c r="AF28" t="b">
        <v>1</v>
      </c>
      <c r="AG28" t="b">
        <v>1</v>
      </c>
      <c r="AH28" t="b">
        <v>0</v>
      </c>
      <c r="AI28">
        <v>8</v>
      </c>
      <c r="AJ28" t="s">
        <v>2865</v>
      </c>
      <c r="AK28" t="s">
        <v>2828</v>
      </c>
      <c r="AL28">
        <v>1</v>
      </c>
      <c r="AM28" t="b">
        <v>0</v>
      </c>
      <c r="AN28" t="b">
        <v>0</v>
      </c>
      <c r="AO28" t="b">
        <v>1</v>
      </c>
      <c r="AP28">
        <f>IF(ISNUMBER(tblPeople[[#This Row],[dob]]),DATEDIF(tblPeople[[#This Row],[dob]],RunDate,"y"),"")</f>
        <v>0</v>
      </c>
      <c r="AQ28">
        <f>COUNTIFS(tblReview[person_id],tblPeople[[#This Row],[person_id]],tblReview[status],"OPEN")</f>
        <v>0</v>
      </c>
    </row>
    <row r="29" spans="1:43">
      <c r="A29" s="6" t="s">
        <v>505</v>
      </c>
      <c r="B29" t="s">
        <v>496</v>
      </c>
      <c r="C29" t="s">
        <v>324</v>
      </c>
      <c r="D29" t="s">
        <v>497</v>
      </c>
      <c r="F29" t="s">
        <v>498</v>
      </c>
      <c r="H29" t="s">
        <v>499</v>
      </c>
      <c r="I29" t="s">
        <v>35</v>
      </c>
      <c r="J29" s="6" t="s">
        <v>500</v>
      </c>
      <c r="K29" t="s">
        <v>148</v>
      </c>
      <c r="L29" t="s">
        <v>149</v>
      </c>
      <c r="M29" s="3">
        <v>25641</v>
      </c>
      <c r="N29" t="b">
        <v>0</v>
      </c>
      <c r="O29" t="b">
        <v>1</v>
      </c>
      <c r="P29" t="b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1</v>
      </c>
      <c r="Z29" t="b">
        <v>1</v>
      </c>
      <c r="AA29" t="b">
        <v>1</v>
      </c>
      <c r="AB29" t="b">
        <v>0</v>
      </c>
      <c r="AC29" t="s">
        <v>2860</v>
      </c>
      <c r="AD29" t="b">
        <v>1</v>
      </c>
      <c r="AE29" t="b">
        <v>0</v>
      </c>
      <c r="AF29" t="b">
        <v>0</v>
      </c>
      <c r="AG29" t="b">
        <v>1</v>
      </c>
      <c r="AH29" t="b">
        <v>0</v>
      </c>
      <c r="AI29">
        <v>5</v>
      </c>
      <c r="AJ29" t="s">
        <v>2866</v>
      </c>
      <c r="AK29" t="s">
        <v>491</v>
      </c>
      <c r="AL29">
        <v>1</v>
      </c>
      <c r="AM29" t="b">
        <v>0</v>
      </c>
      <c r="AN29" t="b">
        <v>0</v>
      </c>
      <c r="AO29" t="b">
        <v>1</v>
      </c>
      <c r="AP29">
        <f>IF(ISNUMBER(tblPeople[[#This Row],[dob]]),DATEDIF(tblPeople[[#This Row],[dob]],RunDate,"y"),"")</f>
        <v>0</v>
      </c>
      <c r="AQ29">
        <f>COUNTIFS(tblReview[person_id],tblPeople[[#This Row],[person_id]],tblReview[status],"OPEN")</f>
        <v>0</v>
      </c>
    </row>
    <row r="30" spans="1:43">
      <c r="A30" s="6" t="s">
        <v>514</v>
      </c>
      <c r="B30" t="s">
        <v>507</v>
      </c>
      <c r="C30" t="s">
        <v>1180</v>
      </c>
      <c r="D30" t="s">
        <v>508</v>
      </c>
      <c r="F30" t="s">
        <v>509</v>
      </c>
      <c r="H30" t="s">
        <v>510</v>
      </c>
      <c r="I30" t="s">
        <v>37</v>
      </c>
      <c r="J30" s="6" t="s">
        <v>511</v>
      </c>
      <c r="K30" t="s">
        <v>148</v>
      </c>
      <c r="L30" t="s">
        <v>149</v>
      </c>
      <c r="M30" s="3">
        <v>37605</v>
      </c>
      <c r="N30" t="b">
        <v>0</v>
      </c>
      <c r="O30" t="b">
        <v>1</v>
      </c>
      <c r="P30" t="b">
        <v>0</v>
      </c>
      <c r="Q30" t="b">
        <v>0</v>
      </c>
      <c r="R30" t="b">
        <v>0</v>
      </c>
      <c r="S30" t="b">
        <v>0</v>
      </c>
      <c r="T30" t="b">
        <v>0</v>
      </c>
      <c r="U30" t="b">
        <v>1</v>
      </c>
      <c r="V30" t="b">
        <v>0</v>
      </c>
      <c r="W30" t="b">
        <v>0</v>
      </c>
      <c r="X30" t="b">
        <v>0</v>
      </c>
      <c r="Y30" t="b">
        <v>1</v>
      </c>
      <c r="Z30" t="b">
        <v>1</v>
      </c>
      <c r="AA30" t="b">
        <v>1</v>
      </c>
      <c r="AB30" t="b">
        <v>0</v>
      </c>
      <c r="AC30" t="s">
        <v>2826</v>
      </c>
      <c r="AD30" t="b">
        <v>1</v>
      </c>
      <c r="AE30" t="b">
        <v>0</v>
      </c>
      <c r="AF30" t="b">
        <v>1</v>
      </c>
      <c r="AG30" t="b">
        <v>1</v>
      </c>
      <c r="AH30" t="b">
        <v>0</v>
      </c>
      <c r="AI30">
        <v>5</v>
      </c>
      <c r="AJ30" t="s">
        <v>2867</v>
      </c>
      <c r="AK30" t="s">
        <v>491</v>
      </c>
      <c r="AL30">
        <v>1</v>
      </c>
      <c r="AM30" t="b">
        <v>0</v>
      </c>
      <c r="AN30" t="b">
        <v>1</v>
      </c>
      <c r="AO30" t="b">
        <v>1</v>
      </c>
      <c r="AP30">
        <f>IF(ISNUMBER(tblPeople[[#This Row],[dob]]),DATEDIF(tblPeople[[#This Row],[dob]],RunDate,"y"),"")</f>
        <v>0</v>
      </c>
      <c r="AQ30">
        <f>COUNTIFS(tblReview[person_id],tblPeople[[#This Row],[person_id]],tblReview[status],"OPEN")</f>
        <v>0</v>
      </c>
    </row>
    <row r="31" spans="1:43">
      <c r="A31" s="6" t="s">
        <v>518</v>
      </c>
      <c r="B31" t="s">
        <v>517</v>
      </c>
      <c r="D31" t="s">
        <v>508</v>
      </c>
      <c r="F31" t="s">
        <v>509</v>
      </c>
      <c r="H31" t="s">
        <v>510</v>
      </c>
      <c r="I31" t="s">
        <v>37</v>
      </c>
      <c r="J31" s="6" t="s">
        <v>511</v>
      </c>
      <c r="K31" t="s">
        <v>148</v>
      </c>
      <c r="L31" t="s">
        <v>149</v>
      </c>
      <c r="M31" s="3">
        <v>40612</v>
      </c>
      <c r="N31" t="b">
        <v>1</v>
      </c>
      <c r="O31" t="b">
        <v>1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1</v>
      </c>
      <c r="V31" t="b">
        <v>0</v>
      </c>
      <c r="W31" t="b">
        <v>0</v>
      </c>
      <c r="X31" t="b">
        <v>0</v>
      </c>
      <c r="Y31" t="b">
        <v>1</v>
      </c>
      <c r="Z31" t="b">
        <v>0</v>
      </c>
      <c r="AA31" t="b">
        <v>1</v>
      </c>
      <c r="AB31" t="b">
        <v>0</v>
      </c>
      <c r="AC31" t="s">
        <v>2826</v>
      </c>
      <c r="AD31" t="b">
        <v>1</v>
      </c>
      <c r="AE31" t="b">
        <v>0</v>
      </c>
      <c r="AF31" t="b">
        <v>1</v>
      </c>
      <c r="AG31" t="b">
        <v>1</v>
      </c>
      <c r="AH31" t="b">
        <v>0</v>
      </c>
      <c r="AI31">
        <v>2</v>
      </c>
      <c r="AJ31" t="s">
        <v>2868</v>
      </c>
      <c r="AK31" t="s">
        <v>491</v>
      </c>
      <c r="AL31">
        <v>1</v>
      </c>
      <c r="AM31" t="b">
        <v>0</v>
      </c>
      <c r="AN31" t="b">
        <v>1</v>
      </c>
      <c r="AO31" t="b">
        <v>1</v>
      </c>
      <c r="AP31">
        <f>IF(ISNUMBER(tblPeople[[#This Row],[dob]]),DATEDIF(tblPeople[[#This Row],[dob]],RunDate,"y"),"")</f>
        <v>0</v>
      </c>
      <c r="AQ31">
        <f>COUNTIFS(tblReview[person_id],tblPeople[[#This Row],[person_id]],tblReview[status],"OPEN")</f>
        <v>0</v>
      </c>
    </row>
    <row r="32" spans="1:43">
      <c r="A32" s="6" t="s">
        <v>521</v>
      </c>
      <c r="B32" t="s">
        <v>520</v>
      </c>
      <c r="C32" t="s">
        <v>163</v>
      </c>
      <c r="D32" t="s">
        <v>508</v>
      </c>
      <c r="F32" t="s">
        <v>509</v>
      </c>
      <c r="H32" t="s">
        <v>510</v>
      </c>
      <c r="I32" t="s">
        <v>37</v>
      </c>
      <c r="J32" s="6" t="s">
        <v>511</v>
      </c>
      <c r="K32" t="s">
        <v>148</v>
      </c>
      <c r="L32" t="s">
        <v>149</v>
      </c>
      <c r="M32" s="3">
        <v>41814</v>
      </c>
      <c r="N32" t="b">
        <v>1</v>
      </c>
      <c r="O32" t="b">
        <v>1</v>
      </c>
      <c r="P32" t="b">
        <v>0</v>
      </c>
      <c r="Q32" t="b">
        <v>0</v>
      </c>
      <c r="R32" t="b">
        <v>0</v>
      </c>
      <c r="S32" t="b">
        <v>0</v>
      </c>
      <c r="T32" t="b">
        <v>0</v>
      </c>
      <c r="U32" t="b">
        <v>1</v>
      </c>
      <c r="V32" t="b">
        <v>0</v>
      </c>
      <c r="W32" t="b">
        <v>0</v>
      </c>
      <c r="X32" t="b">
        <v>0</v>
      </c>
      <c r="Y32" t="b">
        <v>1</v>
      </c>
      <c r="Z32" t="b">
        <v>0</v>
      </c>
      <c r="AA32" t="b">
        <v>1</v>
      </c>
      <c r="AB32" t="b">
        <v>0</v>
      </c>
      <c r="AC32" t="s">
        <v>2826</v>
      </c>
      <c r="AD32" t="b">
        <v>1</v>
      </c>
      <c r="AE32" t="b">
        <v>0</v>
      </c>
      <c r="AF32" t="b">
        <v>1</v>
      </c>
      <c r="AG32" t="b">
        <v>1</v>
      </c>
      <c r="AH32" t="b">
        <v>0</v>
      </c>
      <c r="AI32">
        <v>2</v>
      </c>
      <c r="AJ32" t="s">
        <v>2868</v>
      </c>
      <c r="AK32" t="s">
        <v>491</v>
      </c>
      <c r="AL32">
        <v>1</v>
      </c>
      <c r="AM32" t="b">
        <v>0</v>
      </c>
      <c r="AN32" t="b">
        <v>0</v>
      </c>
      <c r="AO32" t="b">
        <v>1</v>
      </c>
      <c r="AP32">
        <f>IF(ISNUMBER(tblPeople[[#This Row],[dob]]),DATEDIF(tblPeople[[#This Row],[dob]],RunDate,"y"),"")</f>
        <v>0</v>
      </c>
      <c r="AQ32">
        <f>COUNTIFS(tblReview[person_id],tblPeople[[#This Row],[person_id]],tblReview[status],"OPEN")</f>
        <v>0</v>
      </c>
    </row>
    <row r="33" spans="1:43">
      <c r="A33" s="6" t="s">
        <v>529</v>
      </c>
      <c r="B33" t="s">
        <v>444</v>
      </c>
      <c r="D33" t="s">
        <v>523</v>
      </c>
      <c r="F33" t="s">
        <v>524</v>
      </c>
      <c r="H33" t="s">
        <v>525</v>
      </c>
      <c r="I33" t="s">
        <v>34</v>
      </c>
      <c r="J33" s="6" t="s">
        <v>526</v>
      </c>
      <c r="K33" t="s">
        <v>148</v>
      </c>
      <c r="L33" t="s">
        <v>149</v>
      </c>
      <c r="M33" s="3">
        <v>30399</v>
      </c>
      <c r="N33" t="b">
        <v>0</v>
      </c>
      <c r="O33" t="b">
        <v>1</v>
      </c>
      <c r="P33" t="b">
        <v>0</v>
      </c>
      <c r="Q33" t="b">
        <v>0</v>
      </c>
      <c r="R33" t="b">
        <v>0</v>
      </c>
      <c r="S33" t="b">
        <v>0</v>
      </c>
      <c r="T33" t="b">
        <v>1</v>
      </c>
      <c r="U33" t="b">
        <v>0</v>
      </c>
      <c r="V33" t="b">
        <v>0</v>
      </c>
      <c r="W33" t="b">
        <v>0</v>
      </c>
      <c r="X33" t="b">
        <v>0</v>
      </c>
      <c r="Y33" t="b">
        <v>1</v>
      </c>
      <c r="Z33" t="b">
        <v>1</v>
      </c>
      <c r="AA33" t="b">
        <v>1</v>
      </c>
      <c r="AB33" t="b">
        <v>0</v>
      </c>
      <c r="AC33" t="s">
        <v>2863</v>
      </c>
      <c r="AD33" t="b">
        <v>1</v>
      </c>
      <c r="AE33" t="b">
        <v>1</v>
      </c>
      <c r="AF33" t="b">
        <v>0</v>
      </c>
      <c r="AG33" t="b">
        <v>1</v>
      </c>
      <c r="AH33" t="b">
        <v>0</v>
      </c>
      <c r="AI33">
        <v>6</v>
      </c>
      <c r="AJ33" t="s">
        <v>2869</v>
      </c>
      <c r="AK33" t="s">
        <v>491</v>
      </c>
      <c r="AL33">
        <v>1</v>
      </c>
      <c r="AM33" t="b">
        <v>0</v>
      </c>
      <c r="AN33" t="b">
        <v>0</v>
      </c>
      <c r="AO33" t="b">
        <v>1</v>
      </c>
      <c r="AP33">
        <f>IF(ISNUMBER(tblPeople[[#This Row],[dob]]),DATEDIF(tblPeople[[#This Row],[dob]],RunDate,"y"),"")</f>
        <v>0</v>
      </c>
      <c r="AQ33">
        <f>COUNTIFS(tblReview[person_id],tblPeople[[#This Row],[person_id]],tblReview[status],"OPEN")</f>
        <v>0</v>
      </c>
    </row>
    <row r="34" spans="1:43">
      <c r="A34" s="6" t="s">
        <v>542</v>
      </c>
      <c r="B34" t="s">
        <v>535</v>
      </c>
      <c r="C34" t="s">
        <v>1180</v>
      </c>
      <c r="D34" t="s">
        <v>536</v>
      </c>
      <c r="F34" t="s">
        <v>537</v>
      </c>
      <c r="H34" t="s">
        <v>538</v>
      </c>
      <c r="I34" t="s">
        <v>40</v>
      </c>
      <c r="J34" s="6" t="s">
        <v>539</v>
      </c>
      <c r="K34" t="s">
        <v>148</v>
      </c>
      <c r="L34" t="s">
        <v>205</v>
      </c>
      <c r="M34" s="3">
        <v>34510</v>
      </c>
      <c r="N34" t="b">
        <v>0</v>
      </c>
      <c r="O34" t="b">
        <v>1</v>
      </c>
      <c r="P34" t="b">
        <v>0</v>
      </c>
      <c r="Q34" t="b">
        <v>0</v>
      </c>
      <c r="R34" t="b">
        <v>0</v>
      </c>
      <c r="S34" t="b">
        <v>0</v>
      </c>
      <c r="T34" t="b">
        <v>0</v>
      </c>
      <c r="U34" t="b">
        <v>1</v>
      </c>
      <c r="V34" t="b">
        <v>0</v>
      </c>
      <c r="W34" t="b">
        <v>0</v>
      </c>
      <c r="X34" t="b">
        <v>0</v>
      </c>
      <c r="Y34" t="b">
        <v>1</v>
      </c>
      <c r="Z34" t="b">
        <v>1</v>
      </c>
      <c r="AA34" t="b">
        <v>1</v>
      </c>
      <c r="AB34" t="b">
        <v>0</v>
      </c>
      <c r="AC34" t="s">
        <v>2826</v>
      </c>
      <c r="AD34" t="b">
        <v>1</v>
      </c>
      <c r="AE34" t="b">
        <v>0</v>
      </c>
      <c r="AF34" t="b">
        <v>1</v>
      </c>
      <c r="AG34" t="b">
        <v>1</v>
      </c>
      <c r="AH34" t="b">
        <v>0</v>
      </c>
      <c r="AI34">
        <v>6</v>
      </c>
      <c r="AJ34" t="s">
        <v>2870</v>
      </c>
      <c r="AK34" t="s">
        <v>491</v>
      </c>
      <c r="AL34">
        <v>1</v>
      </c>
      <c r="AM34" t="b">
        <v>0</v>
      </c>
      <c r="AN34" t="b">
        <v>0</v>
      </c>
      <c r="AO34" t="b">
        <v>1</v>
      </c>
      <c r="AP34">
        <f>IF(ISNUMBER(tblPeople[[#This Row],[dob]]),DATEDIF(tblPeople[[#This Row],[dob]],RunDate,"y"),"")</f>
        <v>0</v>
      </c>
      <c r="AQ34">
        <f>COUNTIFS(tblReview[person_id],tblPeople[[#This Row],[person_id]],tblReview[status],"OPEN")</f>
        <v>0</v>
      </c>
    </row>
    <row r="35" spans="1:43">
      <c r="A35" s="6" t="s">
        <v>553</v>
      </c>
      <c r="B35" t="s">
        <v>546</v>
      </c>
      <c r="C35" t="s">
        <v>1173</v>
      </c>
      <c r="D35" t="s">
        <v>547</v>
      </c>
      <c r="F35" t="s">
        <v>548</v>
      </c>
      <c r="H35" t="s">
        <v>549</v>
      </c>
      <c r="I35" t="s">
        <v>33</v>
      </c>
      <c r="J35" s="6" t="s">
        <v>550</v>
      </c>
      <c r="K35" t="s">
        <v>148</v>
      </c>
      <c r="L35" t="s">
        <v>149</v>
      </c>
      <c r="M35" s="3">
        <v>25307</v>
      </c>
      <c r="N35" t="b">
        <v>0</v>
      </c>
      <c r="O35" t="b">
        <v>1</v>
      </c>
      <c r="P35" t="b">
        <v>0</v>
      </c>
      <c r="Q35" t="b">
        <v>0</v>
      </c>
      <c r="R35" t="b">
        <v>0</v>
      </c>
      <c r="S35" t="b">
        <v>1</v>
      </c>
      <c r="T35" t="b">
        <v>0</v>
      </c>
      <c r="U35" t="b">
        <v>0</v>
      </c>
      <c r="V35" t="b">
        <v>0</v>
      </c>
      <c r="W35" t="b">
        <v>0</v>
      </c>
      <c r="X35" t="b">
        <v>0</v>
      </c>
      <c r="Y35" t="b">
        <v>1</v>
      </c>
      <c r="Z35" t="b">
        <v>1</v>
      </c>
      <c r="AA35" t="b">
        <v>1</v>
      </c>
      <c r="AB35" t="b">
        <v>0</v>
      </c>
      <c r="AC35" t="s">
        <v>2871</v>
      </c>
      <c r="AD35" t="b">
        <v>1</v>
      </c>
      <c r="AE35" t="b">
        <v>1</v>
      </c>
      <c r="AF35" t="b">
        <v>0</v>
      </c>
      <c r="AG35" t="b">
        <v>1</v>
      </c>
      <c r="AH35" t="b">
        <v>0</v>
      </c>
      <c r="AI35">
        <v>4</v>
      </c>
      <c r="AJ35" t="s">
        <v>2872</v>
      </c>
      <c r="AK35" t="s">
        <v>491</v>
      </c>
      <c r="AL35">
        <v>1</v>
      </c>
      <c r="AM35" t="b">
        <v>0</v>
      </c>
      <c r="AN35" t="b">
        <v>1</v>
      </c>
      <c r="AO35" t="b">
        <v>1</v>
      </c>
      <c r="AP35">
        <f>IF(ISNUMBER(tblPeople[[#This Row],[dob]]),DATEDIF(tblPeople[[#This Row],[dob]],RunDate,"y"),"")</f>
        <v>0</v>
      </c>
      <c r="AQ35">
        <f>COUNTIFS(tblReview[person_id],tblPeople[[#This Row],[person_id]],tblReview[status],"OPEN")</f>
        <v>0</v>
      </c>
    </row>
    <row r="36" spans="1:43">
      <c r="A36" s="6" t="s">
        <v>560</v>
      </c>
      <c r="B36" t="s">
        <v>559</v>
      </c>
      <c r="D36" t="s">
        <v>315</v>
      </c>
      <c r="F36" t="s">
        <v>316</v>
      </c>
      <c r="H36" t="s">
        <v>317</v>
      </c>
      <c r="I36" t="s">
        <v>34</v>
      </c>
      <c r="J36" s="6" t="s">
        <v>318</v>
      </c>
      <c r="K36" t="s">
        <v>148</v>
      </c>
      <c r="L36" t="s">
        <v>149</v>
      </c>
      <c r="M36" s="3">
        <v>41333</v>
      </c>
      <c r="N36" t="b">
        <v>1</v>
      </c>
      <c r="O36" t="b">
        <v>1</v>
      </c>
      <c r="P36" t="b">
        <v>0</v>
      </c>
      <c r="Q36" t="b">
        <v>0</v>
      </c>
      <c r="R36" t="b">
        <v>0</v>
      </c>
      <c r="S36" t="b">
        <v>0</v>
      </c>
      <c r="T36" t="b">
        <v>0</v>
      </c>
      <c r="U36" t="b">
        <v>1</v>
      </c>
      <c r="V36" t="b">
        <v>0</v>
      </c>
      <c r="W36" t="b">
        <v>0</v>
      </c>
      <c r="X36" t="b">
        <v>0</v>
      </c>
      <c r="Y36" t="b">
        <v>1</v>
      </c>
      <c r="Z36" t="b">
        <v>0</v>
      </c>
      <c r="AA36" t="b">
        <v>1</v>
      </c>
      <c r="AB36" t="b">
        <v>0</v>
      </c>
      <c r="AC36" t="s">
        <v>2826</v>
      </c>
      <c r="AD36" t="b">
        <v>1</v>
      </c>
      <c r="AE36" t="b">
        <v>0</v>
      </c>
      <c r="AF36" t="b">
        <v>1</v>
      </c>
      <c r="AG36" t="b">
        <v>1</v>
      </c>
      <c r="AH36" t="b">
        <v>0</v>
      </c>
      <c r="AI36">
        <v>2</v>
      </c>
      <c r="AJ36" t="s">
        <v>2868</v>
      </c>
      <c r="AK36" t="s">
        <v>491</v>
      </c>
      <c r="AL36">
        <v>1</v>
      </c>
      <c r="AM36" t="b">
        <v>0</v>
      </c>
      <c r="AN36" t="b">
        <v>1</v>
      </c>
      <c r="AO36" t="b">
        <v>1</v>
      </c>
      <c r="AP36">
        <f>IF(ISNUMBER(tblPeople[[#This Row],[dob]]),DATEDIF(tblPeople[[#This Row],[dob]],RunDate,"y"),"")</f>
        <v>0</v>
      </c>
      <c r="AQ36">
        <f>COUNTIFS(tblReview[person_id],tblPeople[[#This Row],[person_id]],tblReview[status],"OPEN")</f>
        <v>0</v>
      </c>
    </row>
    <row r="37" spans="1:43">
      <c r="A37" s="6" t="s">
        <v>569</v>
      </c>
      <c r="B37" t="s">
        <v>562</v>
      </c>
      <c r="D37" t="s">
        <v>563</v>
      </c>
      <c r="F37" t="s">
        <v>564</v>
      </c>
      <c r="H37" t="s">
        <v>565</v>
      </c>
      <c r="I37" t="s">
        <v>37</v>
      </c>
      <c r="J37" s="6" t="s">
        <v>566</v>
      </c>
      <c r="K37" t="s">
        <v>148</v>
      </c>
      <c r="L37" t="s">
        <v>149</v>
      </c>
      <c r="M37" s="3">
        <v>33194</v>
      </c>
      <c r="N37" t="b">
        <v>0</v>
      </c>
      <c r="O37" t="b">
        <v>1</v>
      </c>
      <c r="P37" t="b">
        <v>0</v>
      </c>
      <c r="Q37" t="b">
        <v>0</v>
      </c>
      <c r="R37" t="b">
        <v>0</v>
      </c>
      <c r="S37" t="b">
        <v>0</v>
      </c>
      <c r="T37" t="b">
        <v>0</v>
      </c>
      <c r="U37" t="b">
        <v>0</v>
      </c>
      <c r="V37" t="b">
        <v>0</v>
      </c>
      <c r="W37" t="b">
        <v>0</v>
      </c>
      <c r="X37" t="b">
        <v>0</v>
      </c>
      <c r="Y37" t="b">
        <v>1</v>
      </c>
      <c r="Z37" t="b">
        <v>1</v>
      </c>
      <c r="AA37" t="b">
        <v>1</v>
      </c>
      <c r="AB37" t="b">
        <v>0</v>
      </c>
      <c r="AC37" t="s">
        <v>2860</v>
      </c>
      <c r="AD37" t="b">
        <v>1</v>
      </c>
      <c r="AE37" t="b">
        <v>0</v>
      </c>
      <c r="AF37" t="b">
        <v>0</v>
      </c>
      <c r="AG37" t="b">
        <v>1</v>
      </c>
      <c r="AH37" t="b">
        <v>0</v>
      </c>
      <c r="AI37">
        <v>1</v>
      </c>
      <c r="AJ37" t="s">
        <v>493</v>
      </c>
      <c r="AK37" t="s">
        <v>491</v>
      </c>
      <c r="AL37">
        <v>1</v>
      </c>
      <c r="AM37" t="b">
        <v>0</v>
      </c>
      <c r="AN37" t="b">
        <v>0</v>
      </c>
      <c r="AO37" t="b">
        <v>1</v>
      </c>
      <c r="AP37">
        <f>IF(ISNUMBER(tblPeople[[#This Row],[dob]]),DATEDIF(tblPeople[[#This Row],[dob]],RunDate,"y"),"")</f>
        <v>0</v>
      </c>
      <c r="AQ37">
        <f>COUNTIFS(tblReview[person_id],tblPeople[[#This Row],[person_id]],tblReview[status],"OPEN")</f>
        <v>0</v>
      </c>
    </row>
    <row r="38" spans="1:43">
      <c r="A38" s="6" t="s">
        <v>580</v>
      </c>
      <c r="B38" t="s">
        <v>468</v>
      </c>
      <c r="D38" t="s">
        <v>577</v>
      </c>
      <c r="F38" t="s">
        <v>373</v>
      </c>
      <c r="H38" t="s">
        <v>375</v>
      </c>
      <c r="I38" t="s">
        <v>33</v>
      </c>
      <c r="J38" s="6" t="s">
        <v>376</v>
      </c>
      <c r="K38" t="s">
        <v>148</v>
      </c>
      <c r="L38" t="s">
        <v>149</v>
      </c>
      <c r="M38" s="3">
        <v>27744</v>
      </c>
      <c r="N38" t="b">
        <v>0</v>
      </c>
      <c r="O38" t="b">
        <v>1</v>
      </c>
      <c r="P38" t="b">
        <v>0</v>
      </c>
      <c r="Q38" t="b">
        <v>0</v>
      </c>
      <c r="R38" t="b">
        <v>0</v>
      </c>
      <c r="S38" t="b">
        <v>0</v>
      </c>
      <c r="T38" t="b">
        <v>0</v>
      </c>
      <c r="U38" t="b">
        <v>0</v>
      </c>
      <c r="V38" t="b">
        <v>0</v>
      </c>
      <c r="W38" t="b">
        <v>0</v>
      </c>
      <c r="X38" t="b">
        <v>0</v>
      </c>
      <c r="Y38" t="b">
        <v>1</v>
      </c>
      <c r="Z38" t="b">
        <v>1</v>
      </c>
      <c r="AA38" t="b">
        <v>1</v>
      </c>
      <c r="AB38" t="b">
        <v>0</v>
      </c>
      <c r="AC38" t="s">
        <v>2860</v>
      </c>
      <c r="AD38" t="b">
        <v>1</v>
      </c>
      <c r="AE38" t="b">
        <v>0</v>
      </c>
      <c r="AF38" t="b">
        <v>0</v>
      </c>
      <c r="AG38" t="b">
        <v>1</v>
      </c>
      <c r="AH38" t="b">
        <v>0</v>
      </c>
      <c r="AI38">
        <v>1</v>
      </c>
      <c r="AJ38" t="s">
        <v>493</v>
      </c>
      <c r="AK38" t="s">
        <v>491</v>
      </c>
      <c r="AL38">
        <v>1</v>
      </c>
      <c r="AM38" t="b">
        <v>0</v>
      </c>
      <c r="AN38" t="b">
        <v>0</v>
      </c>
      <c r="AO38" t="b">
        <v>1</v>
      </c>
      <c r="AP38">
        <f>IF(ISNUMBER(tblPeople[[#This Row],[dob]]),DATEDIF(tblPeople[[#This Row],[dob]],RunDate,"y"),"")</f>
        <v>0</v>
      </c>
      <c r="AQ38">
        <f>COUNTIFS(tblReview[person_id],tblPeople[[#This Row],[person_id]],tblReview[status],"OPEN")</f>
        <v>0</v>
      </c>
    </row>
    <row r="39" spans="1:43">
      <c r="A39" s="6" t="s">
        <v>586</v>
      </c>
      <c r="B39" t="s">
        <v>585</v>
      </c>
      <c r="D39" t="s">
        <v>248</v>
      </c>
      <c r="F39" t="s">
        <v>250</v>
      </c>
      <c r="H39" t="s">
        <v>251</v>
      </c>
      <c r="I39" t="s">
        <v>39</v>
      </c>
      <c r="J39" s="6" t="s">
        <v>252</v>
      </c>
      <c r="K39" t="s">
        <v>148</v>
      </c>
      <c r="L39" t="s">
        <v>149</v>
      </c>
      <c r="M39" s="3">
        <v>29069</v>
      </c>
      <c r="N39" t="b">
        <v>0</v>
      </c>
      <c r="O39" t="b">
        <v>1</v>
      </c>
      <c r="P39" t="b">
        <v>0</v>
      </c>
      <c r="Q39" t="b">
        <v>0</v>
      </c>
      <c r="R39" t="b">
        <v>0</v>
      </c>
      <c r="S39" t="b">
        <v>0</v>
      </c>
      <c r="T39" t="b">
        <v>0</v>
      </c>
      <c r="U39" t="b">
        <v>1</v>
      </c>
      <c r="V39" t="b">
        <v>0</v>
      </c>
      <c r="W39" t="b">
        <v>0</v>
      </c>
      <c r="X39" t="b">
        <v>0</v>
      </c>
      <c r="Y39" t="b">
        <v>1</v>
      </c>
      <c r="Z39" t="b">
        <v>0</v>
      </c>
      <c r="AA39" t="b">
        <v>1</v>
      </c>
      <c r="AB39" t="b">
        <v>0</v>
      </c>
      <c r="AC39" t="s">
        <v>2826</v>
      </c>
      <c r="AD39" t="b">
        <v>1</v>
      </c>
      <c r="AE39" t="b">
        <v>0</v>
      </c>
      <c r="AF39" t="b">
        <v>1</v>
      </c>
      <c r="AG39" t="b">
        <v>1</v>
      </c>
      <c r="AH39" t="b">
        <v>0</v>
      </c>
      <c r="AI39">
        <v>2</v>
      </c>
      <c r="AJ39" t="s">
        <v>2868</v>
      </c>
      <c r="AK39" t="s">
        <v>491</v>
      </c>
      <c r="AL39">
        <v>1</v>
      </c>
      <c r="AM39" t="b">
        <v>0</v>
      </c>
      <c r="AN39" t="b">
        <v>0</v>
      </c>
      <c r="AO39" t="b">
        <v>1</v>
      </c>
      <c r="AP39">
        <f>IF(ISNUMBER(tblPeople[[#This Row],[dob]]),DATEDIF(tblPeople[[#This Row],[dob]],RunDate,"y"),"")</f>
        <v>0</v>
      </c>
      <c r="AQ39">
        <f>COUNTIFS(tblReview[person_id],tblPeople[[#This Row],[person_id]],tblReview[status],"OPEN")</f>
        <v>0</v>
      </c>
    </row>
    <row r="40" spans="1:43">
      <c r="A40" s="6" t="s">
        <v>599</v>
      </c>
      <c r="B40" t="s">
        <v>592</v>
      </c>
      <c r="D40" t="s">
        <v>593</v>
      </c>
      <c r="F40" t="s">
        <v>594</v>
      </c>
      <c r="H40" t="s">
        <v>595</v>
      </c>
      <c r="I40" t="s">
        <v>37</v>
      </c>
      <c r="J40" s="6" t="s">
        <v>596</v>
      </c>
      <c r="K40" t="s">
        <v>148</v>
      </c>
      <c r="L40" t="s">
        <v>205</v>
      </c>
      <c r="M40" s="3">
        <v>37086</v>
      </c>
      <c r="N40" t="b">
        <v>0</v>
      </c>
      <c r="O40" t="b">
        <v>1</v>
      </c>
      <c r="P40" t="b">
        <v>0</v>
      </c>
      <c r="Q40" t="b">
        <v>0</v>
      </c>
      <c r="R40" t="b">
        <v>0</v>
      </c>
      <c r="S40" t="b">
        <v>0</v>
      </c>
      <c r="T40" t="b">
        <v>1</v>
      </c>
      <c r="U40" t="b">
        <v>1</v>
      </c>
      <c r="V40" t="b">
        <v>0</v>
      </c>
      <c r="W40" t="b">
        <v>0</v>
      </c>
      <c r="X40" t="b">
        <v>0</v>
      </c>
      <c r="Y40" t="b">
        <v>1</v>
      </c>
      <c r="Z40" t="b">
        <v>1</v>
      </c>
      <c r="AA40" t="b">
        <v>1</v>
      </c>
      <c r="AB40" t="b">
        <v>0</v>
      </c>
      <c r="AC40" t="s">
        <v>2829</v>
      </c>
      <c r="AD40" t="b">
        <v>1</v>
      </c>
      <c r="AE40" t="b">
        <v>1</v>
      </c>
      <c r="AF40" t="b">
        <v>1</v>
      </c>
      <c r="AG40" t="b">
        <v>1</v>
      </c>
      <c r="AH40" t="b">
        <v>0</v>
      </c>
      <c r="AI40">
        <v>7</v>
      </c>
      <c r="AJ40" t="s">
        <v>2873</v>
      </c>
      <c r="AK40" t="s">
        <v>491</v>
      </c>
      <c r="AL40">
        <v>1</v>
      </c>
      <c r="AM40" t="b">
        <v>0</v>
      </c>
      <c r="AN40" t="b">
        <v>1</v>
      </c>
      <c r="AO40" t="b">
        <v>1</v>
      </c>
      <c r="AP40">
        <f>IF(ISNUMBER(tblPeople[[#This Row],[dob]]),DATEDIF(tblPeople[[#This Row],[dob]],RunDate,"y"),"")</f>
        <v>0</v>
      </c>
      <c r="AQ40">
        <f>COUNTIFS(tblReview[person_id],tblPeople[[#This Row],[person_id]],tblReview[status],"OPEN")</f>
        <v>0</v>
      </c>
    </row>
    <row r="41" spans="1:43">
      <c r="A41" s="6" t="s">
        <v>607</v>
      </c>
      <c r="B41" t="s">
        <v>188</v>
      </c>
      <c r="C41" t="s">
        <v>299</v>
      </c>
      <c r="D41" t="s">
        <v>601</v>
      </c>
      <c r="F41" t="s">
        <v>602</v>
      </c>
      <c r="H41" t="s">
        <v>603</v>
      </c>
      <c r="I41" t="s">
        <v>40</v>
      </c>
      <c r="J41" s="6" t="s">
        <v>604</v>
      </c>
      <c r="K41" t="s">
        <v>148</v>
      </c>
      <c r="L41" t="s">
        <v>149</v>
      </c>
      <c r="M41" s="3">
        <v>27588</v>
      </c>
      <c r="N41" t="b">
        <v>0</v>
      </c>
      <c r="O41" t="b">
        <v>1</v>
      </c>
      <c r="P41" t="b">
        <v>0</v>
      </c>
      <c r="Q41" t="b">
        <v>0</v>
      </c>
      <c r="R41" t="b">
        <v>0</v>
      </c>
      <c r="S41" t="b">
        <v>1</v>
      </c>
      <c r="T41" t="b">
        <v>0</v>
      </c>
      <c r="U41" t="b">
        <v>0</v>
      </c>
      <c r="V41" t="b">
        <v>0</v>
      </c>
      <c r="W41" t="b">
        <v>0</v>
      </c>
      <c r="X41" t="b">
        <v>0</v>
      </c>
      <c r="Y41" t="b">
        <v>1</v>
      </c>
      <c r="Z41" t="b">
        <v>1</v>
      </c>
      <c r="AA41" t="b">
        <v>1</v>
      </c>
      <c r="AB41" t="b">
        <v>0</v>
      </c>
      <c r="AC41" t="s">
        <v>2871</v>
      </c>
      <c r="AD41" t="b">
        <v>1</v>
      </c>
      <c r="AE41" t="b">
        <v>1</v>
      </c>
      <c r="AF41" t="b">
        <v>0</v>
      </c>
      <c r="AG41" t="b">
        <v>1</v>
      </c>
      <c r="AH41" t="b">
        <v>0</v>
      </c>
      <c r="AI41">
        <v>5</v>
      </c>
      <c r="AJ41" t="s">
        <v>2866</v>
      </c>
      <c r="AK41" t="s">
        <v>491</v>
      </c>
      <c r="AL41">
        <v>1</v>
      </c>
      <c r="AM41" t="b">
        <v>0</v>
      </c>
      <c r="AN41" t="b">
        <v>0</v>
      </c>
      <c r="AO41" t="b">
        <v>1</v>
      </c>
      <c r="AP41">
        <f>IF(ISNUMBER(tblPeople[[#This Row],[dob]]),DATEDIF(tblPeople[[#This Row],[dob]],RunDate,"y"),"")</f>
        <v>0</v>
      </c>
      <c r="AQ41">
        <f>COUNTIFS(tblReview[person_id],tblPeople[[#This Row],[person_id]],tblReview[status],"OPEN")</f>
        <v>0</v>
      </c>
    </row>
    <row r="42" spans="1:43">
      <c r="A42" s="6" t="s">
        <v>619</v>
      </c>
      <c r="B42" t="s">
        <v>610</v>
      </c>
      <c r="D42" t="s">
        <v>611</v>
      </c>
      <c r="F42" t="s">
        <v>612</v>
      </c>
      <c r="G42" t="s">
        <v>613</v>
      </c>
      <c r="H42" t="s">
        <v>614</v>
      </c>
      <c r="I42" t="s">
        <v>39</v>
      </c>
      <c r="J42" s="6" t="s">
        <v>615</v>
      </c>
      <c r="K42" t="s">
        <v>148</v>
      </c>
      <c r="L42" t="s">
        <v>205</v>
      </c>
      <c r="M42" s="3">
        <v>28350</v>
      </c>
      <c r="N42" t="b">
        <v>0</v>
      </c>
      <c r="O42" t="b">
        <v>1</v>
      </c>
      <c r="P42" t="b">
        <v>0</v>
      </c>
      <c r="Q42" t="b">
        <v>0</v>
      </c>
      <c r="R42" t="b">
        <v>0</v>
      </c>
      <c r="S42" t="b">
        <v>0</v>
      </c>
      <c r="T42" t="b">
        <v>1</v>
      </c>
      <c r="U42" t="b">
        <v>1</v>
      </c>
      <c r="V42" t="b">
        <v>0</v>
      </c>
      <c r="W42" t="b">
        <v>0</v>
      </c>
      <c r="X42" t="b">
        <v>0</v>
      </c>
      <c r="Y42" t="b">
        <v>1</v>
      </c>
      <c r="Z42" t="b">
        <v>1</v>
      </c>
      <c r="AA42" t="b">
        <v>1</v>
      </c>
      <c r="AB42" t="b">
        <v>0</v>
      </c>
      <c r="AC42" t="s">
        <v>2829</v>
      </c>
      <c r="AD42" t="b">
        <v>1</v>
      </c>
      <c r="AE42" t="b">
        <v>1</v>
      </c>
      <c r="AF42" t="b">
        <v>1</v>
      </c>
      <c r="AG42" t="b">
        <v>1</v>
      </c>
      <c r="AH42" t="b">
        <v>0</v>
      </c>
      <c r="AI42">
        <v>7</v>
      </c>
      <c r="AJ42" t="s">
        <v>2873</v>
      </c>
      <c r="AK42" t="s">
        <v>491</v>
      </c>
      <c r="AL42">
        <v>1</v>
      </c>
      <c r="AM42" t="b">
        <v>0</v>
      </c>
      <c r="AN42" t="b">
        <v>0</v>
      </c>
      <c r="AO42" t="b">
        <v>1</v>
      </c>
      <c r="AP42">
        <f>IF(ISNUMBER(tblPeople[[#This Row],[dob]]),DATEDIF(tblPeople[[#This Row],[dob]],RunDate,"y"),"")</f>
        <v>0</v>
      </c>
      <c r="AQ42">
        <f>COUNTIFS(tblReview[person_id],tblPeople[[#This Row],[person_id]],tblReview[status],"OPEN")</f>
        <v>0</v>
      </c>
    </row>
    <row r="43" spans="1:43">
      <c r="A43" s="6" t="s">
        <v>622</v>
      </c>
      <c r="B43" t="s">
        <v>621</v>
      </c>
      <c r="C43" t="s">
        <v>434</v>
      </c>
      <c r="D43" t="s">
        <v>611</v>
      </c>
      <c r="F43" t="s">
        <v>612</v>
      </c>
      <c r="G43" t="s">
        <v>613</v>
      </c>
      <c r="H43" t="s">
        <v>614</v>
      </c>
      <c r="I43" t="s">
        <v>39</v>
      </c>
      <c r="J43" s="6" t="s">
        <v>615</v>
      </c>
      <c r="K43" t="s">
        <v>148</v>
      </c>
      <c r="L43" t="s">
        <v>205</v>
      </c>
      <c r="M43" s="3">
        <v>38496</v>
      </c>
      <c r="N43" t="b">
        <v>0</v>
      </c>
      <c r="O43" t="b">
        <v>1</v>
      </c>
      <c r="P43" t="b">
        <v>0</v>
      </c>
      <c r="Q43" t="b">
        <v>0</v>
      </c>
      <c r="R43" t="b">
        <v>0</v>
      </c>
      <c r="S43" t="b">
        <v>0</v>
      </c>
      <c r="T43" t="b">
        <v>0</v>
      </c>
      <c r="U43" t="b">
        <v>1</v>
      </c>
      <c r="V43" t="b">
        <v>0</v>
      </c>
      <c r="W43" t="b">
        <v>0</v>
      </c>
      <c r="X43" t="b">
        <v>0</v>
      </c>
      <c r="Y43" t="b">
        <v>1</v>
      </c>
      <c r="Z43" t="b">
        <v>0</v>
      </c>
      <c r="AA43" t="b">
        <v>1</v>
      </c>
      <c r="AB43" t="b">
        <v>0</v>
      </c>
      <c r="AC43" t="s">
        <v>2826</v>
      </c>
      <c r="AD43" t="b">
        <v>1</v>
      </c>
      <c r="AE43" t="b">
        <v>0</v>
      </c>
      <c r="AF43" t="b">
        <v>1</v>
      </c>
      <c r="AG43" t="b">
        <v>1</v>
      </c>
      <c r="AH43" t="b">
        <v>0</v>
      </c>
      <c r="AI43">
        <v>2</v>
      </c>
      <c r="AJ43" t="s">
        <v>2868</v>
      </c>
      <c r="AK43" t="s">
        <v>491</v>
      </c>
      <c r="AL43">
        <v>1</v>
      </c>
      <c r="AM43" t="b">
        <v>0</v>
      </c>
      <c r="AN43" t="b">
        <v>0</v>
      </c>
      <c r="AO43" t="b">
        <v>1</v>
      </c>
      <c r="AP43">
        <f>IF(ISNUMBER(tblPeople[[#This Row],[dob]]),DATEDIF(tblPeople[[#This Row],[dob]],RunDate,"y"),"")</f>
        <v>0</v>
      </c>
      <c r="AQ43">
        <f>COUNTIFS(tblReview[person_id],tblPeople[[#This Row],[person_id]],tblReview[status],"OPEN")</f>
        <v>0</v>
      </c>
    </row>
    <row r="44" spans="1:43">
      <c r="A44" s="6" t="s">
        <v>625</v>
      </c>
      <c r="B44" t="s">
        <v>624</v>
      </c>
      <c r="C44" t="s">
        <v>259</v>
      </c>
      <c r="D44" t="s">
        <v>611</v>
      </c>
      <c r="F44" t="s">
        <v>612</v>
      </c>
      <c r="G44" t="s">
        <v>613</v>
      </c>
      <c r="H44" t="s">
        <v>614</v>
      </c>
      <c r="I44" t="s">
        <v>39</v>
      </c>
      <c r="J44" s="6" t="s">
        <v>615</v>
      </c>
      <c r="K44" t="s">
        <v>148</v>
      </c>
      <c r="L44" t="s">
        <v>205</v>
      </c>
      <c r="M44" s="3">
        <v>38434</v>
      </c>
      <c r="N44" t="b">
        <v>0</v>
      </c>
      <c r="O44" t="b">
        <v>1</v>
      </c>
      <c r="P44" t="b">
        <v>0</v>
      </c>
      <c r="Q44" t="b">
        <v>0</v>
      </c>
      <c r="R44" t="b">
        <v>0</v>
      </c>
      <c r="S44" t="b">
        <v>0</v>
      </c>
      <c r="T44" t="b">
        <v>0</v>
      </c>
      <c r="U44" t="b">
        <v>1</v>
      </c>
      <c r="V44" t="b">
        <v>0</v>
      </c>
      <c r="W44" t="b">
        <v>0</v>
      </c>
      <c r="X44" t="b">
        <v>0</v>
      </c>
      <c r="Y44" t="b">
        <v>1</v>
      </c>
      <c r="Z44" t="b">
        <v>0</v>
      </c>
      <c r="AA44" t="b">
        <v>1</v>
      </c>
      <c r="AB44" t="b">
        <v>0</v>
      </c>
      <c r="AC44" t="s">
        <v>2826</v>
      </c>
      <c r="AD44" t="b">
        <v>1</v>
      </c>
      <c r="AE44" t="b">
        <v>0</v>
      </c>
      <c r="AF44" t="b">
        <v>1</v>
      </c>
      <c r="AG44" t="b">
        <v>1</v>
      </c>
      <c r="AH44" t="b">
        <v>0</v>
      </c>
      <c r="AI44">
        <v>2</v>
      </c>
      <c r="AJ44" t="s">
        <v>2868</v>
      </c>
      <c r="AK44" t="s">
        <v>491</v>
      </c>
      <c r="AL44">
        <v>1</v>
      </c>
      <c r="AM44" t="b">
        <v>0</v>
      </c>
      <c r="AN44" t="b">
        <v>0</v>
      </c>
      <c r="AO44" t="b">
        <v>1</v>
      </c>
      <c r="AP44">
        <f>IF(ISNUMBER(tblPeople[[#This Row],[dob]]),DATEDIF(tblPeople[[#This Row],[dob]],RunDate,"y"),"")</f>
        <v>0</v>
      </c>
      <c r="AQ44">
        <f>COUNTIFS(tblReview[person_id],tblPeople[[#This Row],[person_id]],tblReview[status],"OPEN")</f>
        <v>0</v>
      </c>
    </row>
    <row r="45" spans="1:43">
      <c r="A45" s="6" t="s">
        <v>640</v>
      </c>
      <c r="B45" t="s">
        <v>639</v>
      </c>
      <c r="C45" t="s">
        <v>1200</v>
      </c>
      <c r="D45" t="s">
        <v>268</v>
      </c>
      <c r="F45" t="s">
        <v>269</v>
      </c>
      <c r="H45" t="s">
        <v>636</v>
      </c>
      <c r="I45" t="s">
        <v>33</v>
      </c>
      <c r="J45" s="6" t="s">
        <v>271</v>
      </c>
      <c r="K45" t="s">
        <v>148</v>
      </c>
      <c r="L45" t="s">
        <v>149</v>
      </c>
      <c r="M45" s="3">
        <v>42762</v>
      </c>
      <c r="N45" t="b">
        <v>1</v>
      </c>
      <c r="O45" t="b">
        <v>1</v>
      </c>
      <c r="P45" t="b">
        <v>0</v>
      </c>
      <c r="Q45" t="b">
        <v>0</v>
      </c>
      <c r="R45" t="b">
        <v>0</v>
      </c>
      <c r="S45" t="b">
        <v>0</v>
      </c>
      <c r="T45" t="b">
        <v>0</v>
      </c>
      <c r="U45" t="b">
        <v>1</v>
      </c>
      <c r="V45" t="b">
        <v>0</v>
      </c>
      <c r="W45" t="b">
        <v>0</v>
      </c>
      <c r="X45" t="b">
        <v>0</v>
      </c>
      <c r="Y45" t="b">
        <v>1</v>
      </c>
      <c r="Z45" t="b">
        <v>0</v>
      </c>
      <c r="AA45" t="b">
        <v>1</v>
      </c>
      <c r="AB45" t="b">
        <v>0</v>
      </c>
      <c r="AC45" t="s">
        <v>2826</v>
      </c>
      <c r="AD45" t="b">
        <v>1</v>
      </c>
      <c r="AE45" t="b">
        <v>0</v>
      </c>
      <c r="AF45" t="b">
        <v>1</v>
      </c>
      <c r="AG45" t="b">
        <v>1</v>
      </c>
      <c r="AH45" t="b">
        <v>0</v>
      </c>
      <c r="AI45">
        <v>2</v>
      </c>
      <c r="AJ45" t="s">
        <v>2868</v>
      </c>
      <c r="AK45" t="s">
        <v>491</v>
      </c>
      <c r="AL45">
        <v>1</v>
      </c>
      <c r="AM45" t="b">
        <v>0</v>
      </c>
      <c r="AN45" t="b">
        <v>1</v>
      </c>
      <c r="AO45" t="b">
        <v>1</v>
      </c>
      <c r="AP45">
        <f>IF(ISNUMBER(tblPeople[[#This Row],[dob]]),DATEDIF(tblPeople[[#This Row],[dob]],RunDate,"y"),"")</f>
        <v>0</v>
      </c>
      <c r="AQ45">
        <f>COUNTIFS(tblReview[person_id],tblPeople[[#This Row],[person_id]],tblReview[status],"OPEN")</f>
        <v>0</v>
      </c>
    </row>
    <row r="46" spans="1:43">
      <c r="A46" s="6" t="s">
        <v>643</v>
      </c>
      <c r="B46" t="s">
        <v>642</v>
      </c>
      <c r="C46" t="s">
        <v>259</v>
      </c>
      <c r="D46" t="s">
        <v>268</v>
      </c>
      <c r="F46" t="s">
        <v>269</v>
      </c>
      <c r="H46" t="s">
        <v>636</v>
      </c>
      <c r="I46" t="s">
        <v>33</v>
      </c>
      <c r="J46" s="6" t="s">
        <v>271</v>
      </c>
      <c r="K46" t="s">
        <v>148</v>
      </c>
      <c r="L46" t="s">
        <v>149</v>
      </c>
      <c r="M46" s="3">
        <v>45244</v>
      </c>
      <c r="N46" t="b">
        <v>1</v>
      </c>
      <c r="O46" t="b">
        <v>1</v>
      </c>
      <c r="P46" t="b">
        <v>0</v>
      </c>
      <c r="Q46" t="b">
        <v>0</v>
      </c>
      <c r="R46" t="b">
        <v>0</v>
      </c>
      <c r="S46" t="b">
        <v>0</v>
      </c>
      <c r="T46" t="b">
        <v>0</v>
      </c>
      <c r="U46" t="b">
        <v>1</v>
      </c>
      <c r="V46" t="b">
        <v>0</v>
      </c>
      <c r="W46" t="b">
        <v>0</v>
      </c>
      <c r="X46" t="b">
        <v>0</v>
      </c>
      <c r="Y46" t="b">
        <v>1</v>
      </c>
      <c r="Z46" t="b">
        <v>0</v>
      </c>
      <c r="AA46" t="b">
        <v>1</v>
      </c>
      <c r="AB46" t="b">
        <v>0</v>
      </c>
      <c r="AC46" t="s">
        <v>2826</v>
      </c>
      <c r="AD46" t="b">
        <v>1</v>
      </c>
      <c r="AE46" t="b">
        <v>0</v>
      </c>
      <c r="AF46" t="b">
        <v>1</v>
      </c>
      <c r="AG46" t="b">
        <v>1</v>
      </c>
      <c r="AH46" t="b">
        <v>0</v>
      </c>
      <c r="AI46">
        <v>2</v>
      </c>
      <c r="AJ46" t="s">
        <v>2868</v>
      </c>
      <c r="AK46" t="s">
        <v>491</v>
      </c>
      <c r="AL46">
        <v>1</v>
      </c>
      <c r="AM46" t="b">
        <v>0</v>
      </c>
      <c r="AN46" t="b">
        <v>1</v>
      </c>
      <c r="AO46" t="b">
        <v>1</v>
      </c>
      <c r="AP46">
        <f>IF(ISNUMBER(tblPeople[[#This Row],[dob]]),DATEDIF(tblPeople[[#This Row],[dob]],RunDate,"y"),"")</f>
        <v>0</v>
      </c>
      <c r="AQ46">
        <f>COUNTIFS(tblReview[person_id],tblPeople[[#This Row],[person_id]],tblReview[status],"OPEN")</f>
        <v>0</v>
      </c>
    </row>
    <row r="47" spans="1:43">
      <c r="A47" s="6" t="s">
        <v>656</v>
      </c>
      <c r="B47" t="s">
        <v>188</v>
      </c>
      <c r="D47" t="s">
        <v>650</v>
      </c>
      <c r="F47" t="s">
        <v>651</v>
      </c>
      <c r="H47" t="s">
        <v>652</v>
      </c>
      <c r="I47" t="s">
        <v>40</v>
      </c>
      <c r="J47" s="6" t="s">
        <v>653</v>
      </c>
      <c r="K47" t="s">
        <v>148</v>
      </c>
      <c r="L47" t="s">
        <v>205</v>
      </c>
      <c r="M47" s="3">
        <v>24129</v>
      </c>
      <c r="N47" t="b">
        <v>0</v>
      </c>
      <c r="O47" t="b">
        <v>1</v>
      </c>
      <c r="P47" t="b">
        <v>0</v>
      </c>
      <c r="Q47" t="b">
        <v>0</v>
      </c>
      <c r="R47" t="b">
        <v>0</v>
      </c>
      <c r="S47" t="b">
        <v>0</v>
      </c>
      <c r="T47" t="b">
        <v>0</v>
      </c>
      <c r="U47" t="b">
        <v>0</v>
      </c>
      <c r="V47" t="b">
        <v>0</v>
      </c>
      <c r="W47" t="b">
        <v>0</v>
      </c>
      <c r="X47" t="b">
        <v>0</v>
      </c>
      <c r="Y47" t="b">
        <v>1</v>
      </c>
      <c r="Z47" t="b">
        <v>1</v>
      </c>
      <c r="AA47" t="b">
        <v>1</v>
      </c>
      <c r="AB47" t="b">
        <v>0</v>
      </c>
      <c r="AC47" t="s">
        <v>2860</v>
      </c>
      <c r="AD47" t="b">
        <v>1</v>
      </c>
      <c r="AE47" t="b">
        <v>0</v>
      </c>
      <c r="AF47" t="b">
        <v>0</v>
      </c>
      <c r="AG47" t="b">
        <v>1</v>
      </c>
      <c r="AH47" t="b">
        <v>0</v>
      </c>
      <c r="AI47">
        <v>1</v>
      </c>
      <c r="AJ47" t="s">
        <v>493</v>
      </c>
      <c r="AK47" t="s">
        <v>491</v>
      </c>
      <c r="AL47">
        <v>1</v>
      </c>
      <c r="AM47" t="b">
        <v>0</v>
      </c>
      <c r="AN47" t="b">
        <v>0</v>
      </c>
      <c r="AO47" t="b">
        <v>1</v>
      </c>
      <c r="AP47">
        <f>IF(ISNUMBER(tblPeople[[#This Row],[dob]]),DATEDIF(tblPeople[[#This Row],[dob]],RunDate,"y"),"")</f>
        <v>0</v>
      </c>
      <c r="AQ47">
        <f>COUNTIFS(tblReview[person_id],tblPeople[[#This Row],[person_id]],tblReview[status],"OPEN")</f>
        <v>0</v>
      </c>
    </row>
    <row r="48" spans="1:43">
      <c r="A48" s="6" t="s">
        <v>665</v>
      </c>
      <c r="B48" t="s">
        <v>658</v>
      </c>
      <c r="D48" t="s">
        <v>659</v>
      </c>
      <c r="F48" t="s">
        <v>660</v>
      </c>
      <c r="H48" t="s">
        <v>661</v>
      </c>
      <c r="I48" t="s">
        <v>34</v>
      </c>
      <c r="J48" s="6" t="s">
        <v>662</v>
      </c>
      <c r="K48" t="s">
        <v>148</v>
      </c>
      <c r="L48" t="s">
        <v>149</v>
      </c>
      <c r="M48" s="3">
        <v>25165</v>
      </c>
      <c r="N48" t="b">
        <v>0</v>
      </c>
      <c r="O48" t="b">
        <v>1</v>
      </c>
      <c r="P48" t="b">
        <v>0</v>
      </c>
      <c r="Q48" t="b">
        <v>0</v>
      </c>
      <c r="R48" t="b">
        <v>0</v>
      </c>
      <c r="S48" t="b">
        <v>0</v>
      </c>
      <c r="T48" t="b">
        <v>0</v>
      </c>
      <c r="U48" t="b">
        <v>0</v>
      </c>
      <c r="V48" t="b">
        <v>0</v>
      </c>
      <c r="W48" t="b">
        <v>0</v>
      </c>
      <c r="X48" t="b">
        <v>0</v>
      </c>
      <c r="Y48" t="b">
        <v>1</v>
      </c>
      <c r="Z48" t="b">
        <v>1</v>
      </c>
      <c r="AA48" t="b">
        <v>1</v>
      </c>
      <c r="AB48" t="b">
        <v>0</v>
      </c>
      <c r="AC48" t="s">
        <v>2860</v>
      </c>
      <c r="AD48" t="b">
        <v>1</v>
      </c>
      <c r="AE48" t="b">
        <v>0</v>
      </c>
      <c r="AF48" t="b">
        <v>0</v>
      </c>
      <c r="AG48" t="b">
        <v>1</v>
      </c>
      <c r="AH48" t="b">
        <v>0</v>
      </c>
      <c r="AI48">
        <v>1</v>
      </c>
      <c r="AJ48" t="s">
        <v>493</v>
      </c>
      <c r="AK48" t="s">
        <v>491</v>
      </c>
      <c r="AL48">
        <v>1</v>
      </c>
      <c r="AM48" t="b">
        <v>0</v>
      </c>
      <c r="AN48" t="b">
        <v>0</v>
      </c>
      <c r="AO48" t="b">
        <v>1</v>
      </c>
      <c r="AP48">
        <f>IF(ISNUMBER(tblPeople[[#This Row],[dob]]),DATEDIF(tblPeople[[#This Row],[dob]],RunDate,"y"),"")</f>
        <v>0</v>
      </c>
      <c r="AQ48">
        <f>COUNTIFS(tblReview[person_id],tblPeople[[#This Row],[person_id]],tblReview[status],"OPEN")</f>
        <v>0</v>
      </c>
    </row>
    <row r="49" spans="1:43">
      <c r="A49" s="6" t="s">
        <v>676</v>
      </c>
      <c r="B49" t="s">
        <v>667</v>
      </c>
      <c r="D49" t="s">
        <v>668</v>
      </c>
      <c r="F49" t="s">
        <v>669</v>
      </c>
      <c r="G49" t="s">
        <v>670</v>
      </c>
      <c r="H49" t="s">
        <v>671</v>
      </c>
      <c r="I49" t="s">
        <v>39</v>
      </c>
      <c r="J49" s="6" t="s">
        <v>672</v>
      </c>
      <c r="K49" t="s">
        <v>148</v>
      </c>
      <c r="L49" t="s">
        <v>149</v>
      </c>
      <c r="M49" s="3">
        <v>35083</v>
      </c>
      <c r="N49" t="b">
        <v>0</v>
      </c>
      <c r="O49" t="b">
        <v>1</v>
      </c>
      <c r="P49" t="b">
        <v>0</v>
      </c>
      <c r="Q49" t="b">
        <v>0</v>
      </c>
      <c r="R49" t="b">
        <v>0</v>
      </c>
      <c r="S49" t="b">
        <v>1</v>
      </c>
      <c r="T49" t="b">
        <v>1</v>
      </c>
      <c r="U49" t="b">
        <v>0</v>
      </c>
      <c r="V49" t="b">
        <v>0</v>
      </c>
      <c r="W49" t="b">
        <v>0</v>
      </c>
      <c r="X49" t="b">
        <v>0</v>
      </c>
      <c r="Y49" t="b">
        <v>1</v>
      </c>
      <c r="Z49" t="b">
        <v>1</v>
      </c>
      <c r="AA49" t="b">
        <v>1</v>
      </c>
      <c r="AB49" t="b">
        <v>0</v>
      </c>
      <c r="AC49" t="s">
        <v>2874</v>
      </c>
      <c r="AD49" t="b">
        <v>1</v>
      </c>
      <c r="AE49" t="b">
        <v>1</v>
      </c>
      <c r="AF49" t="b">
        <v>0</v>
      </c>
      <c r="AG49" t="b">
        <v>1</v>
      </c>
      <c r="AH49" t="b">
        <v>0</v>
      </c>
      <c r="AI49">
        <v>6</v>
      </c>
      <c r="AJ49" t="s">
        <v>2869</v>
      </c>
      <c r="AK49" t="s">
        <v>491</v>
      </c>
      <c r="AL49">
        <v>1</v>
      </c>
      <c r="AM49" t="b">
        <v>0</v>
      </c>
      <c r="AN49" t="b">
        <v>0</v>
      </c>
      <c r="AO49" t="b">
        <v>1</v>
      </c>
      <c r="AP49">
        <f>IF(ISNUMBER(tblPeople[[#This Row],[dob]]),DATEDIF(tblPeople[[#This Row],[dob]],RunDate,"y"),"")</f>
        <v>0</v>
      </c>
      <c r="AQ49">
        <f>COUNTIFS(tblReview[person_id],tblPeople[[#This Row],[person_id]],tblReview[status],"OPEN")</f>
        <v>0</v>
      </c>
    </row>
    <row r="50" spans="1:43">
      <c r="A50" s="6" t="s">
        <v>681</v>
      </c>
      <c r="B50" t="s">
        <v>678</v>
      </c>
      <c r="D50" t="s">
        <v>469</v>
      </c>
      <c r="F50" t="s">
        <v>470</v>
      </c>
      <c r="H50" t="s">
        <v>471</v>
      </c>
      <c r="I50" t="s">
        <v>38</v>
      </c>
      <c r="J50" s="6" t="s">
        <v>472</v>
      </c>
      <c r="K50" t="s">
        <v>148</v>
      </c>
      <c r="L50" t="s">
        <v>149</v>
      </c>
      <c r="M50" s="3">
        <v>35924</v>
      </c>
      <c r="N50" t="b">
        <v>0</v>
      </c>
      <c r="O50" t="b">
        <v>1</v>
      </c>
      <c r="P50" t="b">
        <v>0</v>
      </c>
      <c r="Q50" t="b">
        <v>0</v>
      </c>
      <c r="R50" t="b">
        <v>0</v>
      </c>
      <c r="S50" t="b">
        <v>1</v>
      </c>
      <c r="T50" t="b">
        <v>0</v>
      </c>
      <c r="U50" t="b">
        <v>1</v>
      </c>
      <c r="V50" t="b">
        <v>0</v>
      </c>
      <c r="W50" t="b">
        <v>0</v>
      </c>
      <c r="X50" t="b">
        <v>0</v>
      </c>
      <c r="Y50" t="b">
        <v>1</v>
      </c>
      <c r="Z50" t="b">
        <v>1</v>
      </c>
      <c r="AA50" t="b">
        <v>1</v>
      </c>
      <c r="AB50" t="b">
        <v>0</v>
      </c>
      <c r="AC50" t="s">
        <v>2835</v>
      </c>
      <c r="AD50" t="b">
        <v>1</v>
      </c>
      <c r="AE50" t="b">
        <v>1</v>
      </c>
      <c r="AF50" t="b">
        <v>1</v>
      </c>
      <c r="AG50" t="b">
        <v>1</v>
      </c>
      <c r="AH50" t="b">
        <v>0</v>
      </c>
      <c r="AI50">
        <v>6</v>
      </c>
      <c r="AJ50" t="s">
        <v>2870</v>
      </c>
      <c r="AK50" t="s">
        <v>491</v>
      </c>
      <c r="AL50">
        <v>1</v>
      </c>
      <c r="AM50" t="b">
        <v>0</v>
      </c>
      <c r="AN50" t="b">
        <v>1</v>
      </c>
      <c r="AO50" t="b">
        <v>1</v>
      </c>
      <c r="AP50">
        <f>IF(ISNUMBER(tblPeople[[#This Row],[dob]]),DATEDIF(tblPeople[[#This Row],[dob]],RunDate,"y"),"")</f>
        <v>0</v>
      </c>
      <c r="AQ50">
        <f>COUNTIFS(tblReview[person_id],tblPeople[[#This Row],[person_id]],tblReview[status],"OPEN")</f>
        <v>0</v>
      </c>
    </row>
    <row r="51" spans="1:43">
      <c r="A51" s="6" t="s">
        <v>692</v>
      </c>
      <c r="B51" t="s">
        <v>685</v>
      </c>
      <c r="C51" t="s">
        <v>212</v>
      </c>
      <c r="D51" t="s">
        <v>686</v>
      </c>
      <c r="F51" t="s">
        <v>687</v>
      </c>
      <c r="H51" t="s">
        <v>688</v>
      </c>
      <c r="I51" t="s">
        <v>38</v>
      </c>
      <c r="J51" s="6" t="s">
        <v>689</v>
      </c>
      <c r="K51" t="s">
        <v>148</v>
      </c>
      <c r="L51" t="s">
        <v>205</v>
      </c>
      <c r="M51" s="3">
        <v>21687</v>
      </c>
      <c r="N51" t="b">
        <v>0</v>
      </c>
      <c r="O51" t="b">
        <v>1</v>
      </c>
      <c r="P51" t="b">
        <v>0</v>
      </c>
      <c r="Q51" t="b">
        <v>0</v>
      </c>
      <c r="R51" t="b">
        <v>0</v>
      </c>
      <c r="S51" t="b">
        <v>0</v>
      </c>
      <c r="T51" t="b">
        <v>0</v>
      </c>
      <c r="U51" t="b">
        <v>1</v>
      </c>
      <c r="V51" t="b">
        <v>0</v>
      </c>
      <c r="W51" t="b">
        <v>0</v>
      </c>
      <c r="X51" t="b">
        <v>0</v>
      </c>
      <c r="Y51" t="b">
        <v>1</v>
      </c>
      <c r="Z51" t="b">
        <v>1</v>
      </c>
      <c r="AA51" t="b">
        <v>1</v>
      </c>
      <c r="AB51" t="b">
        <v>0</v>
      </c>
      <c r="AC51" t="s">
        <v>2826</v>
      </c>
      <c r="AD51" t="b">
        <v>1</v>
      </c>
      <c r="AE51" t="b">
        <v>0</v>
      </c>
      <c r="AF51" t="b">
        <v>1</v>
      </c>
      <c r="AG51" t="b">
        <v>1</v>
      </c>
      <c r="AH51" t="b">
        <v>0</v>
      </c>
      <c r="AI51">
        <v>6</v>
      </c>
      <c r="AJ51" t="s">
        <v>2870</v>
      </c>
      <c r="AK51" t="s">
        <v>491</v>
      </c>
      <c r="AL51">
        <v>1</v>
      </c>
      <c r="AM51" t="b">
        <v>0</v>
      </c>
      <c r="AN51" t="b">
        <v>0</v>
      </c>
      <c r="AO51" t="b">
        <v>1</v>
      </c>
      <c r="AP51">
        <f>IF(ISNUMBER(tblPeople[[#This Row],[dob]]),DATEDIF(tblPeople[[#This Row],[dob]],RunDate,"y"),"")</f>
        <v>0</v>
      </c>
      <c r="AQ51">
        <f>COUNTIFS(tblReview[person_id],tblPeople[[#This Row],[person_id]],tblReview[status],"OPEN")</f>
        <v>0</v>
      </c>
    </row>
    <row r="52" spans="1:43">
      <c r="A52" s="6" t="s">
        <v>701</v>
      </c>
      <c r="B52" t="s">
        <v>694</v>
      </c>
      <c r="C52" t="s">
        <v>1200</v>
      </c>
      <c r="D52" t="s">
        <v>695</v>
      </c>
      <c r="F52" t="s">
        <v>696</v>
      </c>
      <c r="H52" t="s">
        <v>697</v>
      </c>
      <c r="I52" t="s">
        <v>40</v>
      </c>
      <c r="J52" s="6" t="s">
        <v>698</v>
      </c>
      <c r="K52" t="s">
        <v>148</v>
      </c>
      <c r="L52" t="s">
        <v>149</v>
      </c>
      <c r="M52" s="3">
        <v>25058</v>
      </c>
      <c r="N52" t="b">
        <v>0</v>
      </c>
      <c r="O52" t="b">
        <v>1</v>
      </c>
      <c r="P52" t="b">
        <v>0</v>
      </c>
      <c r="Q52" t="b">
        <v>0</v>
      </c>
      <c r="R52" t="b">
        <v>0</v>
      </c>
      <c r="S52" t="b">
        <v>1</v>
      </c>
      <c r="T52" t="b">
        <v>0</v>
      </c>
      <c r="U52" t="b">
        <v>1</v>
      </c>
      <c r="V52" t="b">
        <v>0</v>
      </c>
      <c r="W52" t="b">
        <v>0</v>
      </c>
      <c r="X52" t="b">
        <v>0</v>
      </c>
      <c r="Y52" t="b">
        <v>1</v>
      </c>
      <c r="Z52" t="b">
        <v>1</v>
      </c>
      <c r="AA52" t="b">
        <v>1</v>
      </c>
      <c r="AB52" t="b">
        <v>0</v>
      </c>
      <c r="AC52" t="s">
        <v>2835</v>
      </c>
      <c r="AD52" t="b">
        <v>1</v>
      </c>
      <c r="AE52" t="b">
        <v>1</v>
      </c>
      <c r="AF52" t="b">
        <v>1</v>
      </c>
      <c r="AG52" t="b">
        <v>1</v>
      </c>
      <c r="AH52" t="b">
        <v>0</v>
      </c>
      <c r="AI52">
        <v>5</v>
      </c>
      <c r="AJ52" t="s">
        <v>2867</v>
      </c>
      <c r="AK52" t="s">
        <v>491</v>
      </c>
      <c r="AL52">
        <v>1</v>
      </c>
      <c r="AM52" t="b">
        <v>0</v>
      </c>
      <c r="AN52" t="b">
        <v>0</v>
      </c>
      <c r="AO52" t="b">
        <v>1</v>
      </c>
      <c r="AP52">
        <f>IF(ISNUMBER(tblPeople[[#This Row],[dob]]),DATEDIF(tblPeople[[#This Row],[dob]],RunDate,"y"),"")</f>
        <v>0</v>
      </c>
      <c r="AQ52">
        <f>COUNTIFS(tblReview[person_id],tblPeople[[#This Row],[person_id]],tblReview[status],"OPEN")</f>
        <v>0</v>
      </c>
    </row>
    <row r="53" spans="1:43">
      <c r="A53" s="6" t="s">
        <v>709</v>
      </c>
      <c r="B53" t="s">
        <v>507</v>
      </c>
      <c r="D53" t="s">
        <v>703</v>
      </c>
      <c r="F53" t="s">
        <v>704</v>
      </c>
      <c r="H53" t="s">
        <v>705</v>
      </c>
      <c r="I53" t="s">
        <v>36</v>
      </c>
      <c r="J53" s="6" t="s">
        <v>706</v>
      </c>
      <c r="K53" t="s">
        <v>148</v>
      </c>
      <c r="L53" t="s">
        <v>149</v>
      </c>
      <c r="M53" s="3">
        <v>23873</v>
      </c>
      <c r="N53" t="b">
        <v>0</v>
      </c>
      <c r="O53" t="b">
        <v>1</v>
      </c>
      <c r="P53" t="b">
        <v>0</v>
      </c>
      <c r="Q53" t="b">
        <v>0</v>
      </c>
      <c r="R53" t="b">
        <v>0</v>
      </c>
      <c r="S53" t="b">
        <v>0</v>
      </c>
      <c r="T53" t="b">
        <v>1</v>
      </c>
      <c r="U53" t="b">
        <v>0</v>
      </c>
      <c r="V53" t="b">
        <v>0</v>
      </c>
      <c r="W53" t="b">
        <v>0</v>
      </c>
      <c r="X53" t="b">
        <v>0</v>
      </c>
      <c r="Y53" t="b">
        <v>1</v>
      </c>
      <c r="Z53" t="b">
        <v>1</v>
      </c>
      <c r="AA53" t="b">
        <v>1</v>
      </c>
      <c r="AB53" t="b">
        <v>0</v>
      </c>
      <c r="AC53" t="s">
        <v>2863</v>
      </c>
      <c r="AD53" t="b">
        <v>1</v>
      </c>
      <c r="AE53" t="b">
        <v>1</v>
      </c>
      <c r="AF53" t="b">
        <v>0</v>
      </c>
      <c r="AG53" t="b">
        <v>1</v>
      </c>
      <c r="AH53" t="b">
        <v>0</v>
      </c>
      <c r="AI53">
        <v>6</v>
      </c>
      <c r="AJ53" t="s">
        <v>2869</v>
      </c>
      <c r="AK53" t="s">
        <v>491</v>
      </c>
      <c r="AL53">
        <v>1</v>
      </c>
      <c r="AM53" t="b">
        <v>0</v>
      </c>
      <c r="AN53" t="b">
        <v>0</v>
      </c>
      <c r="AO53" t="b">
        <v>1</v>
      </c>
      <c r="AP53">
        <f>IF(ISNUMBER(tblPeople[[#This Row],[dob]]),DATEDIF(tblPeople[[#This Row],[dob]],RunDate,"y"),"")</f>
        <v>0</v>
      </c>
      <c r="AQ53">
        <f>COUNTIFS(tblReview[person_id],tblPeople[[#This Row],[person_id]],tblReview[status],"OPEN")</f>
        <v>0</v>
      </c>
    </row>
    <row r="54" spans="1:43">
      <c r="A54" s="6" t="s">
        <v>724</v>
      </c>
      <c r="B54" t="s">
        <v>162</v>
      </c>
      <c r="D54" t="s">
        <v>717</v>
      </c>
      <c r="E54" t="s">
        <v>214</v>
      </c>
      <c r="F54" t="s">
        <v>718</v>
      </c>
      <c r="H54" t="s">
        <v>719</v>
      </c>
      <c r="I54" t="s">
        <v>36</v>
      </c>
      <c r="J54" s="6" t="s">
        <v>720</v>
      </c>
      <c r="K54" t="s">
        <v>148</v>
      </c>
      <c r="L54" t="s">
        <v>205</v>
      </c>
      <c r="M54" s="3">
        <v>18989</v>
      </c>
      <c r="N54" t="b">
        <v>0</v>
      </c>
      <c r="O54" t="b">
        <v>1</v>
      </c>
      <c r="P54" t="b">
        <v>0</v>
      </c>
      <c r="Q54" t="b">
        <v>0</v>
      </c>
      <c r="R54" t="b">
        <v>0</v>
      </c>
      <c r="S54" t="b">
        <v>0</v>
      </c>
      <c r="T54" t="b">
        <v>0</v>
      </c>
      <c r="U54" t="b">
        <v>0</v>
      </c>
      <c r="V54" t="b">
        <v>0</v>
      </c>
      <c r="W54" t="b">
        <v>0</v>
      </c>
      <c r="X54" t="b">
        <v>0</v>
      </c>
      <c r="Y54" t="b">
        <v>1</v>
      </c>
      <c r="Z54" t="b">
        <v>1</v>
      </c>
      <c r="AA54" t="b">
        <v>1</v>
      </c>
      <c r="AB54" t="b">
        <v>0</v>
      </c>
      <c r="AC54" t="s">
        <v>2860</v>
      </c>
      <c r="AD54" t="b">
        <v>1</v>
      </c>
      <c r="AE54" t="b">
        <v>0</v>
      </c>
      <c r="AF54" t="b">
        <v>0</v>
      </c>
      <c r="AG54" t="b">
        <v>1</v>
      </c>
      <c r="AH54" t="b">
        <v>0</v>
      </c>
      <c r="AI54">
        <v>1</v>
      </c>
      <c r="AJ54" t="s">
        <v>493</v>
      </c>
      <c r="AK54" t="s">
        <v>491</v>
      </c>
      <c r="AL54">
        <v>1</v>
      </c>
      <c r="AM54" t="b">
        <v>0</v>
      </c>
      <c r="AN54" t="b">
        <v>0</v>
      </c>
      <c r="AO54" t="b">
        <v>1</v>
      </c>
      <c r="AP54">
        <f>IF(ISNUMBER(tblPeople[[#This Row],[dob]]),DATEDIF(tblPeople[[#This Row],[dob]],RunDate,"y"),"")</f>
        <v>0</v>
      </c>
      <c r="AQ54">
        <f>COUNTIFS(tblReview[person_id],tblPeople[[#This Row],[person_id]],tblReview[status],"OPEN")</f>
        <v>0</v>
      </c>
    </row>
    <row r="55" spans="1:43">
      <c r="A55" s="6" t="s">
        <v>733</v>
      </c>
      <c r="B55" t="s">
        <v>726</v>
      </c>
      <c r="D55" t="s">
        <v>727</v>
      </c>
      <c r="F55" t="s">
        <v>728</v>
      </c>
      <c r="H55" t="s">
        <v>729</v>
      </c>
      <c r="I55" t="s">
        <v>40</v>
      </c>
      <c r="J55" s="6" t="s">
        <v>730</v>
      </c>
      <c r="K55" t="s">
        <v>148</v>
      </c>
      <c r="L55" t="s">
        <v>205</v>
      </c>
      <c r="M55" s="3">
        <v>38583</v>
      </c>
      <c r="N55" t="b">
        <v>0</v>
      </c>
      <c r="O55" t="b">
        <v>1</v>
      </c>
      <c r="P55" t="b">
        <v>0</v>
      </c>
      <c r="Q55" t="b">
        <v>0</v>
      </c>
      <c r="R55" t="b">
        <v>0</v>
      </c>
      <c r="S55" t="b">
        <v>0</v>
      </c>
      <c r="T55" t="b">
        <v>0</v>
      </c>
      <c r="U55" t="b">
        <v>0</v>
      </c>
      <c r="V55" t="b">
        <v>0</v>
      </c>
      <c r="W55" t="b">
        <v>0</v>
      </c>
      <c r="X55" t="b">
        <v>0</v>
      </c>
      <c r="Y55" t="b">
        <v>1</v>
      </c>
      <c r="Z55" t="b">
        <v>1</v>
      </c>
      <c r="AA55" t="b">
        <v>1</v>
      </c>
      <c r="AB55" t="b">
        <v>0</v>
      </c>
      <c r="AC55" t="s">
        <v>2860</v>
      </c>
      <c r="AD55" t="b">
        <v>1</v>
      </c>
      <c r="AE55" t="b">
        <v>0</v>
      </c>
      <c r="AF55" t="b">
        <v>0</v>
      </c>
      <c r="AG55" t="b">
        <v>1</v>
      </c>
      <c r="AH55" t="b">
        <v>0</v>
      </c>
      <c r="AI55">
        <v>1</v>
      </c>
      <c r="AJ55" t="s">
        <v>493</v>
      </c>
      <c r="AK55" t="s">
        <v>491</v>
      </c>
      <c r="AL55">
        <v>1</v>
      </c>
      <c r="AM55" t="b">
        <v>0</v>
      </c>
      <c r="AN55" t="b">
        <v>0</v>
      </c>
      <c r="AO55" t="b">
        <v>1</v>
      </c>
      <c r="AP55">
        <f>IF(ISNUMBER(tblPeople[[#This Row],[dob]]),DATEDIF(tblPeople[[#This Row],[dob]],RunDate,"y"),"")</f>
        <v>0</v>
      </c>
      <c r="AQ55">
        <f>COUNTIFS(tblReview[person_id],tblPeople[[#This Row],[person_id]],tblReview[status],"OPEN")</f>
        <v>0</v>
      </c>
    </row>
    <row r="56" spans="1:43">
      <c r="A56" s="6" t="s">
        <v>749</v>
      </c>
      <c r="B56" t="s">
        <v>739</v>
      </c>
      <c r="D56" t="s">
        <v>740</v>
      </c>
      <c r="F56" t="s">
        <v>741</v>
      </c>
      <c r="H56" t="s">
        <v>742</v>
      </c>
      <c r="I56" t="s">
        <v>40</v>
      </c>
      <c r="J56" s="6" t="s">
        <v>743</v>
      </c>
      <c r="K56" t="s">
        <v>148</v>
      </c>
      <c r="L56" t="s">
        <v>205</v>
      </c>
      <c r="M56" s="3"/>
      <c r="N56" t="b">
        <v>0</v>
      </c>
      <c r="O56" t="b">
        <v>0</v>
      </c>
      <c r="P56" t="b">
        <v>0</v>
      </c>
      <c r="Q56" t="b">
        <v>0</v>
      </c>
      <c r="R56" t="b">
        <v>0</v>
      </c>
      <c r="S56" t="b">
        <v>0</v>
      </c>
      <c r="T56" t="b">
        <v>1</v>
      </c>
      <c r="U56" t="b">
        <v>0</v>
      </c>
      <c r="V56" t="b">
        <v>0</v>
      </c>
      <c r="W56" t="b">
        <v>0</v>
      </c>
      <c r="X56" t="b">
        <v>0</v>
      </c>
      <c r="Y56" t="b">
        <v>0</v>
      </c>
      <c r="Z56" t="b">
        <v>0</v>
      </c>
      <c r="AA56" t="b">
        <v>0</v>
      </c>
      <c r="AB56" t="b">
        <v>0</v>
      </c>
      <c r="AC56" t="s">
        <v>2875</v>
      </c>
      <c r="AD56" t="b">
        <v>0</v>
      </c>
      <c r="AE56" t="b">
        <v>1</v>
      </c>
      <c r="AF56" t="b">
        <v>0</v>
      </c>
      <c r="AG56" t="b">
        <v>0</v>
      </c>
      <c r="AH56" t="b">
        <v>0</v>
      </c>
      <c r="AI56">
        <v>1</v>
      </c>
      <c r="AJ56" t="s">
        <v>736</v>
      </c>
      <c r="AK56" t="s">
        <v>491</v>
      </c>
      <c r="AL56">
        <v>1</v>
      </c>
      <c r="AM56" t="b">
        <v>0</v>
      </c>
      <c r="AN56" t="b">
        <v>1</v>
      </c>
      <c r="AO56" t="b">
        <v>1</v>
      </c>
      <c r="AP56">
        <f>IF(ISNUMBER(tblPeople[[#This Row],[dob]]),DATEDIF(tblPeople[[#This Row],[dob]],RunDate,"y"),"")</f>
        <v>0</v>
      </c>
      <c r="AQ56">
        <f>COUNTIFS(tblReview[person_id],tblPeople[[#This Row],[person_id]],tblReview[status],"OPEN")</f>
        <v>0</v>
      </c>
    </row>
    <row r="57" spans="1:43">
      <c r="A57" s="6" t="s">
        <v>760</v>
      </c>
      <c r="B57" t="s">
        <v>751</v>
      </c>
      <c r="D57" t="s">
        <v>752</v>
      </c>
      <c r="F57" t="s">
        <v>753</v>
      </c>
      <c r="H57" t="s">
        <v>754</v>
      </c>
      <c r="I57" t="s">
        <v>33</v>
      </c>
      <c r="J57" s="6" t="s">
        <v>755</v>
      </c>
      <c r="K57" t="s">
        <v>148</v>
      </c>
      <c r="L57" t="s">
        <v>205</v>
      </c>
      <c r="M57" s="3"/>
      <c r="N57" t="b">
        <v>0</v>
      </c>
      <c r="O57" t="b">
        <v>0</v>
      </c>
      <c r="P57" t="b">
        <v>0</v>
      </c>
      <c r="Q57" t="b">
        <v>0</v>
      </c>
      <c r="R57" t="b">
        <v>0</v>
      </c>
      <c r="S57" t="b">
        <v>0</v>
      </c>
      <c r="T57" t="b">
        <v>1</v>
      </c>
      <c r="U57" t="b">
        <v>0</v>
      </c>
      <c r="V57" t="b">
        <v>0</v>
      </c>
      <c r="W57" t="b">
        <v>0</v>
      </c>
      <c r="X57" t="b">
        <v>0</v>
      </c>
      <c r="Y57" t="b">
        <v>0</v>
      </c>
      <c r="Z57" t="b">
        <v>0</v>
      </c>
      <c r="AA57" t="b">
        <v>0</v>
      </c>
      <c r="AB57" t="b">
        <v>0</v>
      </c>
      <c r="AC57" t="s">
        <v>2875</v>
      </c>
      <c r="AD57" t="b">
        <v>0</v>
      </c>
      <c r="AE57" t="b">
        <v>1</v>
      </c>
      <c r="AF57" t="b">
        <v>0</v>
      </c>
      <c r="AG57" t="b">
        <v>0</v>
      </c>
      <c r="AH57" t="b">
        <v>0</v>
      </c>
      <c r="AI57">
        <v>1</v>
      </c>
      <c r="AJ57" t="s">
        <v>736</v>
      </c>
      <c r="AK57" t="s">
        <v>491</v>
      </c>
      <c r="AL57">
        <v>1</v>
      </c>
      <c r="AM57" t="b">
        <v>0</v>
      </c>
      <c r="AN57" t="b">
        <v>0</v>
      </c>
      <c r="AO57" t="b">
        <v>0</v>
      </c>
      <c r="AP57">
        <f>IF(ISNUMBER(tblPeople[[#This Row],[dob]]),DATEDIF(tblPeople[[#This Row],[dob]],RunDate,"y"),"")</f>
        <v>0</v>
      </c>
      <c r="AQ57">
        <f>COUNTIFS(tblReview[person_id],tblPeople[[#This Row],[person_id]],tblReview[status],"OPEN")</f>
        <v>0</v>
      </c>
    </row>
    <row r="58" spans="1:43">
      <c r="A58" s="6" t="s">
        <v>768</v>
      </c>
      <c r="B58" t="s">
        <v>762</v>
      </c>
      <c r="D58" t="s">
        <v>763</v>
      </c>
      <c r="F58" t="s">
        <v>764</v>
      </c>
      <c r="H58" t="s">
        <v>603</v>
      </c>
      <c r="I58" t="s">
        <v>39</v>
      </c>
      <c r="J58" s="6" t="s">
        <v>765</v>
      </c>
      <c r="K58" t="s">
        <v>148</v>
      </c>
      <c r="L58" t="s">
        <v>205</v>
      </c>
      <c r="M58" s="3"/>
      <c r="N58" t="b">
        <v>0</v>
      </c>
      <c r="O58" t="b">
        <v>0</v>
      </c>
      <c r="P58" t="b">
        <v>0</v>
      </c>
      <c r="Q58" t="b">
        <v>0</v>
      </c>
      <c r="R58" t="b">
        <v>0</v>
      </c>
      <c r="S58" t="b">
        <v>0</v>
      </c>
      <c r="T58" t="b">
        <v>1</v>
      </c>
      <c r="U58" t="b">
        <v>0</v>
      </c>
      <c r="V58" t="b">
        <v>0</v>
      </c>
      <c r="W58" t="b">
        <v>0</v>
      </c>
      <c r="X58" t="b">
        <v>0</v>
      </c>
      <c r="Y58" t="b">
        <v>0</v>
      </c>
      <c r="Z58" t="b">
        <v>0</v>
      </c>
      <c r="AA58" t="b">
        <v>0</v>
      </c>
      <c r="AB58" t="b">
        <v>0</v>
      </c>
      <c r="AC58" t="s">
        <v>2875</v>
      </c>
      <c r="AD58" t="b">
        <v>0</v>
      </c>
      <c r="AE58" t="b">
        <v>1</v>
      </c>
      <c r="AF58" t="b">
        <v>0</v>
      </c>
      <c r="AG58" t="b">
        <v>0</v>
      </c>
      <c r="AH58" t="b">
        <v>0</v>
      </c>
      <c r="AI58">
        <v>1</v>
      </c>
      <c r="AJ58" t="s">
        <v>736</v>
      </c>
      <c r="AK58" t="s">
        <v>491</v>
      </c>
      <c r="AL58">
        <v>1</v>
      </c>
      <c r="AM58" t="b">
        <v>0</v>
      </c>
      <c r="AN58" t="b">
        <v>0</v>
      </c>
      <c r="AO58" t="b">
        <v>1</v>
      </c>
      <c r="AP58">
        <f>IF(ISNUMBER(tblPeople[[#This Row],[dob]]),DATEDIF(tblPeople[[#This Row],[dob]],RunDate,"y"),"")</f>
        <v>0</v>
      </c>
      <c r="AQ58">
        <f>COUNTIFS(tblReview[person_id],tblPeople[[#This Row],[person_id]],tblReview[status],"OPEN")</f>
        <v>0</v>
      </c>
    </row>
    <row r="59" spans="1:43">
      <c r="A59" s="6" t="s">
        <v>783</v>
      </c>
      <c r="B59" t="s">
        <v>776</v>
      </c>
      <c r="D59" t="s">
        <v>777</v>
      </c>
      <c r="F59" t="s">
        <v>778</v>
      </c>
      <c r="H59" t="s">
        <v>779</v>
      </c>
      <c r="I59" t="s">
        <v>36</v>
      </c>
      <c r="J59" s="6" t="s">
        <v>780</v>
      </c>
      <c r="K59" t="s">
        <v>148</v>
      </c>
      <c r="L59" t="s">
        <v>149</v>
      </c>
      <c r="M59" s="3"/>
      <c r="N59" t="b">
        <v>0</v>
      </c>
      <c r="O59" t="b">
        <v>0</v>
      </c>
      <c r="P59" t="b">
        <v>0</v>
      </c>
      <c r="Q59" t="b">
        <v>0</v>
      </c>
      <c r="R59" t="b">
        <v>0</v>
      </c>
      <c r="S59" t="b">
        <v>0</v>
      </c>
      <c r="T59" t="b">
        <v>1</v>
      </c>
      <c r="U59" t="b">
        <v>0</v>
      </c>
      <c r="V59" t="b">
        <v>0</v>
      </c>
      <c r="W59" t="b">
        <v>0</v>
      </c>
      <c r="X59" t="b">
        <v>0</v>
      </c>
      <c r="Y59" t="b">
        <v>0</v>
      </c>
      <c r="Z59" t="b">
        <v>0</v>
      </c>
      <c r="AA59" t="b">
        <v>0</v>
      </c>
      <c r="AB59" t="b">
        <v>0</v>
      </c>
      <c r="AC59" t="s">
        <v>2875</v>
      </c>
      <c r="AD59" t="b">
        <v>0</v>
      </c>
      <c r="AE59" t="b">
        <v>1</v>
      </c>
      <c r="AF59" t="b">
        <v>0</v>
      </c>
      <c r="AG59" t="b">
        <v>0</v>
      </c>
      <c r="AH59" t="b">
        <v>0</v>
      </c>
      <c r="AI59">
        <v>1</v>
      </c>
      <c r="AJ59" t="s">
        <v>736</v>
      </c>
      <c r="AK59" t="s">
        <v>491</v>
      </c>
      <c r="AL59">
        <v>1</v>
      </c>
      <c r="AM59" t="b">
        <v>0</v>
      </c>
      <c r="AN59" t="b">
        <v>0</v>
      </c>
      <c r="AO59" t="b">
        <v>1</v>
      </c>
      <c r="AP59">
        <f>IF(ISNUMBER(tblPeople[[#This Row],[dob]]),DATEDIF(tblPeople[[#This Row],[dob]],RunDate,"y"),"")</f>
        <v>0</v>
      </c>
      <c r="AQ59">
        <f>COUNTIFS(tblReview[person_id],tblPeople[[#This Row],[person_id]],tblReview[status],"OPEN")</f>
        <v>0</v>
      </c>
    </row>
    <row r="60" spans="1:43">
      <c r="A60" s="6" t="s">
        <v>793</v>
      </c>
      <c r="B60" t="s">
        <v>785</v>
      </c>
      <c r="D60" t="s">
        <v>786</v>
      </c>
      <c r="F60" t="s">
        <v>787</v>
      </c>
      <c r="H60" t="s">
        <v>788</v>
      </c>
      <c r="I60" t="s">
        <v>33</v>
      </c>
      <c r="J60" s="6" t="s">
        <v>789</v>
      </c>
      <c r="K60" t="s">
        <v>148</v>
      </c>
      <c r="L60" t="s">
        <v>205</v>
      </c>
      <c r="M60" s="3"/>
      <c r="N60" t="b">
        <v>0</v>
      </c>
      <c r="O60" t="b">
        <v>0</v>
      </c>
      <c r="P60" t="b">
        <v>0</v>
      </c>
      <c r="Q60" t="b">
        <v>0</v>
      </c>
      <c r="R60" t="b">
        <v>0</v>
      </c>
      <c r="S60" t="b">
        <v>0</v>
      </c>
      <c r="T60" t="b">
        <v>1</v>
      </c>
      <c r="U60" t="b">
        <v>0</v>
      </c>
      <c r="V60" t="b">
        <v>0</v>
      </c>
      <c r="W60" t="b">
        <v>0</v>
      </c>
      <c r="X60" t="b">
        <v>0</v>
      </c>
      <c r="Y60" t="b">
        <v>0</v>
      </c>
      <c r="Z60" t="b">
        <v>0</v>
      </c>
      <c r="AA60" t="b">
        <v>0</v>
      </c>
      <c r="AB60" t="b">
        <v>0</v>
      </c>
      <c r="AC60" t="s">
        <v>2875</v>
      </c>
      <c r="AD60" t="b">
        <v>0</v>
      </c>
      <c r="AE60" t="b">
        <v>1</v>
      </c>
      <c r="AF60" t="b">
        <v>0</v>
      </c>
      <c r="AG60" t="b">
        <v>0</v>
      </c>
      <c r="AH60" t="b">
        <v>0</v>
      </c>
      <c r="AI60">
        <v>1</v>
      </c>
      <c r="AJ60" t="s">
        <v>736</v>
      </c>
      <c r="AK60" t="s">
        <v>491</v>
      </c>
      <c r="AL60">
        <v>1</v>
      </c>
      <c r="AM60" t="b">
        <v>0</v>
      </c>
      <c r="AN60" t="b">
        <v>0</v>
      </c>
      <c r="AO60" t="b">
        <v>1</v>
      </c>
      <c r="AP60">
        <f>IF(ISNUMBER(tblPeople[[#This Row],[dob]]),DATEDIF(tblPeople[[#This Row],[dob]],RunDate,"y"),"")</f>
        <v>0</v>
      </c>
      <c r="AQ60">
        <f>COUNTIFS(tblReview[person_id],tblPeople[[#This Row],[person_id]],tblReview[status],"OPEN")</f>
        <v>0</v>
      </c>
    </row>
    <row r="61" spans="1:43">
      <c r="A61" s="6" t="s">
        <v>807</v>
      </c>
      <c r="B61" t="s">
        <v>799</v>
      </c>
      <c r="D61" t="s">
        <v>593</v>
      </c>
      <c r="F61" t="s">
        <v>800</v>
      </c>
      <c r="H61" t="s">
        <v>801</v>
      </c>
      <c r="I61" t="s">
        <v>33</v>
      </c>
      <c r="J61" s="6" t="s">
        <v>802</v>
      </c>
      <c r="K61" t="s">
        <v>148</v>
      </c>
      <c r="L61" t="s">
        <v>149</v>
      </c>
      <c r="M61" s="3"/>
      <c r="N61" t="b">
        <v>0</v>
      </c>
      <c r="O61" t="b">
        <v>0</v>
      </c>
      <c r="P61" t="b">
        <v>0</v>
      </c>
      <c r="Q61" t="b">
        <v>0</v>
      </c>
      <c r="R61" t="b">
        <v>0</v>
      </c>
      <c r="S61" t="b">
        <v>0</v>
      </c>
      <c r="T61" t="b">
        <v>1</v>
      </c>
      <c r="U61" t="b">
        <v>0</v>
      </c>
      <c r="V61" t="b">
        <v>0</v>
      </c>
      <c r="W61" t="b">
        <v>0</v>
      </c>
      <c r="X61" t="b">
        <v>0</v>
      </c>
      <c r="Y61" t="b">
        <v>0</v>
      </c>
      <c r="Z61" t="b">
        <v>0</v>
      </c>
      <c r="AA61" t="b">
        <v>0</v>
      </c>
      <c r="AB61" t="b">
        <v>0</v>
      </c>
      <c r="AC61" t="s">
        <v>2875</v>
      </c>
      <c r="AD61" t="b">
        <v>0</v>
      </c>
      <c r="AE61" t="b">
        <v>1</v>
      </c>
      <c r="AF61" t="b">
        <v>0</v>
      </c>
      <c r="AG61" t="b">
        <v>0</v>
      </c>
      <c r="AH61" t="b">
        <v>0</v>
      </c>
      <c r="AI61">
        <v>1</v>
      </c>
      <c r="AJ61" t="s">
        <v>736</v>
      </c>
      <c r="AK61" t="s">
        <v>491</v>
      </c>
      <c r="AL61">
        <v>1</v>
      </c>
      <c r="AM61" t="b">
        <v>0</v>
      </c>
      <c r="AN61" t="b">
        <v>1</v>
      </c>
      <c r="AO61" t="b">
        <v>1</v>
      </c>
      <c r="AP61">
        <f>IF(ISNUMBER(tblPeople[[#This Row],[dob]]),DATEDIF(tblPeople[[#This Row],[dob]],RunDate,"y"),"")</f>
        <v>0</v>
      </c>
      <c r="AQ61">
        <f>COUNTIFS(tblReview[person_id],tblPeople[[#This Row],[person_id]],tblReview[status],"OPEN")</f>
        <v>0</v>
      </c>
    </row>
    <row r="62" spans="1:43">
      <c r="A62" s="6" t="s">
        <v>813</v>
      </c>
      <c r="B62" t="s">
        <v>809</v>
      </c>
      <c r="D62" t="s">
        <v>266</v>
      </c>
      <c r="F62" t="s">
        <v>145</v>
      </c>
      <c r="H62" t="s">
        <v>146</v>
      </c>
      <c r="I62" t="s">
        <v>33</v>
      </c>
      <c r="J62" s="6" t="s">
        <v>147</v>
      </c>
      <c r="K62" t="s">
        <v>148</v>
      </c>
      <c r="L62" t="s">
        <v>149</v>
      </c>
      <c r="M62" s="3"/>
      <c r="N62" t="b">
        <v>0</v>
      </c>
      <c r="O62" t="b">
        <v>0</v>
      </c>
      <c r="P62" t="b">
        <v>0</v>
      </c>
      <c r="Q62" t="b">
        <v>0</v>
      </c>
      <c r="R62" t="b">
        <v>0</v>
      </c>
      <c r="S62" t="b">
        <v>0</v>
      </c>
      <c r="T62" t="b">
        <v>1</v>
      </c>
      <c r="U62" t="b">
        <v>0</v>
      </c>
      <c r="V62" t="b">
        <v>0</v>
      </c>
      <c r="W62" t="b">
        <v>0</v>
      </c>
      <c r="X62" t="b">
        <v>0</v>
      </c>
      <c r="Y62" t="b">
        <v>0</v>
      </c>
      <c r="Z62" t="b">
        <v>0</v>
      </c>
      <c r="AA62" t="b">
        <v>0</v>
      </c>
      <c r="AB62" t="b">
        <v>0</v>
      </c>
      <c r="AC62" t="s">
        <v>2875</v>
      </c>
      <c r="AD62" t="b">
        <v>0</v>
      </c>
      <c r="AE62" t="b">
        <v>1</v>
      </c>
      <c r="AF62" t="b">
        <v>0</v>
      </c>
      <c r="AG62" t="b">
        <v>0</v>
      </c>
      <c r="AH62" t="b">
        <v>0</v>
      </c>
      <c r="AI62">
        <v>1</v>
      </c>
      <c r="AJ62" t="s">
        <v>736</v>
      </c>
      <c r="AK62" t="s">
        <v>491</v>
      </c>
      <c r="AL62">
        <v>1</v>
      </c>
      <c r="AM62" t="b">
        <v>0</v>
      </c>
      <c r="AN62" t="b">
        <v>0</v>
      </c>
      <c r="AO62" t="b">
        <v>1</v>
      </c>
      <c r="AP62">
        <f>IF(ISNUMBER(tblPeople[[#This Row],[dob]]),DATEDIF(tblPeople[[#This Row],[dob]],RunDate,"y"),"")</f>
        <v>0</v>
      </c>
      <c r="AQ62">
        <f>COUNTIFS(tblReview[person_id],tblPeople[[#This Row],[person_id]],tblReview[status],"OPEN")</f>
        <v>0</v>
      </c>
    </row>
    <row r="63" spans="1:43">
      <c r="A63" s="6" t="s">
        <v>822</v>
      </c>
      <c r="B63" t="s">
        <v>815</v>
      </c>
      <c r="D63" t="s">
        <v>816</v>
      </c>
      <c r="F63" t="s">
        <v>817</v>
      </c>
      <c r="H63" t="s">
        <v>818</v>
      </c>
      <c r="I63" t="s">
        <v>33</v>
      </c>
      <c r="J63" s="6" t="s">
        <v>819</v>
      </c>
      <c r="K63" t="s">
        <v>148</v>
      </c>
      <c r="L63" t="s">
        <v>205</v>
      </c>
      <c r="M63" s="3"/>
      <c r="N63" t="b">
        <v>0</v>
      </c>
      <c r="O63" t="b">
        <v>0</v>
      </c>
      <c r="P63" t="b">
        <v>0</v>
      </c>
      <c r="Q63" t="b">
        <v>0</v>
      </c>
      <c r="R63" t="b">
        <v>0</v>
      </c>
      <c r="S63" t="b">
        <v>0</v>
      </c>
      <c r="T63" t="b">
        <v>1</v>
      </c>
      <c r="U63" t="b">
        <v>0</v>
      </c>
      <c r="V63" t="b">
        <v>0</v>
      </c>
      <c r="W63" t="b">
        <v>0</v>
      </c>
      <c r="X63" t="b">
        <v>0</v>
      </c>
      <c r="Y63" t="b">
        <v>0</v>
      </c>
      <c r="Z63" t="b">
        <v>0</v>
      </c>
      <c r="AA63" t="b">
        <v>0</v>
      </c>
      <c r="AB63" t="b">
        <v>0</v>
      </c>
      <c r="AC63" t="s">
        <v>2875</v>
      </c>
      <c r="AD63" t="b">
        <v>0</v>
      </c>
      <c r="AE63" t="b">
        <v>1</v>
      </c>
      <c r="AF63" t="b">
        <v>0</v>
      </c>
      <c r="AG63" t="b">
        <v>0</v>
      </c>
      <c r="AH63" t="b">
        <v>0</v>
      </c>
      <c r="AI63">
        <v>1</v>
      </c>
      <c r="AJ63" t="s">
        <v>736</v>
      </c>
      <c r="AK63" t="s">
        <v>491</v>
      </c>
      <c r="AL63">
        <v>1</v>
      </c>
      <c r="AM63" t="b">
        <v>0</v>
      </c>
      <c r="AN63" t="b">
        <v>0</v>
      </c>
      <c r="AO63" t="b">
        <v>0</v>
      </c>
      <c r="AP63">
        <f>IF(ISNUMBER(tblPeople[[#This Row],[dob]]),DATEDIF(tblPeople[[#This Row],[dob]],RunDate,"y"),"")</f>
        <v>0</v>
      </c>
      <c r="AQ63">
        <f>COUNTIFS(tblReview[person_id],tblPeople[[#This Row],[person_id]],tblReview[status],"OPEN")</f>
        <v>0</v>
      </c>
    </row>
    <row r="64" spans="1:43">
      <c r="A64" s="6" t="s">
        <v>830</v>
      </c>
      <c r="B64" t="s">
        <v>331</v>
      </c>
      <c r="D64" t="s">
        <v>824</v>
      </c>
      <c r="F64" t="s">
        <v>825</v>
      </c>
      <c r="H64" t="s">
        <v>826</v>
      </c>
      <c r="I64" t="s">
        <v>40</v>
      </c>
      <c r="J64" s="6" t="s">
        <v>827</v>
      </c>
      <c r="K64" t="s">
        <v>148</v>
      </c>
      <c r="L64" t="s">
        <v>205</v>
      </c>
      <c r="M64" s="3"/>
      <c r="N64" t="b">
        <v>0</v>
      </c>
      <c r="O64" t="b">
        <v>0</v>
      </c>
      <c r="P64" t="b">
        <v>0</v>
      </c>
      <c r="Q64" t="b">
        <v>0</v>
      </c>
      <c r="R64" t="b">
        <v>0</v>
      </c>
      <c r="S64" t="b">
        <v>0</v>
      </c>
      <c r="T64" t="b">
        <v>1</v>
      </c>
      <c r="U64" t="b">
        <v>0</v>
      </c>
      <c r="V64" t="b">
        <v>0</v>
      </c>
      <c r="W64" t="b">
        <v>0</v>
      </c>
      <c r="X64" t="b">
        <v>0</v>
      </c>
      <c r="Y64" t="b">
        <v>0</v>
      </c>
      <c r="Z64" t="b">
        <v>0</v>
      </c>
      <c r="AA64" t="b">
        <v>0</v>
      </c>
      <c r="AB64" t="b">
        <v>0</v>
      </c>
      <c r="AC64" t="s">
        <v>2875</v>
      </c>
      <c r="AD64" t="b">
        <v>0</v>
      </c>
      <c r="AE64" t="b">
        <v>1</v>
      </c>
      <c r="AF64" t="b">
        <v>0</v>
      </c>
      <c r="AG64" t="b">
        <v>0</v>
      </c>
      <c r="AH64" t="b">
        <v>0</v>
      </c>
      <c r="AI64">
        <v>1</v>
      </c>
      <c r="AJ64" t="s">
        <v>736</v>
      </c>
      <c r="AK64" t="s">
        <v>491</v>
      </c>
      <c r="AL64">
        <v>1</v>
      </c>
      <c r="AM64" t="b">
        <v>0</v>
      </c>
      <c r="AN64" t="b">
        <v>0</v>
      </c>
      <c r="AO64" t="b">
        <v>1</v>
      </c>
      <c r="AP64">
        <f>IF(ISNUMBER(tblPeople[[#This Row],[dob]]),DATEDIF(tblPeople[[#This Row],[dob]],RunDate,"y"),"")</f>
        <v>0</v>
      </c>
      <c r="AQ64">
        <f>COUNTIFS(tblReview[person_id],tblPeople[[#This Row],[person_id]],tblReview[status],"OPEN")</f>
        <v>0</v>
      </c>
    </row>
    <row r="65" spans="1:43">
      <c r="A65" s="6" t="s">
        <v>836</v>
      </c>
      <c r="B65" t="s">
        <v>832</v>
      </c>
      <c r="D65" t="s">
        <v>833</v>
      </c>
      <c r="F65" t="s">
        <v>645</v>
      </c>
      <c r="H65" t="s">
        <v>646</v>
      </c>
      <c r="I65" t="s">
        <v>40</v>
      </c>
      <c r="J65" s="6" t="s">
        <v>647</v>
      </c>
      <c r="K65" t="s">
        <v>148</v>
      </c>
      <c r="L65" t="s">
        <v>149</v>
      </c>
      <c r="M65" s="3"/>
      <c r="N65" t="b">
        <v>0</v>
      </c>
      <c r="O65" t="b">
        <v>0</v>
      </c>
      <c r="P65" t="b">
        <v>0</v>
      </c>
      <c r="Q65" t="b">
        <v>0</v>
      </c>
      <c r="R65" t="b">
        <v>0</v>
      </c>
      <c r="S65" t="b">
        <v>0</v>
      </c>
      <c r="T65" t="b">
        <v>1</v>
      </c>
      <c r="U65" t="b">
        <v>0</v>
      </c>
      <c r="V65" t="b">
        <v>0</v>
      </c>
      <c r="W65" t="b">
        <v>0</v>
      </c>
      <c r="X65" t="b">
        <v>0</v>
      </c>
      <c r="Y65" t="b">
        <v>0</v>
      </c>
      <c r="Z65" t="b">
        <v>0</v>
      </c>
      <c r="AA65" t="b">
        <v>0</v>
      </c>
      <c r="AB65" t="b">
        <v>0</v>
      </c>
      <c r="AC65" t="s">
        <v>2875</v>
      </c>
      <c r="AD65" t="b">
        <v>0</v>
      </c>
      <c r="AE65" t="b">
        <v>1</v>
      </c>
      <c r="AF65" t="b">
        <v>0</v>
      </c>
      <c r="AG65" t="b">
        <v>0</v>
      </c>
      <c r="AH65" t="b">
        <v>0</v>
      </c>
      <c r="AI65">
        <v>1</v>
      </c>
      <c r="AJ65" t="s">
        <v>736</v>
      </c>
      <c r="AK65" t="s">
        <v>491</v>
      </c>
      <c r="AL65">
        <v>1</v>
      </c>
      <c r="AM65" t="b">
        <v>0</v>
      </c>
      <c r="AN65" t="b">
        <v>1</v>
      </c>
      <c r="AO65" t="b">
        <v>1</v>
      </c>
      <c r="AP65">
        <f>IF(ISNUMBER(tblPeople[[#This Row],[dob]]),DATEDIF(tblPeople[[#This Row],[dob]],RunDate,"y"),"")</f>
        <v>0</v>
      </c>
      <c r="AQ65">
        <f>COUNTIFS(tblReview[person_id],tblPeople[[#This Row],[person_id]],tblReview[status],"OPEN")</f>
        <v>0</v>
      </c>
    </row>
    <row r="66" spans="1:43">
      <c r="A66" s="6" t="s">
        <v>844</v>
      </c>
      <c r="B66" t="s">
        <v>678</v>
      </c>
      <c r="D66" t="s">
        <v>841</v>
      </c>
      <c r="F66" t="s">
        <v>165</v>
      </c>
      <c r="H66" t="s">
        <v>166</v>
      </c>
      <c r="I66" t="s">
        <v>38</v>
      </c>
      <c r="J66" s="6" t="s">
        <v>167</v>
      </c>
      <c r="K66" t="s">
        <v>148</v>
      </c>
      <c r="L66" t="s">
        <v>149</v>
      </c>
      <c r="M66" s="3"/>
      <c r="N66" t="b">
        <v>0</v>
      </c>
      <c r="O66" t="b">
        <v>0</v>
      </c>
      <c r="P66" t="b">
        <v>0</v>
      </c>
      <c r="Q66" t="b">
        <v>0</v>
      </c>
      <c r="R66" t="b">
        <v>0</v>
      </c>
      <c r="S66" t="b">
        <v>0</v>
      </c>
      <c r="T66" t="b">
        <v>1</v>
      </c>
      <c r="U66" t="b">
        <v>0</v>
      </c>
      <c r="V66" t="b">
        <v>0</v>
      </c>
      <c r="W66" t="b">
        <v>0</v>
      </c>
      <c r="X66" t="b">
        <v>0</v>
      </c>
      <c r="Y66" t="b">
        <v>0</v>
      </c>
      <c r="Z66" t="b">
        <v>0</v>
      </c>
      <c r="AA66" t="b">
        <v>0</v>
      </c>
      <c r="AB66" t="b">
        <v>0</v>
      </c>
      <c r="AC66" t="s">
        <v>2875</v>
      </c>
      <c r="AD66" t="b">
        <v>0</v>
      </c>
      <c r="AE66" t="b">
        <v>1</v>
      </c>
      <c r="AF66" t="b">
        <v>0</v>
      </c>
      <c r="AG66" t="b">
        <v>0</v>
      </c>
      <c r="AH66" t="b">
        <v>0</v>
      </c>
      <c r="AI66">
        <v>1</v>
      </c>
      <c r="AJ66" t="s">
        <v>736</v>
      </c>
      <c r="AK66" t="s">
        <v>491</v>
      </c>
      <c r="AL66">
        <v>1</v>
      </c>
      <c r="AM66" t="b">
        <v>0</v>
      </c>
      <c r="AN66" t="b">
        <v>0</v>
      </c>
      <c r="AO66" t="b">
        <v>1</v>
      </c>
      <c r="AP66">
        <f>IF(ISNUMBER(tblPeople[[#This Row],[dob]]),DATEDIF(tblPeople[[#This Row],[dob]],RunDate,"y"),"")</f>
        <v>0</v>
      </c>
      <c r="AQ66">
        <f>COUNTIFS(tblReview[person_id],tblPeople[[#This Row],[person_id]],tblReview[status],"OPEN")</f>
        <v>0</v>
      </c>
    </row>
    <row r="67" spans="1:43">
      <c r="A67" s="6" t="s">
        <v>853</v>
      </c>
      <c r="B67" t="s">
        <v>846</v>
      </c>
      <c r="D67" t="s">
        <v>847</v>
      </c>
      <c r="F67" t="s">
        <v>848</v>
      </c>
      <c r="H67" t="s">
        <v>849</v>
      </c>
      <c r="I67" t="s">
        <v>40</v>
      </c>
      <c r="J67" s="6" t="s">
        <v>850</v>
      </c>
      <c r="K67" t="s">
        <v>148</v>
      </c>
      <c r="L67" t="s">
        <v>205</v>
      </c>
      <c r="M67" s="3"/>
      <c r="N67" t="b">
        <v>0</v>
      </c>
      <c r="O67" t="b">
        <v>0</v>
      </c>
      <c r="P67" t="b">
        <v>0</v>
      </c>
      <c r="Q67" t="b">
        <v>0</v>
      </c>
      <c r="R67" t="b">
        <v>0</v>
      </c>
      <c r="S67" t="b">
        <v>0</v>
      </c>
      <c r="T67" t="b">
        <v>1</v>
      </c>
      <c r="U67" t="b">
        <v>0</v>
      </c>
      <c r="V67" t="b">
        <v>0</v>
      </c>
      <c r="W67" t="b">
        <v>0</v>
      </c>
      <c r="X67" t="b">
        <v>0</v>
      </c>
      <c r="Y67" t="b">
        <v>0</v>
      </c>
      <c r="Z67" t="b">
        <v>0</v>
      </c>
      <c r="AA67" t="b">
        <v>0</v>
      </c>
      <c r="AB67" t="b">
        <v>0</v>
      </c>
      <c r="AC67" t="s">
        <v>2875</v>
      </c>
      <c r="AD67" t="b">
        <v>0</v>
      </c>
      <c r="AE67" t="b">
        <v>1</v>
      </c>
      <c r="AF67" t="b">
        <v>0</v>
      </c>
      <c r="AG67" t="b">
        <v>0</v>
      </c>
      <c r="AH67" t="b">
        <v>0</v>
      </c>
      <c r="AI67">
        <v>1</v>
      </c>
      <c r="AJ67" t="s">
        <v>736</v>
      </c>
      <c r="AK67" t="s">
        <v>491</v>
      </c>
      <c r="AL67">
        <v>1</v>
      </c>
      <c r="AM67" t="b">
        <v>0</v>
      </c>
      <c r="AN67" t="b">
        <v>0</v>
      </c>
      <c r="AO67" t="b">
        <v>1</v>
      </c>
      <c r="AP67">
        <f>IF(ISNUMBER(tblPeople[[#This Row],[dob]]),DATEDIF(tblPeople[[#This Row],[dob]],RunDate,"y"),"")</f>
        <v>0</v>
      </c>
      <c r="AQ67">
        <f>COUNTIFS(tblReview[person_id],tblPeople[[#This Row],[person_id]],tblReview[status],"OPEN")</f>
        <v>0</v>
      </c>
    </row>
    <row r="68" spans="1:43">
      <c r="A68" s="6" t="s">
        <v>861</v>
      </c>
      <c r="B68" t="s">
        <v>855</v>
      </c>
      <c r="D68" t="s">
        <v>268</v>
      </c>
      <c r="F68" t="s">
        <v>856</v>
      </c>
      <c r="H68" t="s">
        <v>614</v>
      </c>
      <c r="I68" t="s">
        <v>39</v>
      </c>
      <c r="J68" s="6" t="s">
        <v>857</v>
      </c>
      <c r="K68" t="s">
        <v>148</v>
      </c>
      <c r="L68" t="s">
        <v>205</v>
      </c>
      <c r="M68" s="3"/>
      <c r="N68" t="b">
        <v>0</v>
      </c>
      <c r="O68" t="b">
        <v>0</v>
      </c>
      <c r="P68" t="b">
        <v>0</v>
      </c>
      <c r="Q68" t="b">
        <v>0</v>
      </c>
      <c r="R68" t="b">
        <v>0</v>
      </c>
      <c r="S68" t="b">
        <v>0</v>
      </c>
      <c r="T68" t="b">
        <v>1</v>
      </c>
      <c r="U68" t="b">
        <v>0</v>
      </c>
      <c r="V68" t="b">
        <v>0</v>
      </c>
      <c r="W68" t="b">
        <v>0</v>
      </c>
      <c r="X68" t="b">
        <v>0</v>
      </c>
      <c r="Y68" t="b">
        <v>0</v>
      </c>
      <c r="Z68" t="b">
        <v>0</v>
      </c>
      <c r="AA68" t="b">
        <v>0</v>
      </c>
      <c r="AB68" t="b">
        <v>0</v>
      </c>
      <c r="AC68" t="s">
        <v>2875</v>
      </c>
      <c r="AD68" t="b">
        <v>0</v>
      </c>
      <c r="AE68" t="b">
        <v>1</v>
      </c>
      <c r="AF68" t="b">
        <v>0</v>
      </c>
      <c r="AG68" t="b">
        <v>0</v>
      </c>
      <c r="AH68" t="b">
        <v>0</v>
      </c>
      <c r="AI68">
        <v>1</v>
      </c>
      <c r="AJ68" t="s">
        <v>736</v>
      </c>
      <c r="AK68" t="s">
        <v>491</v>
      </c>
      <c r="AL68">
        <v>1</v>
      </c>
      <c r="AM68" t="b">
        <v>0</v>
      </c>
      <c r="AN68" t="b">
        <v>1</v>
      </c>
      <c r="AO68" t="b">
        <v>1</v>
      </c>
      <c r="AP68">
        <f>IF(ISNUMBER(tblPeople[[#This Row],[dob]]),DATEDIF(tblPeople[[#This Row],[dob]],RunDate,"y"),"")</f>
        <v>0</v>
      </c>
      <c r="AQ68">
        <f>COUNTIFS(tblReview[person_id],tblPeople[[#This Row],[person_id]],tblReview[status],"OPEN")</f>
        <v>0</v>
      </c>
    </row>
    <row r="69" spans="1:43">
      <c r="A69" s="6" t="s">
        <v>866</v>
      </c>
      <c r="B69" t="s">
        <v>658</v>
      </c>
      <c r="D69" t="s">
        <v>863</v>
      </c>
      <c r="F69" t="s">
        <v>696</v>
      </c>
      <c r="H69" t="s">
        <v>697</v>
      </c>
      <c r="I69" t="s">
        <v>40</v>
      </c>
      <c r="J69" s="6" t="s">
        <v>698</v>
      </c>
      <c r="K69" t="s">
        <v>148</v>
      </c>
      <c r="L69" t="s">
        <v>149</v>
      </c>
      <c r="M69" s="3"/>
      <c r="N69" t="b">
        <v>0</v>
      </c>
      <c r="O69" t="b">
        <v>0</v>
      </c>
      <c r="P69" t="b">
        <v>0</v>
      </c>
      <c r="Q69" t="b">
        <v>0</v>
      </c>
      <c r="R69" t="b">
        <v>0</v>
      </c>
      <c r="S69" t="b">
        <v>0</v>
      </c>
      <c r="T69" t="b">
        <v>1</v>
      </c>
      <c r="U69" t="b">
        <v>0</v>
      </c>
      <c r="V69" t="b">
        <v>0</v>
      </c>
      <c r="W69" t="b">
        <v>0</v>
      </c>
      <c r="X69" t="b">
        <v>0</v>
      </c>
      <c r="Y69" t="b">
        <v>0</v>
      </c>
      <c r="Z69" t="b">
        <v>0</v>
      </c>
      <c r="AA69" t="b">
        <v>0</v>
      </c>
      <c r="AB69" t="b">
        <v>0</v>
      </c>
      <c r="AC69" t="s">
        <v>2875</v>
      </c>
      <c r="AD69" t="b">
        <v>0</v>
      </c>
      <c r="AE69" t="b">
        <v>1</v>
      </c>
      <c r="AF69" t="b">
        <v>0</v>
      </c>
      <c r="AG69" t="b">
        <v>0</v>
      </c>
      <c r="AH69" t="b">
        <v>0</v>
      </c>
      <c r="AI69">
        <v>1</v>
      </c>
      <c r="AJ69" t="s">
        <v>736</v>
      </c>
      <c r="AK69" t="s">
        <v>491</v>
      </c>
      <c r="AL69">
        <v>1</v>
      </c>
      <c r="AM69" t="b">
        <v>0</v>
      </c>
      <c r="AN69" t="b">
        <v>1</v>
      </c>
      <c r="AO69" t="b">
        <v>1</v>
      </c>
      <c r="AP69">
        <f>IF(ISNUMBER(tblPeople[[#This Row],[dob]]),DATEDIF(tblPeople[[#This Row],[dob]],RunDate,"y"),"")</f>
        <v>0</v>
      </c>
      <c r="AQ69">
        <f>COUNTIFS(tblReview[person_id],tblPeople[[#This Row],[person_id]],tblReview[status],"OPEN")</f>
        <v>0</v>
      </c>
    </row>
    <row r="70" spans="1:43">
      <c r="A70" s="6" t="s">
        <v>872</v>
      </c>
      <c r="B70" t="s">
        <v>868</v>
      </c>
      <c r="D70" t="s">
        <v>869</v>
      </c>
      <c r="F70" t="s">
        <v>316</v>
      </c>
      <c r="H70" t="s">
        <v>317</v>
      </c>
      <c r="I70" t="s">
        <v>34</v>
      </c>
      <c r="J70" s="6" t="s">
        <v>318</v>
      </c>
      <c r="K70" t="s">
        <v>148</v>
      </c>
      <c r="L70" t="s">
        <v>149</v>
      </c>
      <c r="M70" s="3"/>
      <c r="N70" t="b">
        <v>0</v>
      </c>
      <c r="O70" t="b">
        <v>0</v>
      </c>
      <c r="P70" t="b">
        <v>0</v>
      </c>
      <c r="Q70" t="b">
        <v>0</v>
      </c>
      <c r="R70" t="b">
        <v>0</v>
      </c>
      <c r="S70" t="b">
        <v>0</v>
      </c>
      <c r="T70" t="b">
        <v>1</v>
      </c>
      <c r="U70" t="b">
        <v>0</v>
      </c>
      <c r="V70" t="b">
        <v>0</v>
      </c>
      <c r="W70" t="b">
        <v>0</v>
      </c>
      <c r="X70" t="b">
        <v>0</v>
      </c>
      <c r="Y70" t="b">
        <v>0</v>
      </c>
      <c r="Z70" t="b">
        <v>0</v>
      </c>
      <c r="AA70" t="b">
        <v>0</v>
      </c>
      <c r="AB70" t="b">
        <v>0</v>
      </c>
      <c r="AC70" t="s">
        <v>2875</v>
      </c>
      <c r="AD70" t="b">
        <v>0</v>
      </c>
      <c r="AE70" t="b">
        <v>1</v>
      </c>
      <c r="AF70" t="b">
        <v>0</v>
      </c>
      <c r="AG70" t="b">
        <v>0</v>
      </c>
      <c r="AH70" t="b">
        <v>0</v>
      </c>
      <c r="AI70">
        <v>1</v>
      </c>
      <c r="AJ70" t="s">
        <v>736</v>
      </c>
      <c r="AK70" t="s">
        <v>491</v>
      </c>
      <c r="AL70">
        <v>1</v>
      </c>
      <c r="AM70" t="b">
        <v>0</v>
      </c>
      <c r="AN70" t="b">
        <v>0</v>
      </c>
      <c r="AO70" t="b">
        <v>1</v>
      </c>
      <c r="AP70">
        <f>IF(ISNUMBER(tblPeople[[#This Row],[dob]]),DATEDIF(tblPeople[[#This Row],[dob]],RunDate,"y"),"")</f>
        <v>0</v>
      </c>
      <c r="AQ70">
        <f>COUNTIFS(tblReview[person_id],tblPeople[[#This Row],[person_id]],tblReview[status],"OPEN")</f>
        <v>0</v>
      </c>
    </row>
    <row r="71" spans="1:43">
      <c r="A71" s="6" t="s">
        <v>880</v>
      </c>
      <c r="B71" t="s">
        <v>266</v>
      </c>
      <c r="D71" t="s">
        <v>650</v>
      </c>
      <c r="F71" t="s">
        <v>874</v>
      </c>
      <c r="H71" t="s">
        <v>875</v>
      </c>
      <c r="I71" t="s">
        <v>34</v>
      </c>
      <c r="J71" s="6" t="s">
        <v>876</v>
      </c>
      <c r="K71" t="s">
        <v>148</v>
      </c>
      <c r="L71" t="s">
        <v>205</v>
      </c>
      <c r="M71" s="3"/>
      <c r="N71" t="b">
        <v>0</v>
      </c>
      <c r="O71" t="b">
        <v>0</v>
      </c>
      <c r="P71" t="b">
        <v>0</v>
      </c>
      <c r="Q71" t="b">
        <v>0</v>
      </c>
      <c r="R71" t="b">
        <v>0</v>
      </c>
      <c r="S71" t="b">
        <v>0</v>
      </c>
      <c r="T71" t="b">
        <v>1</v>
      </c>
      <c r="U71" t="b">
        <v>0</v>
      </c>
      <c r="V71" t="b">
        <v>0</v>
      </c>
      <c r="W71" t="b">
        <v>0</v>
      </c>
      <c r="X71" t="b">
        <v>0</v>
      </c>
      <c r="Y71" t="b">
        <v>0</v>
      </c>
      <c r="Z71" t="b">
        <v>0</v>
      </c>
      <c r="AA71" t="b">
        <v>0</v>
      </c>
      <c r="AB71" t="b">
        <v>0</v>
      </c>
      <c r="AC71" t="s">
        <v>2875</v>
      </c>
      <c r="AD71" t="b">
        <v>0</v>
      </c>
      <c r="AE71" t="b">
        <v>1</v>
      </c>
      <c r="AF71" t="b">
        <v>0</v>
      </c>
      <c r="AG71" t="b">
        <v>0</v>
      </c>
      <c r="AH71" t="b">
        <v>0</v>
      </c>
      <c r="AI71">
        <v>1</v>
      </c>
      <c r="AJ71" t="s">
        <v>736</v>
      </c>
      <c r="AK71" t="s">
        <v>491</v>
      </c>
      <c r="AL71">
        <v>1</v>
      </c>
      <c r="AM71" t="b">
        <v>0</v>
      </c>
      <c r="AN71" t="b">
        <v>0</v>
      </c>
      <c r="AO71" t="b">
        <v>0</v>
      </c>
      <c r="AP71">
        <f>IF(ISNUMBER(tblPeople[[#This Row],[dob]]),DATEDIF(tblPeople[[#This Row],[dob]],RunDate,"y"),"")</f>
        <v>0</v>
      </c>
      <c r="AQ71">
        <f>COUNTIFS(tblReview[person_id],tblPeople[[#This Row],[person_id]],tblReview[status],"OPEN")</f>
        <v>0</v>
      </c>
    </row>
    <row r="72" spans="1:43">
      <c r="A72" s="6" t="s">
        <v>889</v>
      </c>
      <c r="B72" t="s">
        <v>882</v>
      </c>
      <c r="D72" t="s">
        <v>883</v>
      </c>
      <c r="F72" t="s">
        <v>884</v>
      </c>
      <c r="H72" t="s">
        <v>885</v>
      </c>
      <c r="I72" t="s">
        <v>37</v>
      </c>
      <c r="J72" s="6" t="s">
        <v>886</v>
      </c>
      <c r="K72" t="s">
        <v>148</v>
      </c>
      <c r="L72" t="s">
        <v>205</v>
      </c>
      <c r="M72" s="3"/>
      <c r="N72" t="b">
        <v>0</v>
      </c>
      <c r="O72" t="b">
        <v>0</v>
      </c>
      <c r="P72" t="b">
        <v>0</v>
      </c>
      <c r="Q72" t="b">
        <v>0</v>
      </c>
      <c r="R72" t="b">
        <v>0</v>
      </c>
      <c r="S72" t="b">
        <v>0</v>
      </c>
      <c r="T72" t="b">
        <v>1</v>
      </c>
      <c r="U72" t="b">
        <v>0</v>
      </c>
      <c r="V72" t="b">
        <v>0</v>
      </c>
      <c r="W72" t="b">
        <v>0</v>
      </c>
      <c r="X72" t="b">
        <v>0</v>
      </c>
      <c r="Y72" t="b">
        <v>0</v>
      </c>
      <c r="Z72" t="b">
        <v>0</v>
      </c>
      <c r="AA72" t="b">
        <v>0</v>
      </c>
      <c r="AB72" t="b">
        <v>0</v>
      </c>
      <c r="AC72" t="s">
        <v>2875</v>
      </c>
      <c r="AD72" t="b">
        <v>0</v>
      </c>
      <c r="AE72" t="b">
        <v>1</v>
      </c>
      <c r="AF72" t="b">
        <v>0</v>
      </c>
      <c r="AG72" t="b">
        <v>0</v>
      </c>
      <c r="AH72" t="b">
        <v>0</v>
      </c>
      <c r="AI72">
        <v>1</v>
      </c>
      <c r="AJ72" t="s">
        <v>736</v>
      </c>
      <c r="AK72" t="s">
        <v>491</v>
      </c>
      <c r="AL72">
        <v>1</v>
      </c>
      <c r="AM72" t="b">
        <v>0</v>
      </c>
      <c r="AN72" t="b">
        <v>0</v>
      </c>
      <c r="AO72" t="b">
        <v>1</v>
      </c>
      <c r="AP72">
        <f>IF(ISNUMBER(tblPeople[[#This Row],[dob]]),DATEDIF(tblPeople[[#This Row],[dob]],RunDate,"y"),"")</f>
        <v>0</v>
      </c>
      <c r="AQ72">
        <f>COUNTIFS(tblReview[person_id],tblPeople[[#This Row],[person_id]],tblReview[status],"OPEN")</f>
        <v>0</v>
      </c>
    </row>
    <row r="73" spans="1:43">
      <c r="A73" s="6" t="s">
        <v>897</v>
      </c>
      <c r="B73" t="s">
        <v>891</v>
      </c>
      <c r="D73" t="s">
        <v>892</v>
      </c>
      <c r="F73" t="s">
        <v>893</v>
      </c>
      <c r="H73" t="s">
        <v>334</v>
      </c>
      <c r="I73" t="s">
        <v>33</v>
      </c>
      <c r="J73" s="6" t="s">
        <v>894</v>
      </c>
      <c r="K73" t="s">
        <v>148</v>
      </c>
      <c r="L73" t="s">
        <v>205</v>
      </c>
      <c r="M73" s="3"/>
      <c r="N73" t="b">
        <v>0</v>
      </c>
      <c r="O73" t="b">
        <v>0</v>
      </c>
      <c r="P73" t="b">
        <v>0</v>
      </c>
      <c r="Q73" t="b">
        <v>0</v>
      </c>
      <c r="R73" t="b">
        <v>0</v>
      </c>
      <c r="S73" t="b">
        <v>0</v>
      </c>
      <c r="T73" t="b">
        <v>1</v>
      </c>
      <c r="U73" t="b">
        <v>0</v>
      </c>
      <c r="V73" t="b">
        <v>0</v>
      </c>
      <c r="W73" t="b">
        <v>0</v>
      </c>
      <c r="X73" t="b">
        <v>0</v>
      </c>
      <c r="Y73" t="b">
        <v>0</v>
      </c>
      <c r="Z73" t="b">
        <v>0</v>
      </c>
      <c r="AA73" t="b">
        <v>0</v>
      </c>
      <c r="AB73" t="b">
        <v>0</v>
      </c>
      <c r="AC73" t="s">
        <v>2875</v>
      </c>
      <c r="AD73" t="b">
        <v>0</v>
      </c>
      <c r="AE73" t="b">
        <v>1</v>
      </c>
      <c r="AF73" t="b">
        <v>0</v>
      </c>
      <c r="AG73" t="b">
        <v>0</v>
      </c>
      <c r="AH73" t="b">
        <v>0</v>
      </c>
      <c r="AI73">
        <v>1</v>
      </c>
      <c r="AJ73" t="s">
        <v>736</v>
      </c>
      <c r="AK73" t="s">
        <v>491</v>
      </c>
      <c r="AL73">
        <v>1</v>
      </c>
      <c r="AM73" t="b">
        <v>0</v>
      </c>
      <c r="AN73" t="b">
        <v>0</v>
      </c>
      <c r="AO73" t="b">
        <v>1</v>
      </c>
      <c r="AP73">
        <f>IF(ISNUMBER(tblPeople[[#This Row],[dob]]),DATEDIF(tblPeople[[#This Row],[dob]],RunDate,"y"),"")</f>
        <v>0</v>
      </c>
      <c r="AQ73">
        <f>COUNTIFS(tblReview[person_id],tblPeople[[#This Row],[person_id]],tblReview[status],"OPEN")</f>
        <v>0</v>
      </c>
    </row>
    <row r="74" spans="1:43">
      <c r="A74" s="6" t="s">
        <v>909</v>
      </c>
      <c r="B74" t="s">
        <v>902</v>
      </c>
      <c r="D74" t="s">
        <v>903</v>
      </c>
      <c r="F74" t="s">
        <v>904</v>
      </c>
      <c r="H74" t="s">
        <v>905</v>
      </c>
      <c r="I74" t="s">
        <v>40</v>
      </c>
      <c r="J74" s="6" t="s">
        <v>906</v>
      </c>
      <c r="K74" t="s">
        <v>148</v>
      </c>
      <c r="L74" t="s">
        <v>205</v>
      </c>
      <c r="M74" s="3"/>
      <c r="N74" t="b">
        <v>0</v>
      </c>
      <c r="O74" t="b">
        <v>0</v>
      </c>
      <c r="P74" t="b">
        <v>0</v>
      </c>
      <c r="Q74" t="b">
        <v>0</v>
      </c>
      <c r="R74" t="b">
        <v>0</v>
      </c>
      <c r="S74" t="b">
        <v>0</v>
      </c>
      <c r="T74" t="b">
        <v>1</v>
      </c>
      <c r="U74" t="b">
        <v>0</v>
      </c>
      <c r="V74" t="b">
        <v>0</v>
      </c>
      <c r="W74" t="b">
        <v>0</v>
      </c>
      <c r="X74" t="b">
        <v>0</v>
      </c>
      <c r="Y74" t="b">
        <v>0</v>
      </c>
      <c r="Z74" t="b">
        <v>0</v>
      </c>
      <c r="AA74" t="b">
        <v>0</v>
      </c>
      <c r="AB74" t="b">
        <v>0</v>
      </c>
      <c r="AC74" t="s">
        <v>2875</v>
      </c>
      <c r="AD74" t="b">
        <v>0</v>
      </c>
      <c r="AE74" t="b">
        <v>1</v>
      </c>
      <c r="AF74" t="b">
        <v>0</v>
      </c>
      <c r="AG74" t="b">
        <v>0</v>
      </c>
      <c r="AH74" t="b">
        <v>0</v>
      </c>
      <c r="AI74">
        <v>1</v>
      </c>
      <c r="AJ74" t="s">
        <v>736</v>
      </c>
      <c r="AK74" t="s">
        <v>491</v>
      </c>
      <c r="AL74">
        <v>1</v>
      </c>
      <c r="AM74" t="b">
        <v>0</v>
      </c>
      <c r="AN74" t="b">
        <v>0</v>
      </c>
      <c r="AO74" t="b">
        <v>1</v>
      </c>
      <c r="AP74">
        <f>IF(ISNUMBER(tblPeople[[#This Row],[dob]]),DATEDIF(tblPeople[[#This Row],[dob]],RunDate,"y"),"")</f>
        <v>0</v>
      </c>
      <c r="AQ74">
        <f>COUNTIFS(tblReview[person_id],tblPeople[[#This Row],[person_id]],tblReview[status],"OPEN")</f>
        <v>0</v>
      </c>
    </row>
    <row r="75" spans="1:43">
      <c r="A75" s="6" t="s">
        <v>917</v>
      </c>
      <c r="B75" t="s">
        <v>371</v>
      </c>
      <c r="D75" t="s">
        <v>911</v>
      </c>
      <c r="F75" t="s">
        <v>912</v>
      </c>
      <c r="H75" t="s">
        <v>913</v>
      </c>
      <c r="I75" t="s">
        <v>37</v>
      </c>
      <c r="J75" s="6" t="s">
        <v>914</v>
      </c>
      <c r="K75" t="s">
        <v>148</v>
      </c>
      <c r="L75" t="s">
        <v>205</v>
      </c>
      <c r="M75" s="3"/>
      <c r="N75" t="b">
        <v>0</v>
      </c>
      <c r="O75" t="b">
        <v>0</v>
      </c>
      <c r="P75" t="b">
        <v>0</v>
      </c>
      <c r="Q75" t="b">
        <v>0</v>
      </c>
      <c r="R75" t="b">
        <v>0</v>
      </c>
      <c r="S75" t="b">
        <v>0</v>
      </c>
      <c r="T75" t="b">
        <v>1</v>
      </c>
      <c r="U75" t="b">
        <v>0</v>
      </c>
      <c r="V75" t="b">
        <v>0</v>
      </c>
      <c r="W75" t="b">
        <v>0</v>
      </c>
      <c r="X75" t="b">
        <v>0</v>
      </c>
      <c r="Y75" t="b">
        <v>0</v>
      </c>
      <c r="Z75" t="b">
        <v>0</v>
      </c>
      <c r="AA75" t="b">
        <v>0</v>
      </c>
      <c r="AB75" t="b">
        <v>0</v>
      </c>
      <c r="AC75" t="s">
        <v>2875</v>
      </c>
      <c r="AD75" t="b">
        <v>0</v>
      </c>
      <c r="AE75" t="b">
        <v>1</v>
      </c>
      <c r="AF75" t="b">
        <v>0</v>
      </c>
      <c r="AG75" t="b">
        <v>0</v>
      </c>
      <c r="AH75" t="b">
        <v>0</v>
      </c>
      <c r="AI75">
        <v>1</v>
      </c>
      <c r="AJ75" t="s">
        <v>736</v>
      </c>
      <c r="AK75" t="s">
        <v>491</v>
      </c>
      <c r="AL75">
        <v>1</v>
      </c>
      <c r="AM75" t="b">
        <v>0</v>
      </c>
      <c r="AN75" t="b">
        <v>0</v>
      </c>
      <c r="AO75" t="b">
        <v>0</v>
      </c>
      <c r="AP75">
        <f>IF(ISNUMBER(tblPeople[[#This Row],[dob]]),DATEDIF(tblPeople[[#This Row],[dob]],RunDate,"y"),"")</f>
        <v>0</v>
      </c>
      <c r="AQ75">
        <f>COUNTIFS(tblReview[person_id],tblPeople[[#This Row],[person_id]],tblReview[status],"OPEN")</f>
        <v>0</v>
      </c>
    </row>
    <row r="76" spans="1:43">
      <c r="A76" s="6" t="s">
        <v>921</v>
      </c>
      <c r="B76" t="s">
        <v>331</v>
      </c>
      <c r="D76" t="s">
        <v>143</v>
      </c>
      <c r="F76" t="s">
        <v>191</v>
      </c>
      <c r="H76" t="s">
        <v>192</v>
      </c>
      <c r="I76" t="s">
        <v>38</v>
      </c>
      <c r="J76" s="6" t="s">
        <v>193</v>
      </c>
      <c r="K76" t="s">
        <v>148</v>
      </c>
      <c r="L76" t="s">
        <v>149</v>
      </c>
      <c r="M76" s="3"/>
      <c r="N76" t="b">
        <v>0</v>
      </c>
      <c r="O76" t="b">
        <v>0</v>
      </c>
      <c r="P76" t="b">
        <v>0</v>
      </c>
      <c r="Q76" t="b">
        <v>0</v>
      </c>
      <c r="R76" t="b">
        <v>0</v>
      </c>
      <c r="S76" t="b">
        <v>0</v>
      </c>
      <c r="T76" t="b">
        <v>1</v>
      </c>
      <c r="U76" t="b">
        <v>0</v>
      </c>
      <c r="V76" t="b">
        <v>0</v>
      </c>
      <c r="W76" t="b">
        <v>0</v>
      </c>
      <c r="X76" t="b">
        <v>0</v>
      </c>
      <c r="Y76" t="b">
        <v>0</v>
      </c>
      <c r="Z76" t="b">
        <v>0</v>
      </c>
      <c r="AA76" t="b">
        <v>0</v>
      </c>
      <c r="AB76" t="b">
        <v>0</v>
      </c>
      <c r="AC76" t="s">
        <v>2875</v>
      </c>
      <c r="AD76" t="b">
        <v>0</v>
      </c>
      <c r="AE76" t="b">
        <v>1</v>
      </c>
      <c r="AF76" t="b">
        <v>0</v>
      </c>
      <c r="AG76" t="b">
        <v>0</v>
      </c>
      <c r="AH76" t="b">
        <v>0</v>
      </c>
      <c r="AI76">
        <v>1</v>
      </c>
      <c r="AJ76" t="s">
        <v>736</v>
      </c>
      <c r="AK76" t="s">
        <v>491</v>
      </c>
      <c r="AL76">
        <v>1</v>
      </c>
      <c r="AM76" t="b">
        <v>0</v>
      </c>
      <c r="AN76" t="b">
        <v>1</v>
      </c>
      <c r="AO76" t="b">
        <v>1</v>
      </c>
      <c r="AP76">
        <f>IF(ISNUMBER(tblPeople[[#This Row],[dob]]),DATEDIF(tblPeople[[#This Row],[dob]],RunDate,"y"),"")</f>
        <v>0</v>
      </c>
      <c r="AQ76">
        <f>COUNTIFS(tblReview[person_id],tblPeople[[#This Row],[person_id]],tblReview[status],"OPEN")</f>
        <v>0</v>
      </c>
    </row>
    <row r="77" spans="1:43">
      <c r="A77" s="6" t="s">
        <v>929</v>
      </c>
      <c r="B77" t="s">
        <v>832</v>
      </c>
      <c r="D77" t="s">
        <v>923</v>
      </c>
      <c r="F77" t="s">
        <v>924</v>
      </c>
      <c r="H77" t="s">
        <v>925</v>
      </c>
      <c r="I77" t="s">
        <v>36</v>
      </c>
      <c r="J77" s="6" t="s">
        <v>926</v>
      </c>
      <c r="K77" t="s">
        <v>148</v>
      </c>
      <c r="L77" t="s">
        <v>205</v>
      </c>
      <c r="M77" s="3"/>
      <c r="N77" t="b">
        <v>0</v>
      </c>
      <c r="O77" t="b">
        <v>0</v>
      </c>
      <c r="P77" t="b">
        <v>0</v>
      </c>
      <c r="Q77" t="b">
        <v>0</v>
      </c>
      <c r="R77" t="b">
        <v>0</v>
      </c>
      <c r="S77" t="b">
        <v>0</v>
      </c>
      <c r="T77" t="b">
        <v>1</v>
      </c>
      <c r="U77" t="b">
        <v>0</v>
      </c>
      <c r="V77" t="b">
        <v>0</v>
      </c>
      <c r="W77" t="b">
        <v>0</v>
      </c>
      <c r="X77" t="b">
        <v>0</v>
      </c>
      <c r="Y77" t="b">
        <v>0</v>
      </c>
      <c r="Z77" t="b">
        <v>0</v>
      </c>
      <c r="AA77" t="b">
        <v>0</v>
      </c>
      <c r="AB77" t="b">
        <v>0</v>
      </c>
      <c r="AC77" t="s">
        <v>2875</v>
      </c>
      <c r="AD77" t="b">
        <v>0</v>
      </c>
      <c r="AE77" t="b">
        <v>1</v>
      </c>
      <c r="AF77" t="b">
        <v>0</v>
      </c>
      <c r="AG77" t="b">
        <v>0</v>
      </c>
      <c r="AH77" t="b">
        <v>0</v>
      </c>
      <c r="AI77">
        <v>1</v>
      </c>
      <c r="AJ77" t="s">
        <v>736</v>
      </c>
      <c r="AK77" t="s">
        <v>491</v>
      </c>
      <c r="AL77">
        <v>1</v>
      </c>
      <c r="AM77" t="b">
        <v>0</v>
      </c>
      <c r="AN77" t="b">
        <v>0</v>
      </c>
      <c r="AO77" t="b">
        <v>1</v>
      </c>
      <c r="AP77">
        <f>IF(ISNUMBER(tblPeople[[#This Row],[dob]]),DATEDIF(tblPeople[[#This Row],[dob]],RunDate,"y"),"")</f>
        <v>0</v>
      </c>
      <c r="AQ77">
        <f>COUNTIFS(tblReview[person_id],tblPeople[[#This Row],[person_id]],tblReview[status],"OPEN")</f>
        <v>0</v>
      </c>
    </row>
    <row r="78" spans="1:43">
      <c r="A78" s="6" t="s">
        <v>938</v>
      </c>
      <c r="B78" t="s">
        <v>468</v>
      </c>
      <c r="D78" t="s">
        <v>931</v>
      </c>
      <c r="F78" t="s">
        <v>932</v>
      </c>
      <c r="H78" t="s">
        <v>933</v>
      </c>
      <c r="I78" t="s">
        <v>37</v>
      </c>
      <c r="J78" s="6" t="s">
        <v>934</v>
      </c>
      <c r="K78" t="s">
        <v>148</v>
      </c>
      <c r="L78" t="s">
        <v>205</v>
      </c>
      <c r="M78" s="3"/>
      <c r="N78" t="b">
        <v>0</v>
      </c>
      <c r="O78" t="b">
        <v>0</v>
      </c>
      <c r="P78" t="b">
        <v>0</v>
      </c>
      <c r="Q78" t="b">
        <v>0</v>
      </c>
      <c r="R78" t="b">
        <v>0</v>
      </c>
      <c r="S78" t="b">
        <v>0</v>
      </c>
      <c r="T78" t="b">
        <v>1</v>
      </c>
      <c r="U78" t="b">
        <v>0</v>
      </c>
      <c r="V78" t="b">
        <v>0</v>
      </c>
      <c r="W78" t="b">
        <v>0</v>
      </c>
      <c r="X78" t="b">
        <v>0</v>
      </c>
      <c r="Y78" t="b">
        <v>0</v>
      </c>
      <c r="Z78" t="b">
        <v>0</v>
      </c>
      <c r="AA78" t="b">
        <v>0</v>
      </c>
      <c r="AB78" t="b">
        <v>0</v>
      </c>
      <c r="AC78" t="s">
        <v>2875</v>
      </c>
      <c r="AD78" t="b">
        <v>0</v>
      </c>
      <c r="AE78" t="b">
        <v>1</v>
      </c>
      <c r="AF78" t="b">
        <v>0</v>
      </c>
      <c r="AG78" t="b">
        <v>0</v>
      </c>
      <c r="AH78" t="b">
        <v>0</v>
      </c>
      <c r="AI78">
        <v>1</v>
      </c>
      <c r="AJ78" t="s">
        <v>736</v>
      </c>
      <c r="AK78" t="s">
        <v>491</v>
      </c>
      <c r="AL78">
        <v>1</v>
      </c>
      <c r="AM78" t="b">
        <v>0</v>
      </c>
      <c r="AN78" t="b">
        <v>1</v>
      </c>
      <c r="AO78" t="b">
        <v>1</v>
      </c>
      <c r="AP78">
        <f>IF(ISNUMBER(tblPeople[[#This Row],[dob]]),DATEDIF(tblPeople[[#This Row],[dob]],RunDate,"y"),"")</f>
        <v>0</v>
      </c>
      <c r="AQ78">
        <f>COUNTIFS(tblReview[person_id],tblPeople[[#This Row],[person_id]],tblReview[status],"OPEN")</f>
        <v>0</v>
      </c>
    </row>
    <row r="79" spans="1:43">
      <c r="A79" s="6" t="s">
        <v>949</v>
      </c>
      <c r="B79" t="s">
        <v>942</v>
      </c>
      <c r="D79" t="s">
        <v>943</v>
      </c>
      <c r="F79" t="s">
        <v>944</v>
      </c>
      <c r="H79" t="s">
        <v>945</v>
      </c>
      <c r="I79" t="s">
        <v>33</v>
      </c>
      <c r="J79" s="6" t="s">
        <v>946</v>
      </c>
      <c r="K79" t="s">
        <v>148</v>
      </c>
      <c r="L79" t="s">
        <v>205</v>
      </c>
      <c r="M79" s="3"/>
      <c r="N79" t="b">
        <v>0</v>
      </c>
      <c r="O79" t="b">
        <v>0</v>
      </c>
      <c r="P79" t="b">
        <v>0</v>
      </c>
      <c r="Q79" t="b">
        <v>0</v>
      </c>
      <c r="R79" t="b">
        <v>0</v>
      </c>
      <c r="S79" t="b">
        <v>0</v>
      </c>
      <c r="T79" t="b">
        <v>1</v>
      </c>
      <c r="U79" t="b">
        <v>0</v>
      </c>
      <c r="V79" t="b">
        <v>0</v>
      </c>
      <c r="W79" t="b">
        <v>0</v>
      </c>
      <c r="X79" t="b">
        <v>0</v>
      </c>
      <c r="Y79" t="b">
        <v>0</v>
      </c>
      <c r="Z79" t="b">
        <v>0</v>
      </c>
      <c r="AA79" t="b">
        <v>0</v>
      </c>
      <c r="AB79" t="b">
        <v>0</v>
      </c>
      <c r="AC79" t="s">
        <v>2875</v>
      </c>
      <c r="AD79" t="b">
        <v>0</v>
      </c>
      <c r="AE79" t="b">
        <v>1</v>
      </c>
      <c r="AF79" t="b">
        <v>0</v>
      </c>
      <c r="AG79" t="b">
        <v>0</v>
      </c>
      <c r="AH79" t="b">
        <v>0</v>
      </c>
      <c r="AI79">
        <v>1</v>
      </c>
      <c r="AJ79" t="s">
        <v>736</v>
      </c>
      <c r="AK79" t="s">
        <v>491</v>
      </c>
      <c r="AL79">
        <v>1</v>
      </c>
      <c r="AM79" t="b">
        <v>0</v>
      </c>
      <c r="AN79" t="b">
        <v>0</v>
      </c>
      <c r="AO79" t="b">
        <v>1</v>
      </c>
      <c r="AP79">
        <f>IF(ISNUMBER(tblPeople[[#This Row],[dob]]),DATEDIF(tblPeople[[#This Row],[dob]],RunDate,"y"),"")</f>
        <v>0</v>
      </c>
      <c r="AQ79">
        <f>COUNTIFS(tblReview[person_id],tblPeople[[#This Row],[person_id]],tblReview[status],"OPEN")</f>
        <v>0</v>
      </c>
    </row>
    <row r="80" spans="1:43">
      <c r="A80" s="6" t="s">
        <v>958</v>
      </c>
      <c r="B80" t="s">
        <v>211</v>
      </c>
      <c r="D80" t="s">
        <v>164</v>
      </c>
      <c r="F80" t="s">
        <v>953</v>
      </c>
      <c r="H80" t="s">
        <v>954</v>
      </c>
      <c r="I80" t="s">
        <v>38</v>
      </c>
      <c r="J80" s="6" t="s">
        <v>955</v>
      </c>
      <c r="K80" t="s">
        <v>148</v>
      </c>
      <c r="L80" t="s">
        <v>205</v>
      </c>
      <c r="M80" s="3"/>
      <c r="N80" t="b">
        <v>0</v>
      </c>
      <c r="O80" t="b">
        <v>0</v>
      </c>
      <c r="P80" t="b">
        <v>0</v>
      </c>
      <c r="Q80" t="b">
        <v>0</v>
      </c>
      <c r="R80" t="b">
        <v>0</v>
      </c>
      <c r="S80" t="b">
        <v>0</v>
      </c>
      <c r="T80" t="b">
        <v>1</v>
      </c>
      <c r="U80" t="b">
        <v>0</v>
      </c>
      <c r="V80" t="b">
        <v>0</v>
      </c>
      <c r="W80" t="b">
        <v>0</v>
      </c>
      <c r="X80" t="b">
        <v>0</v>
      </c>
      <c r="Y80" t="b">
        <v>0</v>
      </c>
      <c r="Z80" t="b">
        <v>0</v>
      </c>
      <c r="AA80" t="b">
        <v>0</v>
      </c>
      <c r="AB80" t="b">
        <v>0</v>
      </c>
      <c r="AC80" t="s">
        <v>2875</v>
      </c>
      <c r="AD80" t="b">
        <v>0</v>
      </c>
      <c r="AE80" t="b">
        <v>1</v>
      </c>
      <c r="AF80" t="b">
        <v>0</v>
      </c>
      <c r="AG80" t="b">
        <v>0</v>
      </c>
      <c r="AH80" t="b">
        <v>0</v>
      </c>
      <c r="AI80">
        <v>1</v>
      </c>
      <c r="AJ80" t="s">
        <v>736</v>
      </c>
      <c r="AK80" t="s">
        <v>491</v>
      </c>
      <c r="AL80">
        <v>1</v>
      </c>
      <c r="AM80" t="b">
        <v>0</v>
      </c>
      <c r="AN80" t="b">
        <v>0</v>
      </c>
      <c r="AO80" t="b">
        <v>1</v>
      </c>
      <c r="AP80">
        <f>IF(ISNUMBER(tblPeople[[#This Row],[dob]]),DATEDIF(tblPeople[[#This Row],[dob]],RunDate,"y"),"")</f>
        <v>0</v>
      </c>
      <c r="AQ80">
        <f>COUNTIFS(tblReview[person_id],tblPeople[[#This Row],[person_id]],tblReview[status],"OPEN")</f>
        <v>0</v>
      </c>
    </row>
    <row r="81" spans="1:43">
      <c r="A81" s="6" t="s">
        <v>967</v>
      </c>
      <c r="B81" t="s">
        <v>960</v>
      </c>
      <c r="D81" t="s">
        <v>961</v>
      </c>
      <c r="F81" t="s">
        <v>962</v>
      </c>
      <c r="H81" t="s">
        <v>963</v>
      </c>
      <c r="I81" t="s">
        <v>33</v>
      </c>
      <c r="J81" s="6" t="s">
        <v>964</v>
      </c>
      <c r="K81" t="s">
        <v>148</v>
      </c>
      <c r="L81" t="s">
        <v>205</v>
      </c>
      <c r="M81" s="3"/>
      <c r="N81" t="b">
        <v>0</v>
      </c>
      <c r="O81" t="b">
        <v>0</v>
      </c>
      <c r="P81" t="b">
        <v>0</v>
      </c>
      <c r="Q81" t="b">
        <v>0</v>
      </c>
      <c r="R81" t="b">
        <v>0</v>
      </c>
      <c r="S81" t="b">
        <v>0</v>
      </c>
      <c r="T81" t="b">
        <v>1</v>
      </c>
      <c r="U81" t="b">
        <v>0</v>
      </c>
      <c r="V81" t="b">
        <v>0</v>
      </c>
      <c r="W81" t="b">
        <v>0</v>
      </c>
      <c r="X81" t="b">
        <v>0</v>
      </c>
      <c r="Y81" t="b">
        <v>0</v>
      </c>
      <c r="Z81" t="b">
        <v>0</v>
      </c>
      <c r="AA81" t="b">
        <v>0</v>
      </c>
      <c r="AB81" t="b">
        <v>0</v>
      </c>
      <c r="AC81" t="s">
        <v>2875</v>
      </c>
      <c r="AD81" t="b">
        <v>0</v>
      </c>
      <c r="AE81" t="b">
        <v>1</v>
      </c>
      <c r="AF81" t="b">
        <v>0</v>
      </c>
      <c r="AG81" t="b">
        <v>0</v>
      </c>
      <c r="AH81" t="b">
        <v>0</v>
      </c>
      <c r="AI81">
        <v>1</v>
      </c>
      <c r="AJ81" t="s">
        <v>736</v>
      </c>
      <c r="AK81" t="s">
        <v>491</v>
      </c>
      <c r="AL81">
        <v>1</v>
      </c>
      <c r="AM81" t="b">
        <v>0</v>
      </c>
      <c r="AN81" t="b">
        <v>0</v>
      </c>
      <c r="AO81" t="b">
        <v>1</v>
      </c>
      <c r="AP81">
        <f>IF(ISNUMBER(tblPeople[[#This Row],[dob]]),DATEDIF(tblPeople[[#This Row],[dob]],RunDate,"y"),"")</f>
        <v>0</v>
      </c>
      <c r="AQ81">
        <f>COUNTIFS(tblReview[person_id],tblPeople[[#This Row],[person_id]],tblReview[status],"OPEN")</f>
        <v>0</v>
      </c>
    </row>
    <row r="82" spans="1:43">
      <c r="A82" s="6" t="s">
        <v>975</v>
      </c>
      <c r="B82" t="s">
        <v>969</v>
      </c>
      <c r="D82" t="s">
        <v>970</v>
      </c>
      <c r="F82" t="s">
        <v>971</v>
      </c>
      <c r="H82" t="s">
        <v>614</v>
      </c>
      <c r="I82" t="s">
        <v>39</v>
      </c>
      <c r="J82" s="6" t="s">
        <v>972</v>
      </c>
      <c r="K82" t="s">
        <v>148</v>
      </c>
      <c r="L82" t="s">
        <v>205</v>
      </c>
      <c r="M82" s="3"/>
      <c r="N82" t="b">
        <v>0</v>
      </c>
      <c r="O82" t="b">
        <v>0</v>
      </c>
      <c r="P82" t="b">
        <v>0</v>
      </c>
      <c r="Q82" t="b">
        <v>0</v>
      </c>
      <c r="R82" t="b">
        <v>0</v>
      </c>
      <c r="S82" t="b">
        <v>0</v>
      </c>
      <c r="T82" t="b">
        <v>1</v>
      </c>
      <c r="U82" t="b">
        <v>0</v>
      </c>
      <c r="V82" t="b">
        <v>0</v>
      </c>
      <c r="W82" t="b">
        <v>0</v>
      </c>
      <c r="X82" t="b">
        <v>0</v>
      </c>
      <c r="Y82" t="b">
        <v>0</v>
      </c>
      <c r="Z82" t="b">
        <v>0</v>
      </c>
      <c r="AA82" t="b">
        <v>0</v>
      </c>
      <c r="AB82" t="b">
        <v>0</v>
      </c>
      <c r="AC82" t="s">
        <v>2875</v>
      </c>
      <c r="AD82" t="b">
        <v>0</v>
      </c>
      <c r="AE82" t="b">
        <v>1</v>
      </c>
      <c r="AF82" t="b">
        <v>0</v>
      </c>
      <c r="AG82" t="b">
        <v>0</v>
      </c>
      <c r="AH82" t="b">
        <v>0</v>
      </c>
      <c r="AI82">
        <v>1</v>
      </c>
      <c r="AJ82" t="s">
        <v>736</v>
      </c>
      <c r="AK82" t="s">
        <v>491</v>
      </c>
      <c r="AL82">
        <v>1</v>
      </c>
      <c r="AM82" t="b">
        <v>0</v>
      </c>
      <c r="AN82" t="b">
        <v>1</v>
      </c>
      <c r="AO82" t="b">
        <v>1</v>
      </c>
      <c r="AP82">
        <f>IF(ISNUMBER(tblPeople[[#This Row],[dob]]),DATEDIF(tblPeople[[#This Row],[dob]],RunDate,"y"),"")</f>
        <v>0</v>
      </c>
      <c r="AQ82">
        <f>COUNTIFS(tblReview[person_id],tblPeople[[#This Row],[person_id]],tblReview[status],"OPEN")</f>
        <v>0</v>
      </c>
    </row>
    <row r="83" spans="1:43">
      <c r="A83" s="6" t="s">
        <v>982</v>
      </c>
      <c r="B83" t="s">
        <v>882</v>
      </c>
      <c r="D83" t="s">
        <v>394</v>
      </c>
      <c r="F83" t="s">
        <v>977</v>
      </c>
      <c r="H83" t="s">
        <v>978</v>
      </c>
      <c r="I83" t="s">
        <v>38</v>
      </c>
      <c r="J83" s="6" t="s">
        <v>979</v>
      </c>
      <c r="K83" t="s">
        <v>148</v>
      </c>
      <c r="L83" t="s">
        <v>205</v>
      </c>
      <c r="M83" s="3"/>
      <c r="N83" t="b">
        <v>0</v>
      </c>
      <c r="O83" t="b">
        <v>0</v>
      </c>
      <c r="P83" t="b">
        <v>0</v>
      </c>
      <c r="Q83" t="b">
        <v>0</v>
      </c>
      <c r="R83" t="b">
        <v>0</v>
      </c>
      <c r="S83" t="b">
        <v>0</v>
      </c>
      <c r="T83" t="b">
        <v>1</v>
      </c>
      <c r="U83" t="b">
        <v>0</v>
      </c>
      <c r="V83" t="b">
        <v>0</v>
      </c>
      <c r="W83" t="b">
        <v>0</v>
      </c>
      <c r="X83" t="b">
        <v>0</v>
      </c>
      <c r="Y83" t="b">
        <v>0</v>
      </c>
      <c r="Z83" t="b">
        <v>0</v>
      </c>
      <c r="AA83" t="b">
        <v>0</v>
      </c>
      <c r="AB83" t="b">
        <v>0</v>
      </c>
      <c r="AC83" t="s">
        <v>2875</v>
      </c>
      <c r="AD83" t="b">
        <v>0</v>
      </c>
      <c r="AE83" t="b">
        <v>1</v>
      </c>
      <c r="AF83" t="b">
        <v>0</v>
      </c>
      <c r="AG83" t="b">
        <v>0</v>
      </c>
      <c r="AH83" t="b">
        <v>0</v>
      </c>
      <c r="AI83">
        <v>1</v>
      </c>
      <c r="AJ83" t="s">
        <v>736</v>
      </c>
      <c r="AK83" t="s">
        <v>491</v>
      </c>
      <c r="AL83">
        <v>1</v>
      </c>
      <c r="AM83" t="b">
        <v>0</v>
      </c>
      <c r="AN83" t="b">
        <v>0</v>
      </c>
      <c r="AO83" t="b">
        <v>1</v>
      </c>
      <c r="AP83">
        <f>IF(ISNUMBER(tblPeople[[#This Row],[dob]]),DATEDIF(tblPeople[[#This Row],[dob]],RunDate,"y"),"")</f>
        <v>0</v>
      </c>
      <c r="AQ83">
        <f>COUNTIFS(tblReview[person_id],tblPeople[[#This Row],[person_id]],tblReview[status],"OPEN")</f>
        <v>0</v>
      </c>
    </row>
    <row r="84" spans="1:43">
      <c r="A84" s="6" t="s">
        <v>994</v>
      </c>
      <c r="B84" t="s">
        <v>987</v>
      </c>
      <c r="D84" t="s">
        <v>988</v>
      </c>
      <c r="F84" t="s">
        <v>989</v>
      </c>
      <c r="H84" t="s">
        <v>990</v>
      </c>
      <c r="I84" t="s">
        <v>38</v>
      </c>
      <c r="J84" s="6" t="s">
        <v>991</v>
      </c>
      <c r="K84" t="s">
        <v>148</v>
      </c>
      <c r="L84" t="s">
        <v>205</v>
      </c>
      <c r="M84" s="3"/>
      <c r="N84" t="b">
        <v>0</v>
      </c>
      <c r="O84" t="b">
        <v>0</v>
      </c>
      <c r="P84" t="b">
        <v>0</v>
      </c>
      <c r="Q84" t="b">
        <v>0</v>
      </c>
      <c r="R84" t="b">
        <v>0</v>
      </c>
      <c r="S84" t="b">
        <v>0</v>
      </c>
      <c r="T84" t="b">
        <v>1</v>
      </c>
      <c r="U84" t="b">
        <v>0</v>
      </c>
      <c r="V84" t="b">
        <v>0</v>
      </c>
      <c r="W84" t="b">
        <v>0</v>
      </c>
      <c r="X84" t="b">
        <v>0</v>
      </c>
      <c r="Y84" t="b">
        <v>0</v>
      </c>
      <c r="Z84" t="b">
        <v>0</v>
      </c>
      <c r="AA84" t="b">
        <v>0</v>
      </c>
      <c r="AB84" t="b">
        <v>0</v>
      </c>
      <c r="AC84" t="s">
        <v>2875</v>
      </c>
      <c r="AD84" t="b">
        <v>0</v>
      </c>
      <c r="AE84" t="b">
        <v>1</v>
      </c>
      <c r="AF84" t="b">
        <v>0</v>
      </c>
      <c r="AG84" t="b">
        <v>0</v>
      </c>
      <c r="AH84" t="b">
        <v>0</v>
      </c>
      <c r="AI84">
        <v>1</v>
      </c>
      <c r="AJ84" t="s">
        <v>736</v>
      </c>
      <c r="AK84" t="s">
        <v>491</v>
      </c>
      <c r="AL84">
        <v>1</v>
      </c>
      <c r="AM84" t="b">
        <v>0</v>
      </c>
      <c r="AN84" t="b">
        <v>0</v>
      </c>
      <c r="AO84" t="b">
        <v>1</v>
      </c>
      <c r="AP84">
        <f>IF(ISNUMBER(tblPeople[[#This Row],[dob]]),DATEDIF(tblPeople[[#This Row],[dob]],RunDate,"y"),"")</f>
        <v>0</v>
      </c>
      <c r="AQ84">
        <f>COUNTIFS(tblReview[person_id],tblPeople[[#This Row],[person_id]],tblReview[status],"OPEN")</f>
        <v>0</v>
      </c>
    </row>
    <row r="85" spans="1:43">
      <c r="A85" s="6" t="s">
        <v>1002</v>
      </c>
      <c r="B85" t="s">
        <v>996</v>
      </c>
      <c r="D85" t="s">
        <v>997</v>
      </c>
      <c r="F85" t="s">
        <v>998</v>
      </c>
      <c r="H85" t="s">
        <v>146</v>
      </c>
      <c r="I85" t="s">
        <v>33</v>
      </c>
      <c r="J85" s="6" t="s">
        <v>999</v>
      </c>
      <c r="K85" t="s">
        <v>148</v>
      </c>
      <c r="L85" t="s">
        <v>205</v>
      </c>
      <c r="M85" s="3"/>
      <c r="N85" t="b">
        <v>0</v>
      </c>
      <c r="O85" t="b">
        <v>0</v>
      </c>
      <c r="P85" t="b">
        <v>0</v>
      </c>
      <c r="Q85" t="b">
        <v>0</v>
      </c>
      <c r="R85" t="b">
        <v>0</v>
      </c>
      <c r="S85" t="b">
        <v>0</v>
      </c>
      <c r="T85" t="b">
        <v>1</v>
      </c>
      <c r="U85" t="b">
        <v>0</v>
      </c>
      <c r="V85" t="b">
        <v>0</v>
      </c>
      <c r="W85" t="b">
        <v>0</v>
      </c>
      <c r="X85" t="b">
        <v>0</v>
      </c>
      <c r="Y85" t="b">
        <v>0</v>
      </c>
      <c r="Z85" t="b">
        <v>0</v>
      </c>
      <c r="AA85" t="b">
        <v>0</v>
      </c>
      <c r="AB85" t="b">
        <v>0</v>
      </c>
      <c r="AC85" t="s">
        <v>2875</v>
      </c>
      <c r="AD85" t="b">
        <v>0</v>
      </c>
      <c r="AE85" t="b">
        <v>1</v>
      </c>
      <c r="AF85" t="b">
        <v>0</v>
      </c>
      <c r="AG85" t="b">
        <v>0</v>
      </c>
      <c r="AH85" t="b">
        <v>0</v>
      </c>
      <c r="AI85">
        <v>1</v>
      </c>
      <c r="AJ85" t="s">
        <v>736</v>
      </c>
      <c r="AK85" t="s">
        <v>491</v>
      </c>
      <c r="AL85">
        <v>1</v>
      </c>
      <c r="AM85" t="b">
        <v>0</v>
      </c>
      <c r="AN85" t="b">
        <v>0</v>
      </c>
      <c r="AO85" t="b">
        <v>1</v>
      </c>
      <c r="AP85">
        <f>IF(ISNUMBER(tblPeople[[#This Row],[dob]]),DATEDIF(tblPeople[[#This Row],[dob]],RunDate,"y"),"")</f>
        <v>0</v>
      </c>
      <c r="AQ85">
        <f>COUNTIFS(tblReview[person_id],tblPeople[[#This Row],[person_id]],tblReview[status],"OPEN")</f>
        <v>0</v>
      </c>
    </row>
    <row r="86" spans="1:43">
      <c r="A86" s="6" t="s">
        <v>1013</v>
      </c>
      <c r="B86" t="s">
        <v>1007</v>
      </c>
      <c r="D86" t="s">
        <v>1008</v>
      </c>
      <c r="F86" t="s">
        <v>1009</v>
      </c>
      <c r="H86" t="s">
        <v>636</v>
      </c>
      <c r="I86" t="s">
        <v>33</v>
      </c>
      <c r="J86" s="6" t="s">
        <v>1010</v>
      </c>
      <c r="K86" t="s">
        <v>148</v>
      </c>
      <c r="L86" t="s">
        <v>205</v>
      </c>
      <c r="M86" s="3"/>
      <c r="N86" t="b">
        <v>0</v>
      </c>
      <c r="O86" t="b">
        <v>0</v>
      </c>
      <c r="P86" t="b">
        <v>0</v>
      </c>
      <c r="Q86" t="b">
        <v>0</v>
      </c>
      <c r="R86" t="b">
        <v>0</v>
      </c>
      <c r="S86" t="b">
        <v>0</v>
      </c>
      <c r="T86" t="b">
        <v>1</v>
      </c>
      <c r="U86" t="b">
        <v>0</v>
      </c>
      <c r="V86" t="b">
        <v>0</v>
      </c>
      <c r="W86" t="b">
        <v>0</v>
      </c>
      <c r="X86" t="b">
        <v>0</v>
      </c>
      <c r="Y86" t="b">
        <v>0</v>
      </c>
      <c r="Z86" t="b">
        <v>0</v>
      </c>
      <c r="AA86" t="b">
        <v>0</v>
      </c>
      <c r="AB86" t="b">
        <v>0</v>
      </c>
      <c r="AC86" t="s">
        <v>2875</v>
      </c>
      <c r="AD86" t="b">
        <v>0</v>
      </c>
      <c r="AE86" t="b">
        <v>1</v>
      </c>
      <c r="AF86" t="b">
        <v>0</v>
      </c>
      <c r="AG86" t="b">
        <v>0</v>
      </c>
      <c r="AH86" t="b">
        <v>0</v>
      </c>
      <c r="AI86">
        <v>1</v>
      </c>
      <c r="AJ86" t="s">
        <v>736</v>
      </c>
      <c r="AK86" t="s">
        <v>491</v>
      </c>
      <c r="AL86">
        <v>1</v>
      </c>
      <c r="AM86" t="b">
        <v>0</v>
      </c>
      <c r="AN86" t="b">
        <v>0</v>
      </c>
      <c r="AO86" t="b">
        <v>1</v>
      </c>
      <c r="AP86">
        <f>IF(ISNUMBER(tblPeople[[#This Row],[dob]]),DATEDIF(tblPeople[[#This Row],[dob]],RunDate,"y"),"")</f>
        <v>0</v>
      </c>
      <c r="AQ86">
        <f>COUNTIFS(tblReview[person_id],tblPeople[[#This Row],[person_id]],tblReview[status],"OPEN")</f>
        <v>0</v>
      </c>
    </row>
    <row r="87" spans="1:43">
      <c r="A87" s="6" t="s">
        <v>1021</v>
      </c>
      <c r="B87" t="s">
        <v>621</v>
      </c>
      <c r="D87" t="s">
        <v>1015</v>
      </c>
      <c r="F87" t="s">
        <v>1016</v>
      </c>
      <c r="H87" t="s">
        <v>1017</v>
      </c>
      <c r="I87" t="s">
        <v>34</v>
      </c>
      <c r="J87" s="6" t="s">
        <v>1018</v>
      </c>
      <c r="K87" t="s">
        <v>148</v>
      </c>
      <c r="L87" t="s">
        <v>205</v>
      </c>
      <c r="M87" s="3"/>
      <c r="N87" t="b">
        <v>0</v>
      </c>
      <c r="O87" t="b">
        <v>0</v>
      </c>
      <c r="P87" t="b">
        <v>0</v>
      </c>
      <c r="Q87" t="b">
        <v>0</v>
      </c>
      <c r="R87" t="b">
        <v>0</v>
      </c>
      <c r="S87" t="b">
        <v>0</v>
      </c>
      <c r="T87" t="b">
        <v>1</v>
      </c>
      <c r="U87" t="b">
        <v>0</v>
      </c>
      <c r="V87" t="b">
        <v>0</v>
      </c>
      <c r="W87" t="b">
        <v>0</v>
      </c>
      <c r="X87" t="b">
        <v>0</v>
      </c>
      <c r="Y87" t="b">
        <v>0</v>
      </c>
      <c r="Z87" t="b">
        <v>0</v>
      </c>
      <c r="AA87" t="b">
        <v>0</v>
      </c>
      <c r="AB87" t="b">
        <v>0</v>
      </c>
      <c r="AC87" t="s">
        <v>2875</v>
      </c>
      <c r="AD87" t="b">
        <v>0</v>
      </c>
      <c r="AE87" t="b">
        <v>1</v>
      </c>
      <c r="AF87" t="b">
        <v>0</v>
      </c>
      <c r="AG87" t="b">
        <v>0</v>
      </c>
      <c r="AH87" t="b">
        <v>0</v>
      </c>
      <c r="AI87">
        <v>1</v>
      </c>
      <c r="AJ87" t="s">
        <v>736</v>
      </c>
      <c r="AK87" t="s">
        <v>491</v>
      </c>
      <c r="AL87">
        <v>1</v>
      </c>
      <c r="AM87" t="b">
        <v>0</v>
      </c>
      <c r="AN87" t="b">
        <v>0</v>
      </c>
      <c r="AO87" t="b">
        <v>0</v>
      </c>
      <c r="AP87">
        <f>IF(ISNUMBER(tblPeople[[#This Row],[dob]]),DATEDIF(tblPeople[[#This Row],[dob]],RunDate,"y"),"")</f>
        <v>0</v>
      </c>
      <c r="AQ87">
        <f>COUNTIFS(tblReview[person_id],tblPeople[[#This Row],[person_id]],tblReview[status],"OPEN")</f>
        <v>0</v>
      </c>
    </row>
    <row r="88" spans="1:43">
      <c r="A88" s="6" t="s">
        <v>1033</v>
      </c>
      <c r="B88" t="s">
        <v>1027</v>
      </c>
      <c r="D88" t="s">
        <v>281</v>
      </c>
      <c r="F88" t="s">
        <v>1028</v>
      </c>
      <c r="H88" t="s">
        <v>1029</v>
      </c>
      <c r="I88" t="s">
        <v>37</v>
      </c>
      <c r="J88" s="6" t="s">
        <v>1030</v>
      </c>
      <c r="K88" t="s">
        <v>148</v>
      </c>
      <c r="L88" t="s">
        <v>205</v>
      </c>
      <c r="M88" s="3"/>
      <c r="N88" t="b">
        <v>0</v>
      </c>
      <c r="O88" t="b">
        <v>0</v>
      </c>
      <c r="P88" t="b">
        <v>0</v>
      </c>
      <c r="Q88" t="b">
        <v>0</v>
      </c>
      <c r="R88" t="b">
        <v>0</v>
      </c>
      <c r="S88" t="b">
        <v>0</v>
      </c>
      <c r="T88" t="b">
        <v>1</v>
      </c>
      <c r="U88" t="b">
        <v>0</v>
      </c>
      <c r="V88" t="b">
        <v>0</v>
      </c>
      <c r="W88" t="b">
        <v>0</v>
      </c>
      <c r="X88" t="b">
        <v>0</v>
      </c>
      <c r="Y88" t="b">
        <v>0</v>
      </c>
      <c r="Z88" t="b">
        <v>0</v>
      </c>
      <c r="AA88" t="b">
        <v>0</v>
      </c>
      <c r="AB88" t="b">
        <v>0</v>
      </c>
      <c r="AC88" t="s">
        <v>2875</v>
      </c>
      <c r="AD88" t="b">
        <v>0</v>
      </c>
      <c r="AE88" t="b">
        <v>1</v>
      </c>
      <c r="AF88" t="b">
        <v>0</v>
      </c>
      <c r="AG88" t="b">
        <v>0</v>
      </c>
      <c r="AH88" t="b">
        <v>0</v>
      </c>
      <c r="AI88">
        <v>1</v>
      </c>
      <c r="AJ88" t="s">
        <v>736</v>
      </c>
      <c r="AK88" t="s">
        <v>491</v>
      </c>
      <c r="AL88">
        <v>1</v>
      </c>
      <c r="AM88" t="b">
        <v>0</v>
      </c>
      <c r="AN88" t="b">
        <v>0</v>
      </c>
      <c r="AO88" t="b">
        <v>0</v>
      </c>
      <c r="AP88">
        <f>IF(ISNUMBER(tblPeople[[#This Row],[dob]]),DATEDIF(tblPeople[[#This Row],[dob]],RunDate,"y"),"")</f>
        <v>0</v>
      </c>
      <c r="AQ88">
        <f>COUNTIFS(tblReview[person_id],tblPeople[[#This Row],[person_id]],tblReview[status],"OPEN")</f>
        <v>0</v>
      </c>
    </row>
    <row r="89" spans="1:43">
      <c r="A89" s="6" t="s">
        <v>1043</v>
      </c>
      <c r="B89" t="s">
        <v>846</v>
      </c>
      <c r="D89" t="s">
        <v>1037</v>
      </c>
      <c r="F89" t="s">
        <v>1038</v>
      </c>
      <c r="H89" t="s">
        <v>1039</v>
      </c>
      <c r="I89" t="s">
        <v>34</v>
      </c>
      <c r="J89" s="6" t="s">
        <v>1040</v>
      </c>
      <c r="K89" t="s">
        <v>148</v>
      </c>
      <c r="L89" t="s">
        <v>205</v>
      </c>
      <c r="M89" s="3"/>
      <c r="N89" t="b">
        <v>0</v>
      </c>
      <c r="O89" t="b">
        <v>0</v>
      </c>
      <c r="P89" t="b">
        <v>0</v>
      </c>
      <c r="Q89" t="b">
        <v>0</v>
      </c>
      <c r="R89" t="b">
        <v>0</v>
      </c>
      <c r="S89" t="b">
        <v>0</v>
      </c>
      <c r="T89" t="b">
        <v>1</v>
      </c>
      <c r="U89" t="b">
        <v>0</v>
      </c>
      <c r="V89" t="b">
        <v>0</v>
      </c>
      <c r="W89" t="b">
        <v>0</v>
      </c>
      <c r="X89" t="b">
        <v>0</v>
      </c>
      <c r="Y89" t="b">
        <v>0</v>
      </c>
      <c r="Z89" t="b">
        <v>0</v>
      </c>
      <c r="AA89" t="b">
        <v>0</v>
      </c>
      <c r="AB89" t="b">
        <v>0</v>
      </c>
      <c r="AC89" t="s">
        <v>2875</v>
      </c>
      <c r="AD89" t="b">
        <v>0</v>
      </c>
      <c r="AE89" t="b">
        <v>1</v>
      </c>
      <c r="AF89" t="b">
        <v>0</v>
      </c>
      <c r="AG89" t="b">
        <v>0</v>
      </c>
      <c r="AH89" t="b">
        <v>0</v>
      </c>
      <c r="AI89">
        <v>1</v>
      </c>
      <c r="AJ89" t="s">
        <v>736</v>
      </c>
      <c r="AK89" t="s">
        <v>491</v>
      </c>
      <c r="AL89">
        <v>1</v>
      </c>
      <c r="AM89" t="b">
        <v>0</v>
      </c>
      <c r="AN89" t="b">
        <v>0</v>
      </c>
      <c r="AO89" t="b">
        <v>1</v>
      </c>
      <c r="AP89">
        <f>IF(ISNUMBER(tblPeople[[#This Row],[dob]]),DATEDIF(tblPeople[[#This Row],[dob]],RunDate,"y"),"")</f>
        <v>0</v>
      </c>
      <c r="AQ89">
        <f>COUNTIFS(tblReview[person_id],tblPeople[[#This Row],[person_id]],tblReview[status],"OPEN")</f>
        <v>0</v>
      </c>
    </row>
    <row r="90" spans="1:43">
      <c r="A90" s="6" t="s">
        <v>1055</v>
      </c>
      <c r="B90" t="s">
        <v>1048</v>
      </c>
      <c r="D90" t="s">
        <v>315</v>
      </c>
      <c r="F90" t="s">
        <v>1049</v>
      </c>
      <c r="H90" t="s">
        <v>1050</v>
      </c>
      <c r="I90" t="s">
        <v>33</v>
      </c>
      <c r="J90" s="6" t="s">
        <v>1051</v>
      </c>
      <c r="K90" t="s">
        <v>148</v>
      </c>
      <c r="L90" t="s">
        <v>205</v>
      </c>
      <c r="M90" s="3"/>
      <c r="N90" t="b">
        <v>0</v>
      </c>
      <c r="O90" t="b">
        <v>0</v>
      </c>
      <c r="P90" t="b">
        <v>0</v>
      </c>
      <c r="Q90" t="b">
        <v>0</v>
      </c>
      <c r="R90" t="b">
        <v>0</v>
      </c>
      <c r="S90" t="b">
        <v>0</v>
      </c>
      <c r="T90" t="b">
        <v>1</v>
      </c>
      <c r="U90" t="b">
        <v>0</v>
      </c>
      <c r="V90" t="b">
        <v>0</v>
      </c>
      <c r="W90" t="b">
        <v>0</v>
      </c>
      <c r="X90" t="b">
        <v>0</v>
      </c>
      <c r="Y90" t="b">
        <v>0</v>
      </c>
      <c r="Z90" t="b">
        <v>0</v>
      </c>
      <c r="AA90" t="b">
        <v>0</v>
      </c>
      <c r="AB90" t="b">
        <v>0</v>
      </c>
      <c r="AC90" t="s">
        <v>2875</v>
      </c>
      <c r="AD90" t="b">
        <v>0</v>
      </c>
      <c r="AE90" t="b">
        <v>1</v>
      </c>
      <c r="AF90" t="b">
        <v>0</v>
      </c>
      <c r="AG90" t="b">
        <v>0</v>
      </c>
      <c r="AH90" t="b">
        <v>0</v>
      </c>
      <c r="AI90">
        <v>1</v>
      </c>
      <c r="AJ90" t="s">
        <v>736</v>
      </c>
      <c r="AK90" t="s">
        <v>491</v>
      </c>
      <c r="AL90">
        <v>1</v>
      </c>
      <c r="AM90" t="b">
        <v>0</v>
      </c>
      <c r="AN90" t="b">
        <v>1</v>
      </c>
      <c r="AO90" t="b">
        <v>1</v>
      </c>
      <c r="AP90">
        <f>IF(ISNUMBER(tblPeople[[#This Row],[dob]]),DATEDIF(tblPeople[[#This Row],[dob]],RunDate,"y"),"")</f>
        <v>0</v>
      </c>
      <c r="AQ90">
        <f>COUNTIFS(tblReview[person_id],tblPeople[[#This Row],[person_id]],tblReview[status],"OPEN")</f>
        <v>0</v>
      </c>
    </row>
    <row r="91" spans="1:43">
      <c r="A91" s="6" t="s">
        <v>1062</v>
      </c>
      <c r="B91" t="s">
        <v>832</v>
      </c>
      <c r="D91" t="s">
        <v>300</v>
      </c>
      <c r="F91" t="s">
        <v>1057</v>
      </c>
      <c r="H91" t="s">
        <v>1058</v>
      </c>
      <c r="I91" t="s">
        <v>37</v>
      </c>
      <c r="J91" s="6" t="s">
        <v>1059</v>
      </c>
      <c r="K91" t="s">
        <v>148</v>
      </c>
      <c r="L91" t="s">
        <v>205</v>
      </c>
      <c r="M91" s="3"/>
      <c r="N91" t="b">
        <v>0</v>
      </c>
      <c r="O91" t="b">
        <v>0</v>
      </c>
      <c r="P91" t="b">
        <v>0</v>
      </c>
      <c r="Q91" t="b">
        <v>0</v>
      </c>
      <c r="R91" t="b">
        <v>0</v>
      </c>
      <c r="S91" t="b">
        <v>0</v>
      </c>
      <c r="T91" t="b">
        <v>1</v>
      </c>
      <c r="U91" t="b">
        <v>0</v>
      </c>
      <c r="V91" t="b">
        <v>0</v>
      </c>
      <c r="W91" t="b">
        <v>0</v>
      </c>
      <c r="X91" t="b">
        <v>0</v>
      </c>
      <c r="Y91" t="b">
        <v>0</v>
      </c>
      <c r="Z91" t="b">
        <v>0</v>
      </c>
      <c r="AA91" t="b">
        <v>0</v>
      </c>
      <c r="AB91" t="b">
        <v>0</v>
      </c>
      <c r="AC91" t="s">
        <v>2875</v>
      </c>
      <c r="AD91" t="b">
        <v>0</v>
      </c>
      <c r="AE91" t="b">
        <v>1</v>
      </c>
      <c r="AF91" t="b">
        <v>0</v>
      </c>
      <c r="AG91" t="b">
        <v>0</v>
      </c>
      <c r="AH91" t="b">
        <v>0</v>
      </c>
      <c r="AI91">
        <v>1</v>
      </c>
      <c r="AJ91" t="s">
        <v>736</v>
      </c>
      <c r="AK91" t="s">
        <v>491</v>
      </c>
      <c r="AL91">
        <v>1</v>
      </c>
      <c r="AM91" t="b">
        <v>0</v>
      </c>
      <c r="AN91" t="b">
        <v>1</v>
      </c>
      <c r="AO91" t="b">
        <v>1</v>
      </c>
      <c r="AP91">
        <f>IF(ISNUMBER(tblPeople[[#This Row],[dob]]),DATEDIF(tblPeople[[#This Row],[dob]],RunDate,"y"),"")</f>
        <v>0</v>
      </c>
      <c r="AQ91">
        <f>COUNTIFS(tblReview[person_id],tblPeople[[#This Row],[person_id]],tblReview[status],"OPEN")</f>
        <v>0</v>
      </c>
    </row>
    <row r="92" spans="1:43">
      <c r="A92" s="6" t="s">
        <v>1071</v>
      </c>
      <c r="B92" t="s">
        <v>1064</v>
      </c>
      <c r="D92" t="s">
        <v>1065</v>
      </c>
      <c r="F92" t="s">
        <v>1066</v>
      </c>
      <c r="H92" t="s">
        <v>1067</v>
      </c>
      <c r="I92" t="s">
        <v>38</v>
      </c>
      <c r="J92" s="6" t="s">
        <v>1068</v>
      </c>
      <c r="K92" t="s">
        <v>148</v>
      </c>
      <c r="L92" t="s">
        <v>205</v>
      </c>
      <c r="M92" s="3"/>
      <c r="N92" t="b">
        <v>0</v>
      </c>
      <c r="O92" t="b">
        <v>0</v>
      </c>
      <c r="P92" t="b">
        <v>0</v>
      </c>
      <c r="Q92" t="b">
        <v>0</v>
      </c>
      <c r="R92" t="b">
        <v>0</v>
      </c>
      <c r="S92" t="b">
        <v>0</v>
      </c>
      <c r="T92" t="b">
        <v>1</v>
      </c>
      <c r="U92" t="b">
        <v>0</v>
      </c>
      <c r="V92" t="b">
        <v>0</v>
      </c>
      <c r="W92" t="b">
        <v>0</v>
      </c>
      <c r="X92" t="b">
        <v>0</v>
      </c>
      <c r="Y92" t="b">
        <v>0</v>
      </c>
      <c r="Z92" t="b">
        <v>0</v>
      </c>
      <c r="AA92" t="b">
        <v>0</v>
      </c>
      <c r="AB92" t="b">
        <v>0</v>
      </c>
      <c r="AC92" t="s">
        <v>2875</v>
      </c>
      <c r="AD92" t="b">
        <v>0</v>
      </c>
      <c r="AE92" t="b">
        <v>1</v>
      </c>
      <c r="AF92" t="b">
        <v>0</v>
      </c>
      <c r="AG92" t="b">
        <v>0</v>
      </c>
      <c r="AH92" t="b">
        <v>0</v>
      </c>
      <c r="AI92">
        <v>1</v>
      </c>
      <c r="AJ92" t="s">
        <v>736</v>
      </c>
      <c r="AK92" t="s">
        <v>491</v>
      </c>
      <c r="AL92">
        <v>1</v>
      </c>
      <c r="AM92" t="b">
        <v>0</v>
      </c>
      <c r="AN92" t="b">
        <v>0</v>
      </c>
      <c r="AO92" t="b">
        <v>0</v>
      </c>
      <c r="AP92">
        <f>IF(ISNUMBER(tblPeople[[#This Row],[dob]]),DATEDIF(tblPeople[[#This Row],[dob]],RunDate,"y"),"")</f>
        <v>0</v>
      </c>
      <c r="AQ92">
        <f>COUNTIFS(tblReview[person_id],tblPeople[[#This Row],[person_id]],tblReview[status],"OPEN")</f>
        <v>0</v>
      </c>
    </row>
    <row r="93" spans="1:43">
      <c r="A93" s="6" t="s">
        <v>1082</v>
      </c>
      <c r="B93" t="s">
        <v>308</v>
      </c>
      <c r="D93" t="s">
        <v>1076</v>
      </c>
      <c r="F93" t="s">
        <v>1077</v>
      </c>
      <c r="H93" t="s">
        <v>1078</v>
      </c>
      <c r="I93" t="s">
        <v>39</v>
      </c>
      <c r="J93" s="6" t="s">
        <v>1079</v>
      </c>
      <c r="K93" t="s">
        <v>148</v>
      </c>
      <c r="L93" t="s">
        <v>205</v>
      </c>
      <c r="M93" s="3"/>
      <c r="N93" t="b">
        <v>0</v>
      </c>
      <c r="O93" t="b">
        <v>0</v>
      </c>
      <c r="P93" t="b">
        <v>0</v>
      </c>
      <c r="Q93" t="b">
        <v>0</v>
      </c>
      <c r="R93" t="b">
        <v>0</v>
      </c>
      <c r="S93" t="b">
        <v>0</v>
      </c>
      <c r="T93" t="b">
        <v>1</v>
      </c>
      <c r="U93" t="b">
        <v>0</v>
      </c>
      <c r="V93" t="b">
        <v>0</v>
      </c>
      <c r="W93" t="b">
        <v>0</v>
      </c>
      <c r="X93" t="b">
        <v>0</v>
      </c>
      <c r="Y93" t="b">
        <v>0</v>
      </c>
      <c r="Z93" t="b">
        <v>0</v>
      </c>
      <c r="AA93" t="b">
        <v>0</v>
      </c>
      <c r="AB93" t="b">
        <v>0</v>
      </c>
      <c r="AC93" t="s">
        <v>2875</v>
      </c>
      <c r="AD93" t="b">
        <v>0</v>
      </c>
      <c r="AE93" t="b">
        <v>1</v>
      </c>
      <c r="AF93" t="b">
        <v>0</v>
      </c>
      <c r="AG93" t="b">
        <v>0</v>
      </c>
      <c r="AH93" t="b">
        <v>0</v>
      </c>
      <c r="AI93">
        <v>1</v>
      </c>
      <c r="AJ93" t="s">
        <v>736</v>
      </c>
      <c r="AK93" t="s">
        <v>491</v>
      </c>
      <c r="AL93">
        <v>1</v>
      </c>
      <c r="AM93" t="b">
        <v>0</v>
      </c>
      <c r="AN93" t="b">
        <v>1</v>
      </c>
      <c r="AO93" t="b">
        <v>1</v>
      </c>
      <c r="AP93">
        <f>IF(ISNUMBER(tblPeople[[#This Row],[dob]]),DATEDIF(tblPeople[[#This Row],[dob]],RunDate,"y"),"")</f>
        <v>0</v>
      </c>
      <c r="AQ93">
        <f>COUNTIFS(tblReview[person_id],tblPeople[[#This Row],[person_id]],tblReview[status],"OPEN")</f>
        <v>0</v>
      </c>
    </row>
    <row r="94" spans="1:43">
      <c r="A94" s="6" t="s">
        <v>1087</v>
      </c>
      <c r="B94" t="s">
        <v>1084</v>
      </c>
      <c r="D94" t="s">
        <v>394</v>
      </c>
      <c r="F94" t="s">
        <v>180</v>
      </c>
      <c r="H94" t="s">
        <v>181</v>
      </c>
      <c r="I94" t="s">
        <v>40</v>
      </c>
      <c r="J94" s="6" t="s">
        <v>182</v>
      </c>
      <c r="K94" t="s">
        <v>148</v>
      </c>
      <c r="L94" t="s">
        <v>149</v>
      </c>
      <c r="M94" s="3"/>
      <c r="N94" t="b">
        <v>0</v>
      </c>
      <c r="O94" t="b">
        <v>0</v>
      </c>
      <c r="P94" t="b">
        <v>0</v>
      </c>
      <c r="Q94" t="b">
        <v>0</v>
      </c>
      <c r="R94" t="b">
        <v>0</v>
      </c>
      <c r="S94" t="b">
        <v>0</v>
      </c>
      <c r="T94" t="b">
        <v>1</v>
      </c>
      <c r="U94" t="b">
        <v>0</v>
      </c>
      <c r="V94" t="b">
        <v>0</v>
      </c>
      <c r="W94" t="b">
        <v>0</v>
      </c>
      <c r="X94" t="b">
        <v>0</v>
      </c>
      <c r="Y94" t="b">
        <v>0</v>
      </c>
      <c r="Z94" t="b">
        <v>0</v>
      </c>
      <c r="AA94" t="b">
        <v>0</v>
      </c>
      <c r="AB94" t="b">
        <v>0</v>
      </c>
      <c r="AC94" t="s">
        <v>2875</v>
      </c>
      <c r="AD94" t="b">
        <v>0</v>
      </c>
      <c r="AE94" t="b">
        <v>1</v>
      </c>
      <c r="AF94" t="b">
        <v>0</v>
      </c>
      <c r="AG94" t="b">
        <v>0</v>
      </c>
      <c r="AH94" t="b">
        <v>0</v>
      </c>
      <c r="AI94">
        <v>1</v>
      </c>
      <c r="AJ94" t="s">
        <v>736</v>
      </c>
      <c r="AK94" t="s">
        <v>491</v>
      </c>
      <c r="AL94">
        <v>1</v>
      </c>
      <c r="AM94" t="b">
        <v>0</v>
      </c>
      <c r="AN94" t="b">
        <v>0</v>
      </c>
      <c r="AO94" t="b">
        <v>0</v>
      </c>
      <c r="AP94">
        <f>IF(ISNUMBER(tblPeople[[#This Row],[dob]]),DATEDIF(tblPeople[[#This Row],[dob]],RunDate,"y"),"")</f>
        <v>0</v>
      </c>
      <c r="AQ94">
        <f>COUNTIFS(tblReview[person_id],tblPeople[[#This Row],[person_id]],tblReview[status],"OPEN")</f>
        <v>0</v>
      </c>
    </row>
    <row r="95" spans="1:43">
      <c r="A95" s="6" t="s">
        <v>1096</v>
      </c>
      <c r="B95" t="s">
        <v>1089</v>
      </c>
      <c r="D95" t="s">
        <v>1090</v>
      </c>
      <c r="F95" t="s">
        <v>1091</v>
      </c>
      <c r="H95" t="s">
        <v>1092</v>
      </c>
      <c r="I95" t="s">
        <v>39</v>
      </c>
      <c r="J95" s="6" t="s">
        <v>1093</v>
      </c>
      <c r="K95" t="s">
        <v>148</v>
      </c>
      <c r="L95" t="s">
        <v>205</v>
      </c>
      <c r="M95" s="3"/>
      <c r="N95" t="b">
        <v>0</v>
      </c>
      <c r="O95" t="b">
        <v>0</v>
      </c>
      <c r="P95" t="b">
        <v>0</v>
      </c>
      <c r="Q95" t="b">
        <v>0</v>
      </c>
      <c r="R95" t="b">
        <v>0</v>
      </c>
      <c r="S95" t="b">
        <v>0</v>
      </c>
      <c r="T95" t="b">
        <v>1</v>
      </c>
      <c r="U95" t="b">
        <v>0</v>
      </c>
      <c r="V95" t="b">
        <v>0</v>
      </c>
      <c r="W95" t="b">
        <v>0</v>
      </c>
      <c r="X95" t="b">
        <v>0</v>
      </c>
      <c r="Y95" t="b">
        <v>0</v>
      </c>
      <c r="Z95" t="b">
        <v>0</v>
      </c>
      <c r="AA95" t="b">
        <v>0</v>
      </c>
      <c r="AB95" t="b">
        <v>0</v>
      </c>
      <c r="AC95" t="s">
        <v>2875</v>
      </c>
      <c r="AD95" t="b">
        <v>0</v>
      </c>
      <c r="AE95" t="b">
        <v>1</v>
      </c>
      <c r="AF95" t="b">
        <v>0</v>
      </c>
      <c r="AG95" t="b">
        <v>0</v>
      </c>
      <c r="AH95" t="b">
        <v>0</v>
      </c>
      <c r="AI95">
        <v>1</v>
      </c>
      <c r="AJ95" t="s">
        <v>736</v>
      </c>
      <c r="AK95" t="s">
        <v>491</v>
      </c>
      <c r="AL95">
        <v>1</v>
      </c>
      <c r="AM95" t="b">
        <v>0</v>
      </c>
      <c r="AN95" t="b">
        <v>0</v>
      </c>
      <c r="AO95" t="b">
        <v>1</v>
      </c>
      <c r="AP95">
        <f>IF(ISNUMBER(tblPeople[[#This Row],[dob]]),DATEDIF(tblPeople[[#This Row],[dob]],RunDate,"y"),"")</f>
        <v>0</v>
      </c>
      <c r="AQ95">
        <f>COUNTIFS(tblReview[person_id],tblPeople[[#This Row],[person_id]],tblReview[status],"OPEN")</f>
        <v>0</v>
      </c>
    </row>
    <row r="96" spans="1:43">
      <c r="A96" s="6" t="s">
        <v>1101</v>
      </c>
      <c r="B96" t="s">
        <v>468</v>
      </c>
      <c r="D96" t="s">
        <v>1098</v>
      </c>
      <c r="F96" t="s">
        <v>283</v>
      </c>
      <c r="H96" t="s">
        <v>284</v>
      </c>
      <c r="I96" t="s">
        <v>39</v>
      </c>
      <c r="J96" s="6" t="s">
        <v>627</v>
      </c>
      <c r="K96" t="s">
        <v>148</v>
      </c>
      <c r="L96" t="s">
        <v>149</v>
      </c>
      <c r="M96" s="3"/>
      <c r="N96" t="b">
        <v>0</v>
      </c>
      <c r="O96" t="b">
        <v>0</v>
      </c>
      <c r="P96" t="b">
        <v>0</v>
      </c>
      <c r="Q96" t="b">
        <v>0</v>
      </c>
      <c r="R96" t="b">
        <v>0</v>
      </c>
      <c r="S96" t="b">
        <v>0</v>
      </c>
      <c r="T96" t="b">
        <v>1</v>
      </c>
      <c r="U96" t="b">
        <v>0</v>
      </c>
      <c r="V96" t="b">
        <v>0</v>
      </c>
      <c r="W96" t="b">
        <v>0</v>
      </c>
      <c r="X96" t="b">
        <v>0</v>
      </c>
      <c r="Y96" t="b">
        <v>0</v>
      </c>
      <c r="Z96" t="b">
        <v>0</v>
      </c>
      <c r="AA96" t="b">
        <v>0</v>
      </c>
      <c r="AB96" t="b">
        <v>0</v>
      </c>
      <c r="AC96" t="s">
        <v>2875</v>
      </c>
      <c r="AD96" t="b">
        <v>0</v>
      </c>
      <c r="AE96" t="b">
        <v>1</v>
      </c>
      <c r="AF96" t="b">
        <v>0</v>
      </c>
      <c r="AG96" t="b">
        <v>0</v>
      </c>
      <c r="AH96" t="b">
        <v>0</v>
      </c>
      <c r="AI96">
        <v>1</v>
      </c>
      <c r="AJ96" t="s">
        <v>736</v>
      </c>
      <c r="AK96" t="s">
        <v>491</v>
      </c>
      <c r="AL96">
        <v>1</v>
      </c>
      <c r="AM96" t="b">
        <v>0</v>
      </c>
      <c r="AN96" t="b">
        <v>0</v>
      </c>
      <c r="AO96" t="b">
        <v>1</v>
      </c>
      <c r="AP96">
        <f>IF(ISNUMBER(tblPeople[[#This Row],[dob]]),DATEDIF(tblPeople[[#This Row],[dob]],RunDate,"y"),"")</f>
        <v>0</v>
      </c>
      <c r="AQ96">
        <f>COUNTIFS(tblReview[person_id],tblPeople[[#This Row],[person_id]],tblReview[status],"OPEN")</f>
        <v>0</v>
      </c>
    </row>
    <row r="97" spans="1:43">
      <c r="A97" s="6" t="s">
        <v>1113</v>
      </c>
      <c r="B97" t="s">
        <v>868</v>
      </c>
      <c r="D97" t="s">
        <v>143</v>
      </c>
      <c r="F97" t="s">
        <v>1106</v>
      </c>
      <c r="H97" t="s">
        <v>1107</v>
      </c>
      <c r="I97" t="s">
        <v>38</v>
      </c>
      <c r="J97" s="6" t="s">
        <v>1108</v>
      </c>
      <c r="K97" t="s">
        <v>148</v>
      </c>
      <c r="L97" t="s">
        <v>205</v>
      </c>
      <c r="M97" s="3">
        <v>22063</v>
      </c>
      <c r="N97" t="b">
        <v>0</v>
      </c>
      <c r="O97" t="b">
        <v>1</v>
      </c>
      <c r="P97" t="b">
        <v>0</v>
      </c>
      <c r="Q97" t="b">
        <v>0</v>
      </c>
      <c r="R97" t="b">
        <v>0</v>
      </c>
      <c r="S97" t="b">
        <v>0</v>
      </c>
      <c r="T97" t="b">
        <v>0</v>
      </c>
      <c r="U97" t="b">
        <v>0</v>
      </c>
      <c r="V97" t="b">
        <v>0</v>
      </c>
      <c r="W97" t="b">
        <v>0</v>
      </c>
      <c r="X97" t="b">
        <v>0</v>
      </c>
      <c r="Y97" t="b">
        <v>0</v>
      </c>
      <c r="Z97" t="b">
        <v>0</v>
      </c>
      <c r="AA97" t="b">
        <v>1</v>
      </c>
      <c r="AB97" t="b">
        <v>0</v>
      </c>
      <c r="AC97" t="s">
        <v>2876</v>
      </c>
      <c r="AD97" t="b">
        <v>1</v>
      </c>
      <c r="AE97" t="b">
        <v>0</v>
      </c>
      <c r="AF97" t="b">
        <v>0</v>
      </c>
      <c r="AG97" t="b">
        <v>0</v>
      </c>
      <c r="AH97" t="b">
        <v>0</v>
      </c>
      <c r="AI97">
        <v>1</v>
      </c>
      <c r="AJ97" t="s">
        <v>1104</v>
      </c>
      <c r="AK97" t="s">
        <v>491</v>
      </c>
      <c r="AL97">
        <v>1</v>
      </c>
      <c r="AM97" t="b">
        <v>0</v>
      </c>
      <c r="AN97" t="b">
        <v>1</v>
      </c>
      <c r="AO97" t="b">
        <v>1</v>
      </c>
      <c r="AP97">
        <f>IF(ISNUMBER(tblPeople[[#This Row],[dob]]),DATEDIF(tblPeople[[#This Row],[dob]],RunDate,"y"),"")</f>
        <v>0</v>
      </c>
      <c r="AQ97">
        <f>COUNTIFS(tblReview[person_id],tblPeople[[#This Row],[person_id]],tblReview[status],"OPEN")</f>
        <v>0</v>
      </c>
    </row>
    <row r="98" spans="1:43">
      <c r="A98" s="6" t="s">
        <v>1145</v>
      </c>
      <c r="B98" t="s">
        <v>1139</v>
      </c>
      <c r="C98" t="s">
        <v>163</v>
      </c>
      <c r="D98" t="s">
        <v>1141</v>
      </c>
      <c r="F98" t="s">
        <v>800</v>
      </c>
      <c r="H98" t="s">
        <v>801</v>
      </c>
      <c r="I98" t="s">
        <v>33</v>
      </c>
      <c r="J98" s="6" t="s">
        <v>802</v>
      </c>
      <c r="K98" t="s">
        <v>148</v>
      </c>
      <c r="L98" t="s">
        <v>149</v>
      </c>
      <c r="M98" s="3">
        <v>19689</v>
      </c>
      <c r="N98" t="b">
        <v>0</v>
      </c>
      <c r="O98" t="b">
        <v>1</v>
      </c>
      <c r="P98" t="b">
        <v>0</v>
      </c>
      <c r="Q98" t="b">
        <v>0</v>
      </c>
      <c r="R98" t="b">
        <v>0</v>
      </c>
      <c r="S98" t="b">
        <v>0</v>
      </c>
      <c r="T98" t="b">
        <v>0</v>
      </c>
      <c r="U98" t="b">
        <v>0</v>
      </c>
      <c r="V98" t="b">
        <v>0</v>
      </c>
      <c r="W98" t="b">
        <v>0</v>
      </c>
      <c r="X98" t="b">
        <v>0</v>
      </c>
      <c r="Y98" t="b">
        <v>0</v>
      </c>
      <c r="Z98" t="b">
        <v>0</v>
      </c>
      <c r="AA98" t="b">
        <v>1</v>
      </c>
      <c r="AB98" t="b">
        <v>0</v>
      </c>
      <c r="AC98" t="s">
        <v>2876</v>
      </c>
      <c r="AD98" t="b">
        <v>1</v>
      </c>
      <c r="AE98" t="b">
        <v>0</v>
      </c>
      <c r="AF98" t="b">
        <v>0</v>
      </c>
      <c r="AG98" t="b">
        <v>0</v>
      </c>
      <c r="AH98" t="b">
        <v>0</v>
      </c>
      <c r="AI98">
        <v>1</v>
      </c>
      <c r="AJ98" t="s">
        <v>1104</v>
      </c>
      <c r="AK98" t="s">
        <v>491</v>
      </c>
      <c r="AL98">
        <v>1</v>
      </c>
      <c r="AM98" t="b">
        <v>0</v>
      </c>
      <c r="AN98" t="b">
        <v>0</v>
      </c>
      <c r="AO98" t="b">
        <v>1</v>
      </c>
      <c r="AP98">
        <f>IF(ISNUMBER(tblPeople[[#This Row],[dob]]),DATEDIF(tblPeople[[#This Row],[dob]],RunDate,"y"),"")</f>
        <v>0</v>
      </c>
      <c r="AQ98">
        <f>COUNTIFS(tblReview[person_id],tblPeople[[#This Row],[person_id]],tblReview[status],"OPEN")</f>
        <v>0</v>
      </c>
    </row>
    <row r="99" spans="1:43">
      <c r="A99" s="6" t="s">
        <v>1156</v>
      </c>
      <c r="B99" t="s">
        <v>1147</v>
      </c>
      <c r="D99" t="s">
        <v>1148</v>
      </c>
      <c r="F99" t="s">
        <v>1149</v>
      </c>
      <c r="H99" t="s">
        <v>1150</v>
      </c>
      <c r="I99" t="s">
        <v>38</v>
      </c>
      <c r="J99" s="6" t="s">
        <v>1151</v>
      </c>
      <c r="K99" t="s">
        <v>148</v>
      </c>
      <c r="L99" t="s">
        <v>149</v>
      </c>
      <c r="M99" s="3">
        <v>28284</v>
      </c>
      <c r="N99" t="b">
        <v>0</v>
      </c>
      <c r="O99" t="b">
        <v>1</v>
      </c>
      <c r="P99" t="b">
        <v>0</v>
      </c>
      <c r="Q99" t="b">
        <v>0</v>
      </c>
      <c r="R99" t="b">
        <v>0</v>
      </c>
      <c r="S99" t="b">
        <v>0</v>
      </c>
      <c r="T99" t="b">
        <v>0</v>
      </c>
      <c r="U99" t="b">
        <v>0</v>
      </c>
      <c r="V99" t="b">
        <v>0</v>
      </c>
      <c r="W99" t="b">
        <v>0</v>
      </c>
      <c r="X99" t="b">
        <v>0</v>
      </c>
      <c r="Y99" t="b">
        <v>0</v>
      </c>
      <c r="Z99" t="b">
        <v>0</v>
      </c>
      <c r="AA99" t="b">
        <v>1</v>
      </c>
      <c r="AB99" t="b">
        <v>0</v>
      </c>
      <c r="AC99" t="s">
        <v>2876</v>
      </c>
      <c r="AD99" t="b">
        <v>1</v>
      </c>
      <c r="AE99" t="b">
        <v>0</v>
      </c>
      <c r="AF99" t="b">
        <v>0</v>
      </c>
      <c r="AG99" t="b">
        <v>0</v>
      </c>
      <c r="AH99" t="b">
        <v>0</v>
      </c>
      <c r="AI99">
        <v>1</v>
      </c>
      <c r="AJ99" t="s">
        <v>1104</v>
      </c>
      <c r="AK99" t="s">
        <v>491</v>
      </c>
      <c r="AL99">
        <v>1</v>
      </c>
      <c r="AM99" t="b">
        <v>0</v>
      </c>
      <c r="AN99" t="b">
        <v>0</v>
      </c>
      <c r="AO99" t="b">
        <v>1</v>
      </c>
      <c r="AP99">
        <f>IF(ISNUMBER(tblPeople[[#This Row],[dob]]),DATEDIF(tblPeople[[#This Row],[dob]],RunDate,"y"),"")</f>
        <v>0</v>
      </c>
      <c r="AQ99">
        <f>COUNTIFS(tblReview[person_id],tblPeople[[#This Row],[person_id]],tblReview[status],"OPEN")</f>
        <v>0</v>
      </c>
    </row>
    <row r="100" spans="1:43">
      <c r="A100" s="6" t="s">
        <v>1167</v>
      </c>
      <c r="B100" t="s">
        <v>1158</v>
      </c>
      <c r="D100" t="s">
        <v>1159</v>
      </c>
      <c r="F100" t="s">
        <v>1160</v>
      </c>
      <c r="H100" t="s">
        <v>1161</v>
      </c>
      <c r="I100" t="s">
        <v>33</v>
      </c>
      <c r="J100" s="6" t="s">
        <v>1162</v>
      </c>
      <c r="K100" t="s">
        <v>148</v>
      </c>
      <c r="L100" t="s">
        <v>205</v>
      </c>
      <c r="M100" s="3">
        <v>19001</v>
      </c>
      <c r="N100" t="b">
        <v>0</v>
      </c>
      <c r="O100" t="b">
        <v>1</v>
      </c>
      <c r="P100" t="b">
        <v>0</v>
      </c>
      <c r="Q100" t="b">
        <v>0</v>
      </c>
      <c r="R100" t="b">
        <v>0</v>
      </c>
      <c r="S100" t="b">
        <v>0</v>
      </c>
      <c r="T100" t="b">
        <v>0</v>
      </c>
      <c r="U100" t="b">
        <v>0</v>
      </c>
      <c r="V100" t="b">
        <v>0</v>
      </c>
      <c r="W100" t="b">
        <v>0</v>
      </c>
      <c r="X100" t="b">
        <v>0</v>
      </c>
      <c r="Y100" t="b">
        <v>0</v>
      </c>
      <c r="Z100" t="b">
        <v>0</v>
      </c>
      <c r="AA100" t="b">
        <v>1</v>
      </c>
      <c r="AB100" t="b">
        <v>0</v>
      </c>
      <c r="AC100" t="s">
        <v>2876</v>
      </c>
      <c r="AD100" t="b">
        <v>1</v>
      </c>
      <c r="AE100" t="b">
        <v>0</v>
      </c>
      <c r="AF100" t="b">
        <v>0</v>
      </c>
      <c r="AG100" t="b">
        <v>0</v>
      </c>
      <c r="AH100" t="b">
        <v>0</v>
      </c>
      <c r="AI100">
        <v>1</v>
      </c>
      <c r="AJ100" t="s">
        <v>1104</v>
      </c>
      <c r="AK100" t="s">
        <v>491</v>
      </c>
      <c r="AL100">
        <v>1</v>
      </c>
      <c r="AM100" t="b">
        <v>0</v>
      </c>
      <c r="AN100" t="b">
        <v>0</v>
      </c>
      <c r="AO100" t="b">
        <v>1</v>
      </c>
      <c r="AP100">
        <f>IF(ISNUMBER(tblPeople[[#This Row],[dob]]),DATEDIF(tblPeople[[#This Row],[dob]],RunDate,"y"),"")</f>
        <v>0</v>
      </c>
      <c r="AQ100">
        <f>COUNTIFS(tblReview[person_id],tblPeople[[#This Row],[person_id]],tblReview[status],"OPEN")</f>
        <v>0</v>
      </c>
    </row>
    <row r="101" spans="1:43">
      <c r="A101" s="6" t="s">
        <v>1231</v>
      </c>
      <c r="B101" t="s">
        <v>331</v>
      </c>
      <c r="C101" t="s">
        <v>163</v>
      </c>
      <c r="D101" t="s">
        <v>816</v>
      </c>
      <c r="F101" t="s">
        <v>447</v>
      </c>
      <c r="H101" t="s">
        <v>203</v>
      </c>
      <c r="I101" t="s">
        <v>34</v>
      </c>
      <c r="J101" s="6" t="s">
        <v>448</v>
      </c>
      <c r="K101" t="s">
        <v>148</v>
      </c>
      <c r="L101" t="s">
        <v>149</v>
      </c>
      <c r="M101" s="3">
        <v>22462</v>
      </c>
      <c r="N101" t="b">
        <v>0</v>
      </c>
      <c r="O101" t="b">
        <v>1</v>
      </c>
      <c r="P101" t="b">
        <v>0</v>
      </c>
      <c r="Q101" t="b">
        <v>0</v>
      </c>
      <c r="R101" t="b">
        <v>0</v>
      </c>
      <c r="S101" t="b">
        <v>0</v>
      </c>
      <c r="T101" t="b">
        <v>0</v>
      </c>
      <c r="U101" t="b">
        <v>0</v>
      </c>
      <c r="V101" t="b">
        <v>0</v>
      </c>
      <c r="W101" t="b">
        <v>0</v>
      </c>
      <c r="X101" t="b">
        <v>0</v>
      </c>
      <c r="Y101" t="b">
        <v>0</v>
      </c>
      <c r="Z101" t="b">
        <v>0</v>
      </c>
      <c r="AA101" t="b">
        <v>1</v>
      </c>
      <c r="AB101" t="b">
        <v>0</v>
      </c>
      <c r="AC101" t="s">
        <v>2876</v>
      </c>
      <c r="AD101" t="b">
        <v>1</v>
      </c>
      <c r="AE101" t="b">
        <v>0</v>
      </c>
      <c r="AF101" t="b">
        <v>0</v>
      </c>
      <c r="AG101" t="b">
        <v>0</v>
      </c>
      <c r="AH101" t="b">
        <v>0</v>
      </c>
      <c r="AI101">
        <v>1</v>
      </c>
      <c r="AJ101" t="s">
        <v>1104</v>
      </c>
      <c r="AK101" t="s">
        <v>491</v>
      </c>
      <c r="AL101">
        <v>1</v>
      </c>
      <c r="AM101" t="b">
        <v>0</v>
      </c>
      <c r="AN101" t="b">
        <v>0</v>
      </c>
      <c r="AO101" t="b">
        <v>1</v>
      </c>
      <c r="AP101">
        <f>IF(ISNUMBER(tblPeople[[#This Row],[dob]]),DATEDIF(tblPeople[[#This Row],[dob]],RunDate,"y"),"")</f>
        <v>0</v>
      </c>
      <c r="AQ101">
        <f>COUNTIFS(tblReview[person_id],tblPeople[[#This Row],[person_id]],tblReview[status],"OPEN")</f>
        <v>0</v>
      </c>
    </row>
    <row r="102" spans="1:43">
      <c r="A102" s="6" t="s">
        <v>1240</v>
      </c>
      <c r="B102" t="s">
        <v>1234</v>
      </c>
      <c r="C102" t="s">
        <v>142</v>
      </c>
      <c r="D102" t="s">
        <v>1236</v>
      </c>
      <c r="F102" t="s">
        <v>660</v>
      </c>
      <c r="H102" t="s">
        <v>661</v>
      </c>
      <c r="I102" t="s">
        <v>34</v>
      </c>
      <c r="J102" s="6" t="s">
        <v>662</v>
      </c>
      <c r="K102" t="s">
        <v>148</v>
      </c>
      <c r="L102" t="s">
        <v>149</v>
      </c>
      <c r="M102" s="3">
        <v>19966</v>
      </c>
      <c r="N102" t="b">
        <v>0</v>
      </c>
      <c r="O102" t="b">
        <v>1</v>
      </c>
      <c r="P102" t="b">
        <v>0</v>
      </c>
      <c r="Q102" t="b">
        <v>0</v>
      </c>
      <c r="R102" t="b">
        <v>0</v>
      </c>
      <c r="S102" t="b">
        <v>1</v>
      </c>
      <c r="T102" t="b">
        <v>0</v>
      </c>
      <c r="U102" t="b">
        <v>0</v>
      </c>
      <c r="V102" t="b">
        <v>0</v>
      </c>
      <c r="W102" t="b">
        <v>0</v>
      </c>
      <c r="X102" t="b">
        <v>0</v>
      </c>
      <c r="Y102" t="b">
        <v>0</v>
      </c>
      <c r="Z102" t="b">
        <v>0</v>
      </c>
      <c r="AA102" t="b">
        <v>1</v>
      </c>
      <c r="AB102" t="b">
        <v>0</v>
      </c>
      <c r="AC102" t="s">
        <v>2877</v>
      </c>
      <c r="AD102" t="b">
        <v>1</v>
      </c>
      <c r="AE102" t="b">
        <v>1</v>
      </c>
      <c r="AF102" t="b">
        <v>0</v>
      </c>
      <c r="AG102" t="b">
        <v>0</v>
      </c>
      <c r="AH102" t="b">
        <v>0</v>
      </c>
      <c r="AI102">
        <v>4</v>
      </c>
      <c r="AJ102" t="s">
        <v>2878</v>
      </c>
      <c r="AK102" t="s">
        <v>491</v>
      </c>
      <c r="AL102">
        <v>1</v>
      </c>
      <c r="AM102" t="b">
        <v>0</v>
      </c>
      <c r="AN102" t="b">
        <v>0</v>
      </c>
      <c r="AO102" t="b">
        <v>1</v>
      </c>
      <c r="AP102">
        <f>IF(ISNUMBER(tblPeople[[#This Row],[dob]]),DATEDIF(tblPeople[[#This Row],[dob]],RunDate,"y"),"")</f>
        <v>0</v>
      </c>
      <c r="AQ102">
        <f>COUNTIFS(tblReview[person_id],tblPeople[[#This Row],[person_id]],tblReview[status],"OPEN")</f>
        <v>0</v>
      </c>
    </row>
    <row r="103" spans="1:43">
      <c r="A103" s="6" t="s">
        <v>1249</v>
      </c>
      <c r="B103" t="s">
        <v>642</v>
      </c>
      <c r="C103" t="s">
        <v>163</v>
      </c>
      <c r="D103" t="s">
        <v>659</v>
      </c>
      <c r="F103" t="s">
        <v>1242</v>
      </c>
      <c r="H103" t="s">
        <v>1243</v>
      </c>
      <c r="I103" t="s">
        <v>40</v>
      </c>
      <c r="J103" s="6" t="s">
        <v>1244</v>
      </c>
      <c r="K103" t="s">
        <v>148</v>
      </c>
      <c r="L103" t="s">
        <v>205</v>
      </c>
      <c r="M103" s="3">
        <v>19811</v>
      </c>
      <c r="N103" t="b">
        <v>0</v>
      </c>
      <c r="O103" t="b">
        <v>1</v>
      </c>
      <c r="P103" t="b">
        <v>0</v>
      </c>
      <c r="Q103" t="b">
        <v>0</v>
      </c>
      <c r="R103" t="b">
        <v>0</v>
      </c>
      <c r="S103" t="b">
        <v>0</v>
      </c>
      <c r="T103" t="b">
        <v>0</v>
      </c>
      <c r="U103" t="b">
        <v>0</v>
      </c>
      <c r="V103" t="b">
        <v>0</v>
      </c>
      <c r="W103" t="b">
        <v>0</v>
      </c>
      <c r="X103" t="b">
        <v>0</v>
      </c>
      <c r="Y103" t="b">
        <v>0</v>
      </c>
      <c r="Z103" t="b">
        <v>0</v>
      </c>
      <c r="AA103" t="b">
        <v>1</v>
      </c>
      <c r="AB103" t="b">
        <v>0</v>
      </c>
      <c r="AC103" t="s">
        <v>2876</v>
      </c>
      <c r="AD103" t="b">
        <v>1</v>
      </c>
      <c r="AE103" t="b">
        <v>0</v>
      </c>
      <c r="AF103" t="b">
        <v>0</v>
      </c>
      <c r="AG103" t="b">
        <v>0</v>
      </c>
      <c r="AH103" t="b">
        <v>0</v>
      </c>
      <c r="AI103">
        <v>1</v>
      </c>
      <c r="AJ103" t="s">
        <v>1104</v>
      </c>
      <c r="AK103" t="s">
        <v>491</v>
      </c>
      <c r="AL103">
        <v>1</v>
      </c>
      <c r="AM103" t="b">
        <v>0</v>
      </c>
      <c r="AN103" t="b">
        <v>0</v>
      </c>
      <c r="AO103" t="b">
        <v>1</v>
      </c>
      <c r="AP103">
        <f>IF(ISNUMBER(tblPeople[[#This Row],[dob]]),DATEDIF(tblPeople[[#This Row],[dob]],RunDate,"y"),"")</f>
        <v>0</v>
      </c>
      <c r="AQ103">
        <f>COUNTIFS(tblReview[person_id],tblPeople[[#This Row],[person_id]],tblReview[status],"OPEN")</f>
        <v>0</v>
      </c>
    </row>
    <row r="104" spans="1:43">
      <c r="A104" s="6" t="s">
        <v>1264</v>
      </c>
      <c r="B104" t="s">
        <v>1256</v>
      </c>
      <c r="D104" t="s">
        <v>970</v>
      </c>
      <c r="F104" t="s">
        <v>1257</v>
      </c>
      <c r="H104" t="s">
        <v>1258</v>
      </c>
      <c r="I104" t="s">
        <v>36</v>
      </c>
      <c r="J104" s="6" t="s">
        <v>1259</v>
      </c>
      <c r="K104" t="s">
        <v>148</v>
      </c>
      <c r="L104" t="s">
        <v>149</v>
      </c>
      <c r="M104" s="3">
        <v>33667</v>
      </c>
      <c r="N104" t="b">
        <v>0</v>
      </c>
      <c r="O104" t="b">
        <v>1</v>
      </c>
      <c r="P104" t="b">
        <v>0</v>
      </c>
      <c r="Q104" t="b">
        <v>0</v>
      </c>
      <c r="R104" t="b">
        <v>0</v>
      </c>
      <c r="S104" t="b">
        <v>0</v>
      </c>
      <c r="T104" t="b">
        <v>0</v>
      </c>
      <c r="U104" t="b">
        <v>0</v>
      </c>
      <c r="V104" t="b">
        <v>0</v>
      </c>
      <c r="W104" t="b">
        <v>0</v>
      </c>
      <c r="X104" t="b">
        <v>0</v>
      </c>
      <c r="Y104" t="b">
        <v>0</v>
      </c>
      <c r="Z104" t="b">
        <v>0</v>
      </c>
      <c r="AA104" t="b">
        <v>1</v>
      </c>
      <c r="AB104" t="b">
        <v>0</v>
      </c>
      <c r="AC104" t="s">
        <v>2876</v>
      </c>
      <c r="AD104" t="b">
        <v>1</v>
      </c>
      <c r="AE104" t="b">
        <v>0</v>
      </c>
      <c r="AF104" t="b">
        <v>0</v>
      </c>
      <c r="AG104" t="b">
        <v>0</v>
      </c>
      <c r="AH104" t="b">
        <v>0</v>
      </c>
      <c r="AI104">
        <v>1</v>
      </c>
      <c r="AJ104" t="s">
        <v>1104</v>
      </c>
      <c r="AK104" t="s">
        <v>491</v>
      </c>
      <c r="AL104">
        <v>1</v>
      </c>
      <c r="AM104" t="b">
        <v>0</v>
      </c>
      <c r="AN104" t="b">
        <v>1</v>
      </c>
      <c r="AO104" t="b">
        <v>1</v>
      </c>
      <c r="AP104">
        <f>IF(ISNUMBER(tblPeople[[#This Row],[dob]]),DATEDIF(tblPeople[[#This Row],[dob]],RunDate,"y"),"")</f>
        <v>0</v>
      </c>
      <c r="AQ104">
        <f>COUNTIFS(tblReview[person_id],tblPeople[[#This Row],[person_id]],tblReview[status],"OPEN")</f>
        <v>0</v>
      </c>
    </row>
    <row r="105" spans="1:43">
      <c r="A105" s="6" t="s">
        <v>1274</v>
      </c>
      <c r="B105" t="s">
        <v>1266</v>
      </c>
      <c r="C105" t="s">
        <v>142</v>
      </c>
      <c r="D105" t="s">
        <v>1267</v>
      </c>
      <c r="F105" t="s">
        <v>1268</v>
      </c>
      <c r="H105" t="s">
        <v>565</v>
      </c>
      <c r="I105" t="s">
        <v>37</v>
      </c>
      <c r="J105" s="6" t="s">
        <v>1269</v>
      </c>
      <c r="K105" t="s">
        <v>148</v>
      </c>
      <c r="L105" t="s">
        <v>205</v>
      </c>
      <c r="M105" s="3">
        <v>17017</v>
      </c>
      <c r="N105" t="b">
        <v>0</v>
      </c>
      <c r="O105" t="b">
        <v>1</v>
      </c>
      <c r="P105" t="b">
        <v>0</v>
      </c>
      <c r="Q105" t="b">
        <v>0</v>
      </c>
      <c r="R105" t="b">
        <v>0</v>
      </c>
      <c r="S105" t="b">
        <v>0</v>
      </c>
      <c r="T105" t="b">
        <v>0</v>
      </c>
      <c r="U105" t="b">
        <v>0</v>
      </c>
      <c r="V105" t="b">
        <v>0</v>
      </c>
      <c r="W105" t="b">
        <v>0</v>
      </c>
      <c r="X105" t="b">
        <v>0</v>
      </c>
      <c r="Y105" t="b">
        <v>0</v>
      </c>
      <c r="Z105" t="b">
        <v>0</v>
      </c>
      <c r="AA105" t="b">
        <v>1</v>
      </c>
      <c r="AB105" t="b">
        <v>0</v>
      </c>
      <c r="AC105" t="s">
        <v>2876</v>
      </c>
      <c r="AD105" t="b">
        <v>1</v>
      </c>
      <c r="AE105" t="b">
        <v>0</v>
      </c>
      <c r="AF105" t="b">
        <v>0</v>
      </c>
      <c r="AG105" t="b">
        <v>0</v>
      </c>
      <c r="AH105" t="b">
        <v>0</v>
      </c>
      <c r="AI105">
        <v>1</v>
      </c>
      <c r="AJ105" t="s">
        <v>1104</v>
      </c>
      <c r="AK105" t="s">
        <v>491</v>
      </c>
      <c r="AL105">
        <v>1</v>
      </c>
      <c r="AM105" t="b">
        <v>0</v>
      </c>
      <c r="AN105" t="b">
        <v>0</v>
      </c>
      <c r="AO105" t="b">
        <v>1</v>
      </c>
      <c r="AP105">
        <f>IF(ISNUMBER(tblPeople[[#This Row],[dob]]),DATEDIF(tblPeople[[#This Row],[dob]],RunDate,"y"),"")</f>
        <v>0</v>
      </c>
      <c r="AQ105">
        <f>COUNTIFS(tblReview[person_id],tblPeople[[#This Row],[person_id]],tblReview[status],"OPEN")</f>
        <v>0</v>
      </c>
    </row>
    <row r="106" spans="1:43">
      <c r="A106" s="6" t="s">
        <v>1284</v>
      </c>
      <c r="B106" t="s">
        <v>832</v>
      </c>
      <c r="C106" t="s">
        <v>224</v>
      </c>
      <c r="D106" t="s">
        <v>601</v>
      </c>
      <c r="F106" t="s">
        <v>1278</v>
      </c>
      <c r="H106" t="s">
        <v>1279</v>
      </c>
      <c r="I106" t="s">
        <v>34</v>
      </c>
      <c r="J106" s="6" t="s">
        <v>1280</v>
      </c>
      <c r="K106" t="s">
        <v>148</v>
      </c>
      <c r="L106" t="s">
        <v>149</v>
      </c>
      <c r="M106" s="3">
        <v>28645</v>
      </c>
      <c r="N106" t="b">
        <v>0</v>
      </c>
      <c r="O106" t="b">
        <v>1</v>
      </c>
      <c r="P106" t="b">
        <v>0</v>
      </c>
      <c r="Q106" t="b">
        <v>0</v>
      </c>
      <c r="R106" t="b">
        <v>0</v>
      </c>
      <c r="S106" t="b">
        <v>0</v>
      </c>
      <c r="T106" t="b">
        <v>0</v>
      </c>
      <c r="U106" t="b">
        <v>1</v>
      </c>
      <c r="V106" t="b">
        <v>0</v>
      </c>
      <c r="W106" t="b">
        <v>0</v>
      </c>
      <c r="X106" t="b">
        <v>0</v>
      </c>
      <c r="Y106" t="b">
        <v>1</v>
      </c>
      <c r="Z106" t="b">
        <v>0</v>
      </c>
      <c r="AA106" t="b">
        <v>1</v>
      </c>
      <c r="AB106" t="b">
        <v>0</v>
      </c>
      <c r="AC106" t="s">
        <v>2826</v>
      </c>
      <c r="AD106" t="b">
        <v>1</v>
      </c>
      <c r="AE106" t="b">
        <v>0</v>
      </c>
      <c r="AF106" t="b">
        <v>1</v>
      </c>
      <c r="AG106" t="b">
        <v>1</v>
      </c>
      <c r="AH106" t="b">
        <v>0</v>
      </c>
      <c r="AI106">
        <v>4</v>
      </c>
      <c r="AJ106" t="s">
        <v>2879</v>
      </c>
      <c r="AK106" t="s">
        <v>491</v>
      </c>
      <c r="AL106">
        <v>1</v>
      </c>
      <c r="AM106" t="b">
        <v>0</v>
      </c>
      <c r="AN106" t="b">
        <v>0</v>
      </c>
      <c r="AO106" t="b">
        <v>1</v>
      </c>
      <c r="AP106">
        <f>IF(ISNUMBER(tblPeople[[#This Row],[dob]]),DATEDIF(tblPeople[[#This Row],[dob]],RunDate,"y"),"")</f>
        <v>0</v>
      </c>
      <c r="AQ106">
        <f>COUNTIFS(tblReview[person_id],tblPeople[[#This Row],[person_id]],tblReview[status],"OPEN")</f>
        <v>0</v>
      </c>
    </row>
    <row r="107" spans="1:43">
      <c r="A107" s="6" t="s">
        <v>1295</v>
      </c>
      <c r="B107" t="s">
        <v>298</v>
      </c>
      <c r="D107" t="s">
        <v>824</v>
      </c>
      <c r="F107" t="s">
        <v>1290</v>
      </c>
      <c r="H107" t="s">
        <v>603</v>
      </c>
      <c r="I107" t="s">
        <v>40</v>
      </c>
      <c r="J107" s="6" t="s">
        <v>1291</v>
      </c>
      <c r="K107" t="s">
        <v>148</v>
      </c>
      <c r="L107" t="s">
        <v>205</v>
      </c>
      <c r="M107" s="3">
        <v>34690</v>
      </c>
      <c r="N107" t="b">
        <v>0</v>
      </c>
      <c r="O107" t="b">
        <v>1</v>
      </c>
      <c r="P107" t="b">
        <v>0</v>
      </c>
      <c r="Q107" t="b">
        <v>0</v>
      </c>
      <c r="R107" t="b">
        <v>0</v>
      </c>
      <c r="S107" t="b">
        <v>0</v>
      </c>
      <c r="T107" t="b">
        <v>0</v>
      </c>
      <c r="U107" t="b">
        <v>0</v>
      </c>
      <c r="V107" t="b">
        <v>0</v>
      </c>
      <c r="W107" t="b">
        <v>0</v>
      </c>
      <c r="X107" t="b">
        <v>0</v>
      </c>
      <c r="Y107" t="b">
        <v>0</v>
      </c>
      <c r="Z107" t="b">
        <v>0</v>
      </c>
      <c r="AA107" t="b">
        <v>1</v>
      </c>
      <c r="AB107" t="b">
        <v>0</v>
      </c>
      <c r="AC107" t="s">
        <v>2876</v>
      </c>
      <c r="AD107" t="b">
        <v>1</v>
      </c>
      <c r="AE107" t="b">
        <v>0</v>
      </c>
      <c r="AF107" t="b">
        <v>0</v>
      </c>
      <c r="AG107" t="b">
        <v>0</v>
      </c>
      <c r="AH107" t="b">
        <v>0</v>
      </c>
      <c r="AI107">
        <v>1</v>
      </c>
      <c r="AJ107" t="s">
        <v>1104</v>
      </c>
      <c r="AK107" t="s">
        <v>491</v>
      </c>
      <c r="AL107">
        <v>1</v>
      </c>
      <c r="AM107" t="b">
        <v>0</v>
      </c>
      <c r="AN107" t="b">
        <v>0</v>
      </c>
      <c r="AO107" t="b">
        <v>1</v>
      </c>
      <c r="AP107">
        <f>IF(ISNUMBER(tblPeople[[#This Row],[dob]]),DATEDIF(tblPeople[[#This Row],[dob]],RunDate,"y"),"")</f>
        <v>0</v>
      </c>
      <c r="AQ107">
        <f>COUNTIFS(tblReview[person_id],tblPeople[[#This Row],[person_id]],tblReview[status],"OPEN")</f>
        <v>0</v>
      </c>
    </row>
    <row r="108" spans="1:43">
      <c r="A108" s="6" t="s">
        <v>1318</v>
      </c>
      <c r="B108" t="s">
        <v>1308</v>
      </c>
      <c r="C108" t="s">
        <v>212</v>
      </c>
      <c r="D108" t="s">
        <v>1310</v>
      </c>
      <c r="F108" t="s">
        <v>1311</v>
      </c>
      <c r="H108" t="s">
        <v>1312</v>
      </c>
      <c r="I108" t="s">
        <v>38</v>
      </c>
      <c r="J108" s="6" t="s">
        <v>1313</v>
      </c>
      <c r="K108" t="s">
        <v>148</v>
      </c>
      <c r="L108" t="s">
        <v>205</v>
      </c>
      <c r="M108" s="3">
        <v>19568</v>
      </c>
      <c r="N108" t="b">
        <v>0</v>
      </c>
      <c r="O108" t="b">
        <v>1</v>
      </c>
      <c r="P108" t="b">
        <v>0</v>
      </c>
      <c r="Q108" t="b">
        <v>0</v>
      </c>
      <c r="R108" t="b">
        <v>0</v>
      </c>
      <c r="S108" t="b">
        <v>0</v>
      </c>
      <c r="T108" t="b">
        <v>0</v>
      </c>
      <c r="U108" t="b">
        <v>0</v>
      </c>
      <c r="V108" t="b">
        <v>0</v>
      </c>
      <c r="W108" t="b">
        <v>0</v>
      </c>
      <c r="X108" t="b">
        <v>0</v>
      </c>
      <c r="Y108" t="b">
        <v>0</v>
      </c>
      <c r="Z108" t="b">
        <v>0</v>
      </c>
      <c r="AA108" t="b">
        <v>1</v>
      </c>
      <c r="AB108" t="b">
        <v>0</v>
      </c>
      <c r="AC108" t="s">
        <v>2876</v>
      </c>
      <c r="AD108" t="b">
        <v>1</v>
      </c>
      <c r="AE108" t="b">
        <v>0</v>
      </c>
      <c r="AF108" t="b">
        <v>0</v>
      </c>
      <c r="AG108" t="b">
        <v>0</v>
      </c>
      <c r="AH108" t="b">
        <v>0</v>
      </c>
      <c r="AI108">
        <v>1</v>
      </c>
      <c r="AJ108" t="s">
        <v>1104</v>
      </c>
      <c r="AK108" t="s">
        <v>491</v>
      </c>
      <c r="AL108">
        <v>1</v>
      </c>
      <c r="AM108" t="b">
        <v>0</v>
      </c>
      <c r="AN108" t="b">
        <v>1</v>
      </c>
      <c r="AO108" t="b">
        <v>1</v>
      </c>
      <c r="AP108">
        <f>IF(ISNUMBER(tblPeople[[#This Row],[dob]]),DATEDIF(tblPeople[[#This Row],[dob]],RunDate,"y"),"")</f>
        <v>0</v>
      </c>
      <c r="AQ108">
        <f>COUNTIFS(tblReview[person_id],tblPeople[[#This Row],[person_id]],tblReview[status],"OPEN")</f>
        <v>0</v>
      </c>
    </row>
    <row r="109" spans="1:43">
      <c r="A109" s="6" t="s">
        <v>1331</v>
      </c>
      <c r="B109" t="s">
        <v>1324</v>
      </c>
      <c r="D109" t="s">
        <v>547</v>
      </c>
      <c r="F109" t="s">
        <v>1325</v>
      </c>
      <c r="H109" t="s">
        <v>1326</v>
      </c>
      <c r="I109" t="s">
        <v>36</v>
      </c>
      <c r="J109" s="6" t="s">
        <v>1327</v>
      </c>
      <c r="K109" t="s">
        <v>148</v>
      </c>
      <c r="L109" t="s">
        <v>149</v>
      </c>
      <c r="M109" s="3">
        <v>31574</v>
      </c>
      <c r="N109" t="b">
        <v>0</v>
      </c>
      <c r="O109" t="b">
        <v>1</v>
      </c>
      <c r="P109" t="b">
        <v>0</v>
      </c>
      <c r="Q109" t="b">
        <v>0</v>
      </c>
      <c r="R109" t="b">
        <v>0</v>
      </c>
      <c r="S109" t="b">
        <v>0</v>
      </c>
      <c r="T109" t="b">
        <v>0</v>
      </c>
      <c r="U109" t="b">
        <v>1</v>
      </c>
      <c r="V109" t="b">
        <v>0</v>
      </c>
      <c r="W109" t="b">
        <v>0</v>
      </c>
      <c r="X109" t="b">
        <v>0</v>
      </c>
      <c r="Y109" t="b">
        <v>1</v>
      </c>
      <c r="Z109" t="b">
        <v>0</v>
      </c>
      <c r="AA109" t="b">
        <v>1</v>
      </c>
      <c r="AB109" t="b">
        <v>0</v>
      </c>
      <c r="AC109" t="s">
        <v>2826</v>
      </c>
      <c r="AD109" t="b">
        <v>1</v>
      </c>
      <c r="AE109" t="b">
        <v>0</v>
      </c>
      <c r="AF109" t="b">
        <v>1</v>
      </c>
      <c r="AG109" t="b">
        <v>1</v>
      </c>
      <c r="AH109" t="b">
        <v>0</v>
      </c>
      <c r="AI109">
        <v>5</v>
      </c>
      <c r="AJ109" t="s">
        <v>2880</v>
      </c>
      <c r="AK109" t="s">
        <v>491</v>
      </c>
      <c r="AL109">
        <v>1</v>
      </c>
      <c r="AM109" t="b">
        <v>0</v>
      </c>
      <c r="AN109" t="b">
        <v>1</v>
      </c>
      <c r="AO109" t="b">
        <v>1</v>
      </c>
      <c r="AP109">
        <f>IF(ISNUMBER(tblPeople[[#This Row],[dob]]),DATEDIF(tblPeople[[#This Row],[dob]],RunDate,"y"),"")</f>
        <v>0</v>
      </c>
      <c r="AQ109">
        <f>COUNTIFS(tblReview[person_id],tblPeople[[#This Row],[person_id]],tblReview[status],"OPEN")</f>
        <v>0</v>
      </c>
    </row>
    <row r="110" spans="1:43">
      <c r="A110" s="6" t="s">
        <v>1340</v>
      </c>
      <c r="B110" t="s">
        <v>298</v>
      </c>
      <c r="C110" t="s">
        <v>299</v>
      </c>
      <c r="D110" t="s">
        <v>1333</v>
      </c>
      <c r="F110" t="s">
        <v>1334</v>
      </c>
      <c r="H110" t="s">
        <v>1335</v>
      </c>
      <c r="I110" t="s">
        <v>38</v>
      </c>
      <c r="J110" s="6" t="s">
        <v>1336</v>
      </c>
      <c r="K110" t="s">
        <v>148</v>
      </c>
      <c r="L110" t="s">
        <v>149</v>
      </c>
      <c r="M110" s="3">
        <v>30642</v>
      </c>
      <c r="N110" t="b">
        <v>0</v>
      </c>
      <c r="O110" t="b">
        <v>1</v>
      </c>
      <c r="P110" t="b">
        <v>0</v>
      </c>
      <c r="Q110" t="b">
        <v>0</v>
      </c>
      <c r="R110" t="b">
        <v>0</v>
      </c>
      <c r="S110" t="b">
        <v>0</v>
      </c>
      <c r="T110" t="b">
        <v>0</v>
      </c>
      <c r="U110" t="b">
        <v>0</v>
      </c>
      <c r="V110" t="b">
        <v>0</v>
      </c>
      <c r="W110" t="b">
        <v>0</v>
      </c>
      <c r="X110" t="b">
        <v>0</v>
      </c>
      <c r="Y110" t="b">
        <v>0</v>
      </c>
      <c r="Z110" t="b">
        <v>0</v>
      </c>
      <c r="AA110" t="b">
        <v>1</v>
      </c>
      <c r="AB110" t="b">
        <v>0</v>
      </c>
      <c r="AC110" t="s">
        <v>2876</v>
      </c>
      <c r="AD110" t="b">
        <v>1</v>
      </c>
      <c r="AE110" t="b">
        <v>0</v>
      </c>
      <c r="AF110" t="b">
        <v>0</v>
      </c>
      <c r="AG110" t="b">
        <v>0</v>
      </c>
      <c r="AH110" t="b">
        <v>0</v>
      </c>
      <c r="AI110">
        <v>1</v>
      </c>
      <c r="AJ110" t="s">
        <v>1104</v>
      </c>
      <c r="AK110" t="s">
        <v>491</v>
      </c>
      <c r="AL110">
        <v>1</v>
      </c>
      <c r="AM110" t="b">
        <v>0</v>
      </c>
      <c r="AN110" t="b">
        <v>0</v>
      </c>
      <c r="AO110" t="b">
        <v>1</v>
      </c>
      <c r="AP110">
        <f>IF(ISNUMBER(tblPeople[[#This Row],[dob]]),DATEDIF(tblPeople[[#This Row],[dob]],RunDate,"y"),"")</f>
        <v>0</v>
      </c>
      <c r="AQ110">
        <f>COUNTIFS(tblReview[person_id],tblPeople[[#This Row],[person_id]],tblReview[status],"OPEN")</f>
        <v>0</v>
      </c>
    </row>
    <row r="111" spans="1:43">
      <c r="A111" s="6" t="s">
        <v>1348</v>
      </c>
      <c r="B111" t="s">
        <v>247</v>
      </c>
      <c r="C111" t="s">
        <v>189</v>
      </c>
      <c r="D111" t="s">
        <v>1141</v>
      </c>
      <c r="F111" t="s">
        <v>1342</v>
      </c>
      <c r="H111" t="s">
        <v>1343</v>
      </c>
      <c r="I111" t="s">
        <v>40</v>
      </c>
      <c r="J111" s="6" t="s">
        <v>1344</v>
      </c>
      <c r="K111" t="s">
        <v>148</v>
      </c>
      <c r="L111" t="s">
        <v>205</v>
      </c>
      <c r="M111" s="3">
        <v>23080</v>
      </c>
      <c r="N111" t="b">
        <v>0</v>
      </c>
      <c r="O111" t="b">
        <v>1</v>
      </c>
      <c r="P111" t="b">
        <v>0</v>
      </c>
      <c r="Q111" t="b">
        <v>0</v>
      </c>
      <c r="R111" t="b">
        <v>0</v>
      </c>
      <c r="S111" t="b">
        <v>0</v>
      </c>
      <c r="T111" t="b">
        <v>0</v>
      </c>
      <c r="U111" t="b">
        <v>0</v>
      </c>
      <c r="V111" t="b">
        <v>0</v>
      </c>
      <c r="W111" t="b">
        <v>0</v>
      </c>
      <c r="X111" t="b">
        <v>0</v>
      </c>
      <c r="Y111" t="b">
        <v>0</v>
      </c>
      <c r="Z111" t="b">
        <v>0</v>
      </c>
      <c r="AA111" t="b">
        <v>1</v>
      </c>
      <c r="AB111" t="b">
        <v>0</v>
      </c>
      <c r="AC111" t="s">
        <v>2876</v>
      </c>
      <c r="AD111" t="b">
        <v>1</v>
      </c>
      <c r="AE111" t="b">
        <v>0</v>
      </c>
      <c r="AF111" t="b">
        <v>0</v>
      </c>
      <c r="AG111" t="b">
        <v>0</v>
      </c>
      <c r="AH111" t="b">
        <v>0</v>
      </c>
      <c r="AI111">
        <v>1</v>
      </c>
      <c r="AJ111" t="s">
        <v>1104</v>
      </c>
      <c r="AK111" t="s">
        <v>491</v>
      </c>
      <c r="AL111">
        <v>1</v>
      </c>
      <c r="AM111" t="b">
        <v>0</v>
      </c>
      <c r="AN111" t="b">
        <v>0</v>
      </c>
      <c r="AO111" t="b">
        <v>1</v>
      </c>
      <c r="AP111">
        <f>IF(ISNUMBER(tblPeople[[#This Row],[dob]]),DATEDIF(tblPeople[[#This Row],[dob]],RunDate,"y"),"")</f>
        <v>0</v>
      </c>
      <c r="AQ111">
        <f>COUNTIFS(tblReview[person_id],tblPeople[[#This Row],[person_id]],tblReview[status],"OPEN")</f>
        <v>0</v>
      </c>
    </row>
    <row r="112" spans="1:43">
      <c r="A112" s="6" t="s">
        <v>1354</v>
      </c>
      <c r="B112" t="s">
        <v>535</v>
      </c>
      <c r="D112" t="s">
        <v>1350</v>
      </c>
      <c r="F112" t="s">
        <v>564</v>
      </c>
      <c r="H112" t="s">
        <v>565</v>
      </c>
      <c r="I112" t="s">
        <v>37</v>
      </c>
      <c r="J112" s="6" t="s">
        <v>566</v>
      </c>
      <c r="K112" t="s">
        <v>148</v>
      </c>
      <c r="L112" t="s">
        <v>149</v>
      </c>
      <c r="M112" s="3">
        <v>35586</v>
      </c>
      <c r="N112" t="b">
        <v>0</v>
      </c>
      <c r="O112" t="b">
        <v>1</v>
      </c>
      <c r="P112" t="b">
        <v>0</v>
      </c>
      <c r="Q112" t="b">
        <v>0</v>
      </c>
      <c r="R112" t="b">
        <v>0</v>
      </c>
      <c r="S112" t="b">
        <v>0</v>
      </c>
      <c r="T112" t="b">
        <v>0</v>
      </c>
      <c r="U112" t="b">
        <v>0</v>
      </c>
      <c r="V112" t="b">
        <v>0</v>
      </c>
      <c r="W112" t="b">
        <v>0</v>
      </c>
      <c r="X112" t="b">
        <v>0</v>
      </c>
      <c r="Y112" t="b">
        <v>0</v>
      </c>
      <c r="Z112" t="b">
        <v>0</v>
      </c>
      <c r="AA112" t="b">
        <v>1</v>
      </c>
      <c r="AB112" t="b">
        <v>0</v>
      </c>
      <c r="AC112" t="s">
        <v>2876</v>
      </c>
      <c r="AD112" t="b">
        <v>1</v>
      </c>
      <c r="AE112" t="b">
        <v>0</v>
      </c>
      <c r="AF112" t="b">
        <v>0</v>
      </c>
      <c r="AG112" t="b">
        <v>0</v>
      </c>
      <c r="AH112" t="b">
        <v>0</v>
      </c>
      <c r="AI112">
        <v>1</v>
      </c>
      <c r="AJ112" t="s">
        <v>1104</v>
      </c>
      <c r="AK112" t="s">
        <v>491</v>
      </c>
      <c r="AL112">
        <v>1</v>
      </c>
      <c r="AM112" t="b">
        <v>0</v>
      </c>
      <c r="AN112" t="b">
        <v>0</v>
      </c>
      <c r="AO112" t="b">
        <v>1</v>
      </c>
      <c r="AP112">
        <f>IF(ISNUMBER(tblPeople[[#This Row],[dob]]),DATEDIF(tblPeople[[#This Row],[dob]],RunDate,"y"),"")</f>
        <v>0</v>
      </c>
      <c r="AQ112">
        <f>COUNTIFS(tblReview[person_id],tblPeople[[#This Row],[person_id]],tblReview[status],"OPEN")</f>
        <v>0</v>
      </c>
    </row>
    <row r="113" spans="1:43">
      <c r="A113" s="6" t="s">
        <v>1366</v>
      </c>
      <c r="B113" t="s">
        <v>1358</v>
      </c>
      <c r="D113" t="s">
        <v>1359</v>
      </c>
      <c r="F113" t="s">
        <v>1360</v>
      </c>
      <c r="H113" t="s">
        <v>1361</v>
      </c>
      <c r="I113" t="s">
        <v>38</v>
      </c>
      <c r="J113" s="6" t="s">
        <v>1362</v>
      </c>
      <c r="K113" t="s">
        <v>148</v>
      </c>
      <c r="L113" t="s">
        <v>205</v>
      </c>
      <c r="M113" s="3">
        <v>30204</v>
      </c>
      <c r="N113" t="b">
        <v>0</v>
      </c>
      <c r="O113" t="b">
        <v>1</v>
      </c>
      <c r="P113" t="b">
        <v>0</v>
      </c>
      <c r="Q113" t="b">
        <v>0</v>
      </c>
      <c r="R113" t="b">
        <v>0</v>
      </c>
      <c r="S113" t="b">
        <v>0</v>
      </c>
      <c r="T113" t="b">
        <v>0</v>
      </c>
      <c r="U113" t="b">
        <v>0</v>
      </c>
      <c r="V113" t="b">
        <v>0</v>
      </c>
      <c r="W113" t="b">
        <v>0</v>
      </c>
      <c r="X113" t="b">
        <v>0</v>
      </c>
      <c r="Y113" t="b">
        <v>0</v>
      </c>
      <c r="Z113" t="b">
        <v>0</v>
      </c>
      <c r="AA113" t="b">
        <v>1</v>
      </c>
      <c r="AB113" t="b">
        <v>0</v>
      </c>
      <c r="AC113" t="s">
        <v>2876</v>
      </c>
      <c r="AD113" t="b">
        <v>1</v>
      </c>
      <c r="AE113" t="b">
        <v>0</v>
      </c>
      <c r="AF113" t="b">
        <v>0</v>
      </c>
      <c r="AG113" t="b">
        <v>0</v>
      </c>
      <c r="AH113" t="b">
        <v>0</v>
      </c>
      <c r="AI113">
        <v>1</v>
      </c>
      <c r="AJ113" t="s">
        <v>1104</v>
      </c>
      <c r="AK113" t="s">
        <v>491</v>
      </c>
      <c r="AL113">
        <v>1</v>
      </c>
      <c r="AM113" t="b">
        <v>0</v>
      </c>
      <c r="AN113" t="b">
        <v>0</v>
      </c>
      <c r="AO113" t="b">
        <v>1</v>
      </c>
      <c r="AP113">
        <f>IF(ISNUMBER(tblPeople[[#This Row],[dob]]),DATEDIF(tblPeople[[#This Row],[dob]],RunDate,"y"),"")</f>
        <v>0</v>
      </c>
      <c r="AQ113">
        <f>COUNTIFS(tblReview[person_id],tblPeople[[#This Row],[person_id]],tblReview[status],"OPEN")</f>
        <v>0</v>
      </c>
    </row>
    <row r="114" spans="1:43">
      <c r="A114" s="6" t="s">
        <v>1378</v>
      </c>
      <c r="B114" t="s">
        <v>1371</v>
      </c>
      <c r="D114" t="s">
        <v>1372</v>
      </c>
      <c r="F114" t="s">
        <v>1373</v>
      </c>
      <c r="H114" t="s">
        <v>238</v>
      </c>
      <c r="I114" t="s">
        <v>37</v>
      </c>
      <c r="J114" s="6" t="s">
        <v>1374</v>
      </c>
      <c r="K114" t="s">
        <v>148</v>
      </c>
      <c r="L114" t="s">
        <v>205</v>
      </c>
      <c r="M114" s="3">
        <v>22450</v>
      </c>
      <c r="N114" t="b">
        <v>0</v>
      </c>
      <c r="O114" t="b">
        <v>1</v>
      </c>
      <c r="P114" t="b">
        <v>0</v>
      </c>
      <c r="Q114" t="b">
        <v>0</v>
      </c>
      <c r="R114" t="b">
        <v>0</v>
      </c>
      <c r="S114" t="b">
        <v>0</v>
      </c>
      <c r="T114" t="b">
        <v>0</v>
      </c>
      <c r="U114" t="b">
        <v>0</v>
      </c>
      <c r="V114" t="b">
        <v>0</v>
      </c>
      <c r="W114" t="b">
        <v>0</v>
      </c>
      <c r="X114" t="b">
        <v>0</v>
      </c>
      <c r="Y114" t="b">
        <v>0</v>
      </c>
      <c r="Z114" t="b">
        <v>0</v>
      </c>
      <c r="AA114" t="b">
        <v>1</v>
      </c>
      <c r="AB114" t="b">
        <v>0</v>
      </c>
      <c r="AC114" t="s">
        <v>2876</v>
      </c>
      <c r="AD114" t="b">
        <v>1</v>
      </c>
      <c r="AE114" t="b">
        <v>0</v>
      </c>
      <c r="AF114" t="b">
        <v>0</v>
      </c>
      <c r="AG114" t="b">
        <v>0</v>
      </c>
      <c r="AH114" t="b">
        <v>0</v>
      </c>
      <c r="AI114">
        <v>1</v>
      </c>
      <c r="AJ114" t="s">
        <v>1104</v>
      </c>
      <c r="AK114" t="s">
        <v>491</v>
      </c>
      <c r="AL114">
        <v>1</v>
      </c>
      <c r="AM114" t="b">
        <v>0</v>
      </c>
      <c r="AN114" t="b">
        <v>0</v>
      </c>
      <c r="AO114" t="b">
        <v>1</v>
      </c>
      <c r="AP114">
        <f>IF(ISNUMBER(tblPeople[[#This Row],[dob]]),DATEDIF(tblPeople[[#This Row],[dob]],RunDate,"y"),"")</f>
        <v>0</v>
      </c>
      <c r="AQ114">
        <f>COUNTIFS(tblReview[person_id],tblPeople[[#This Row],[person_id]],tblReview[status],"OPEN")</f>
        <v>0</v>
      </c>
    </row>
    <row r="115" spans="1:43">
      <c r="A115" s="6" t="s">
        <v>1388</v>
      </c>
      <c r="B115" t="s">
        <v>433</v>
      </c>
      <c r="D115" t="s">
        <v>1380</v>
      </c>
      <c r="F115" t="s">
        <v>1381</v>
      </c>
      <c r="H115" t="s">
        <v>1382</v>
      </c>
      <c r="I115" t="s">
        <v>35</v>
      </c>
      <c r="J115" s="6" t="s">
        <v>1383</v>
      </c>
      <c r="K115" t="s">
        <v>148</v>
      </c>
      <c r="L115" t="s">
        <v>205</v>
      </c>
      <c r="M115" s="3">
        <v>22680</v>
      </c>
      <c r="N115" t="b">
        <v>0</v>
      </c>
      <c r="O115" t="b">
        <v>1</v>
      </c>
      <c r="P115" t="b">
        <v>0</v>
      </c>
      <c r="Q115" t="b">
        <v>0</v>
      </c>
      <c r="R115" t="b">
        <v>0</v>
      </c>
      <c r="S115" t="b">
        <v>0</v>
      </c>
      <c r="T115" t="b">
        <v>0</v>
      </c>
      <c r="U115" t="b">
        <v>0</v>
      </c>
      <c r="V115" t="b">
        <v>0</v>
      </c>
      <c r="W115" t="b">
        <v>0</v>
      </c>
      <c r="X115" t="b">
        <v>0</v>
      </c>
      <c r="Y115" t="b">
        <v>0</v>
      </c>
      <c r="Z115" t="b">
        <v>0</v>
      </c>
      <c r="AA115" t="b">
        <v>1</v>
      </c>
      <c r="AB115" t="b">
        <v>0</v>
      </c>
      <c r="AC115" t="s">
        <v>2876</v>
      </c>
      <c r="AD115" t="b">
        <v>1</v>
      </c>
      <c r="AE115" t="b">
        <v>0</v>
      </c>
      <c r="AF115" t="b">
        <v>0</v>
      </c>
      <c r="AG115" t="b">
        <v>0</v>
      </c>
      <c r="AH115" t="b">
        <v>0</v>
      </c>
      <c r="AI115">
        <v>1</v>
      </c>
      <c r="AJ115" t="s">
        <v>1104</v>
      </c>
      <c r="AK115" t="s">
        <v>491</v>
      </c>
      <c r="AL115">
        <v>1</v>
      </c>
      <c r="AM115" t="b">
        <v>0</v>
      </c>
      <c r="AN115" t="b">
        <v>0</v>
      </c>
      <c r="AO115" t="b">
        <v>1</v>
      </c>
      <c r="AP115">
        <f>IF(ISNUMBER(tblPeople[[#This Row],[dob]]),DATEDIF(tblPeople[[#This Row],[dob]],RunDate,"y"),"")</f>
        <v>0</v>
      </c>
      <c r="AQ115">
        <f>COUNTIFS(tblReview[person_id],tblPeople[[#This Row],[person_id]],tblReview[status],"OPEN")</f>
        <v>0</v>
      </c>
    </row>
    <row r="116" spans="1:43">
      <c r="A116" s="6" t="s">
        <v>1410</v>
      </c>
      <c r="B116" t="s">
        <v>1403</v>
      </c>
      <c r="C116" t="s">
        <v>142</v>
      </c>
      <c r="D116" t="s">
        <v>1404</v>
      </c>
      <c r="F116" t="s">
        <v>1405</v>
      </c>
      <c r="H116" t="s">
        <v>1406</v>
      </c>
      <c r="I116" t="s">
        <v>38</v>
      </c>
      <c r="J116" s="6" t="s">
        <v>1407</v>
      </c>
      <c r="K116" t="s">
        <v>148</v>
      </c>
      <c r="L116" t="s">
        <v>205</v>
      </c>
      <c r="M116" s="3">
        <v>21533</v>
      </c>
      <c r="N116" t="b">
        <v>0</v>
      </c>
      <c r="O116" t="b">
        <v>1</v>
      </c>
      <c r="P116" t="b">
        <v>0</v>
      </c>
      <c r="Q116" t="b">
        <v>0</v>
      </c>
      <c r="R116" t="b">
        <v>0</v>
      </c>
      <c r="S116" t="b">
        <v>0</v>
      </c>
      <c r="T116" t="b">
        <v>0</v>
      </c>
      <c r="U116" t="b">
        <v>0</v>
      </c>
      <c r="V116" t="b">
        <v>0</v>
      </c>
      <c r="W116" t="b">
        <v>0</v>
      </c>
      <c r="X116" t="b">
        <v>0</v>
      </c>
      <c r="Y116" t="b">
        <v>0</v>
      </c>
      <c r="Z116" t="b">
        <v>0</v>
      </c>
      <c r="AA116" t="b">
        <v>1</v>
      </c>
      <c r="AB116" t="b">
        <v>0</v>
      </c>
      <c r="AC116" t="s">
        <v>2876</v>
      </c>
      <c r="AD116" t="b">
        <v>1</v>
      </c>
      <c r="AE116" t="b">
        <v>0</v>
      </c>
      <c r="AF116" t="b">
        <v>0</v>
      </c>
      <c r="AG116" t="b">
        <v>0</v>
      </c>
      <c r="AH116" t="b">
        <v>0</v>
      </c>
      <c r="AI116">
        <v>1</v>
      </c>
      <c r="AJ116" t="s">
        <v>1397</v>
      </c>
      <c r="AK116" t="s">
        <v>491</v>
      </c>
      <c r="AL116">
        <v>1</v>
      </c>
      <c r="AM116" t="b">
        <v>0</v>
      </c>
      <c r="AN116" t="b">
        <v>0</v>
      </c>
      <c r="AO116" t="b">
        <v>1</v>
      </c>
      <c r="AP116">
        <f>IF(ISNUMBER(tblPeople[[#This Row],[dob]]),DATEDIF(tblPeople[[#This Row],[dob]],RunDate,"y"),"")</f>
        <v>0</v>
      </c>
      <c r="AQ116">
        <f>COUNTIFS(tblReview[person_id],tblPeople[[#This Row],[person_id]],tblReview[status],"OPEN")</f>
        <v>0</v>
      </c>
    </row>
    <row r="117" spans="1:43">
      <c r="A117" s="6" t="s">
        <v>1418</v>
      </c>
      <c r="B117" t="s">
        <v>1413</v>
      </c>
      <c r="C117" t="s">
        <v>1180</v>
      </c>
      <c r="D117" t="s">
        <v>970</v>
      </c>
      <c r="F117" t="s">
        <v>1414</v>
      </c>
      <c r="H117" t="s">
        <v>525</v>
      </c>
      <c r="I117" t="s">
        <v>34</v>
      </c>
      <c r="J117" s="6" t="s">
        <v>1415</v>
      </c>
      <c r="K117" t="s">
        <v>148</v>
      </c>
      <c r="L117" t="s">
        <v>205</v>
      </c>
      <c r="M117" s="3">
        <v>22170</v>
      </c>
      <c r="N117" t="b">
        <v>0</v>
      </c>
      <c r="O117" t="b">
        <v>1</v>
      </c>
      <c r="P117" t="b">
        <v>0</v>
      </c>
      <c r="Q117" t="b">
        <v>0</v>
      </c>
      <c r="R117" t="b">
        <v>0</v>
      </c>
      <c r="S117" t="b">
        <v>0</v>
      </c>
      <c r="T117" t="b">
        <v>0</v>
      </c>
      <c r="U117" t="b">
        <v>0</v>
      </c>
      <c r="V117" t="b">
        <v>0</v>
      </c>
      <c r="W117" t="b">
        <v>0</v>
      </c>
      <c r="X117" t="b">
        <v>0</v>
      </c>
      <c r="Y117" t="b">
        <v>0</v>
      </c>
      <c r="Z117" t="b">
        <v>0</v>
      </c>
      <c r="AA117" t="b">
        <v>1</v>
      </c>
      <c r="AB117" t="b">
        <v>0</v>
      </c>
      <c r="AC117" t="s">
        <v>2876</v>
      </c>
      <c r="AD117" t="b">
        <v>1</v>
      </c>
      <c r="AE117" t="b">
        <v>0</v>
      </c>
      <c r="AF117" t="b">
        <v>0</v>
      </c>
      <c r="AG117" t="b">
        <v>0</v>
      </c>
      <c r="AH117" t="b">
        <v>0</v>
      </c>
      <c r="AI117">
        <v>1</v>
      </c>
      <c r="AJ117" t="s">
        <v>1397</v>
      </c>
      <c r="AK117" t="s">
        <v>491</v>
      </c>
      <c r="AL117">
        <v>1</v>
      </c>
      <c r="AM117" t="b">
        <v>0</v>
      </c>
      <c r="AN117" t="b">
        <v>1</v>
      </c>
      <c r="AO117" t="b">
        <v>1</v>
      </c>
      <c r="AP117">
        <f>IF(ISNUMBER(tblPeople[[#This Row],[dob]]),DATEDIF(tblPeople[[#This Row],[dob]],RunDate,"y"),"")</f>
        <v>0</v>
      </c>
      <c r="AQ117">
        <f>COUNTIFS(tblReview[person_id],tblPeople[[#This Row],[person_id]],tblReview[status],"OPEN")</f>
        <v>0</v>
      </c>
    </row>
    <row r="118" spans="1:43">
      <c r="A118" s="6" t="s">
        <v>1427</v>
      </c>
      <c r="B118" t="s">
        <v>1421</v>
      </c>
      <c r="C118" t="s">
        <v>142</v>
      </c>
      <c r="D118" t="s">
        <v>1422</v>
      </c>
      <c r="F118" t="s">
        <v>1423</v>
      </c>
      <c r="H118" t="s">
        <v>636</v>
      </c>
      <c r="I118" t="s">
        <v>33</v>
      </c>
      <c r="J118" s="6" t="s">
        <v>1424</v>
      </c>
      <c r="K118" t="s">
        <v>148</v>
      </c>
      <c r="L118" t="s">
        <v>205</v>
      </c>
      <c r="M118" s="3">
        <v>22163</v>
      </c>
      <c r="N118" t="b">
        <v>0</v>
      </c>
      <c r="O118" t="b">
        <v>1</v>
      </c>
      <c r="P118" t="b">
        <v>0</v>
      </c>
      <c r="Q118" t="b">
        <v>0</v>
      </c>
      <c r="R118" t="b">
        <v>0</v>
      </c>
      <c r="S118" t="b">
        <v>0</v>
      </c>
      <c r="T118" t="b">
        <v>0</v>
      </c>
      <c r="U118" t="b">
        <v>0</v>
      </c>
      <c r="V118" t="b">
        <v>0</v>
      </c>
      <c r="W118" t="b">
        <v>0</v>
      </c>
      <c r="X118" t="b">
        <v>0</v>
      </c>
      <c r="Y118" t="b">
        <v>0</v>
      </c>
      <c r="Z118" t="b">
        <v>0</v>
      </c>
      <c r="AA118" t="b">
        <v>1</v>
      </c>
      <c r="AB118" t="b">
        <v>0</v>
      </c>
      <c r="AC118" t="s">
        <v>2876</v>
      </c>
      <c r="AD118" t="b">
        <v>1</v>
      </c>
      <c r="AE118" t="b">
        <v>0</v>
      </c>
      <c r="AF118" t="b">
        <v>0</v>
      </c>
      <c r="AG118" t="b">
        <v>0</v>
      </c>
      <c r="AH118" t="b">
        <v>0</v>
      </c>
      <c r="AI118">
        <v>1</v>
      </c>
      <c r="AJ118" t="s">
        <v>1397</v>
      </c>
      <c r="AK118" t="s">
        <v>491</v>
      </c>
      <c r="AL118">
        <v>1</v>
      </c>
      <c r="AM118" t="b">
        <v>0</v>
      </c>
      <c r="AN118" t="b">
        <v>0</v>
      </c>
      <c r="AO118" t="b">
        <v>1</v>
      </c>
      <c r="AP118">
        <f>IF(ISNUMBER(tblPeople[[#This Row],[dob]]),DATEDIF(tblPeople[[#This Row],[dob]],RunDate,"y"),"")</f>
        <v>0</v>
      </c>
      <c r="AQ118">
        <f>COUNTIFS(tblReview[person_id],tblPeople[[#This Row],[person_id]],tblReview[status],"OPEN")</f>
        <v>0</v>
      </c>
    </row>
    <row r="119" spans="1:43">
      <c r="A119" s="6" t="s">
        <v>1438</v>
      </c>
      <c r="B119" t="s">
        <v>1204</v>
      </c>
      <c r="C119" t="s">
        <v>142</v>
      </c>
      <c r="D119" t="s">
        <v>847</v>
      </c>
      <c r="F119" t="s">
        <v>1433</v>
      </c>
      <c r="H119" t="s">
        <v>1434</v>
      </c>
      <c r="I119" t="s">
        <v>39</v>
      </c>
      <c r="J119" s="6" t="s">
        <v>1435</v>
      </c>
      <c r="K119" t="s">
        <v>148</v>
      </c>
      <c r="L119" t="s">
        <v>205</v>
      </c>
      <c r="M119" s="3">
        <v>32125</v>
      </c>
      <c r="N119" t="b">
        <v>0</v>
      </c>
      <c r="O119" t="b">
        <v>1</v>
      </c>
      <c r="P119" t="b">
        <v>0</v>
      </c>
      <c r="Q119" t="b">
        <v>0</v>
      </c>
      <c r="R119" t="b">
        <v>0</v>
      </c>
      <c r="S119" t="b">
        <v>0</v>
      </c>
      <c r="T119" t="b">
        <v>0</v>
      </c>
      <c r="U119" t="b">
        <v>0</v>
      </c>
      <c r="V119" t="b">
        <v>0</v>
      </c>
      <c r="W119" t="b">
        <v>0</v>
      </c>
      <c r="X119" t="b">
        <v>0</v>
      </c>
      <c r="Y119" t="b">
        <v>0</v>
      </c>
      <c r="Z119" t="b">
        <v>0</v>
      </c>
      <c r="AA119" t="b">
        <v>1</v>
      </c>
      <c r="AB119" t="b">
        <v>0</v>
      </c>
      <c r="AC119" t="s">
        <v>2876</v>
      </c>
      <c r="AD119" t="b">
        <v>1</v>
      </c>
      <c r="AE119" t="b">
        <v>0</v>
      </c>
      <c r="AF119" t="b">
        <v>0</v>
      </c>
      <c r="AG119" t="b">
        <v>0</v>
      </c>
      <c r="AH119" t="b">
        <v>0</v>
      </c>
      <c r="AI119">
        <v>1</v>
      </c>
      <c r="AJ119" t="s">
        <v>1397</v>
      </c>
      <c r="AK119" t="s">
        <v>491</v>
      </c>
      <c r="AL119">
        <v>1</v>
      </c>
      <c r="AM119" t="b">
        <v>0</v>
      </c>
      <c r="AN119" t="b">
        <v>0</v>
      </c>
      <c r="AO119" t="b">
        <v>1</v>
      </c>
      <c r="AP119">
        <f>IF(ISNUMBER(tblPeople[[#This Row],[dob]]),DATEDIF(tblPeople[[#This Row],[dob]],RunDate,"y"),"")</f>
        <v>0</v>
      </c>
      <c r="AQ119">
        <f>COUNTIFS(tblReview[person_id],tblPeople[[#This Row],[person_id]],tblReview[status],"OPEN")</f>
        <v>0</v>
      </c>
    </row>
    <row r="120" spans="1:43">
      <c r="A120" s="6" t="s">
        <v>1448</v>
      </c>
      <c r="B120" t="s">
        <v>1441</v>
      </c>
      <c r="C120" t="s">
        <v>299</v>
      </c>
      <c r="D120" t="s">
        <v>1442</v>
      </c>
      <c r="F120" t="s">
        <v>1443</v>
      </c>
      <c r="H120" t="s">
        <v>1444</v>
      </c>
      <c r="I120" t="s">
        <v>35</v>
      </c>
      <c r="J120" s="6" t="s">
        <v>1445</v>
      </c>
      <c r="K120" t="s">
        <v>148</v>
      </c>
      <c r="L120" t="s">
        <v>149</v>
      </c>
      <c r="M120" s="3">
        <v>35628</v>
      </c>
      <c r="N120" t="b">
        <v>0</v>
      </c>
      <c r="O120" t="b">
        <v>1</v>
      </c>
      <c r="P120" t="b">
        <v>0</v>
      </c>
      <c r="Q120" t="b">
        <v>0</v>
      </c>
      <c r="R120" t="b">
        <v>0</v>
      </c>
      <c r="S120" t="b">
        <v>0</v>
      </c>
      <c r="T120" t="b">
        <v>0</v>
      </c>
      <c r="U120" t="b">
        <v>0</v>
      </c>
      <c r="V120" t="b">
        <v>0</v>
      </c>
      <c r="W120" t="b">
        <v>0</v>
      </c>
      <c r="X120" t="b">
        <v>0</v>
      </c>
      <c r="Y120" t="b">
        <v>0</v>
      </c>
      <c r="Z120" t="b">
        <v>0</v>
      </c>
      <c r="AA120" t="b">
        <v>1</v>
      </c>
      <c r="AB120" t="b">
        <v>0</v>
      </c>
      <c r="AC120" t="s">
        <v>2876</v>
      </c>
      <c r="AD120" t="b">
        <v>1</v>
      </c>
      <c r="AE120" t="b">
        <v>0</v>
      </c>
      <c r="AF120" t="b">
        <v>0</v>
      </c>
      <c r="AG120" t="b">
        <v>0</v>
      </c>
      <c r="AH120" t="b">
        <v>0</v>
      </c>
      <c r="AI120">
        <v>1</v>
      </c>
      <c r="AJ120" t="s">
        <v>1397</v>
      </c>
      <c r="AK120" t="s">
        <v>491</v>
      </c>
      <c r="AL120">
        <v>1</v>
      </c>
      <c r="AM120" t="b">
        <v>0</v>
      </c>
      <c r="AN120" t="b">
        <v>0</v>
      </c>
      <c r="AO120" t="b">
        <v>1</v>
      </c>
      <c r="AP120">
        <f>IF(ISNUMBER(tblPeople[[#This Row],[dob]]),DATEDIF(tblPeople[[#This Row],[dob]],RunDate,"y"),"")</f>
        <v>0</v>
      </c>
      <c r="AQ120">
        <f>COUNTIFS(tblReview[person_id],tblPeople[[#This Row],[person_id]],tblReview[status],"OPEN")</f>
        <v>0</v>
      </c>
    </row>
    <row r="121" spans="1:43">
      <c r="A121" s="6" t="s">
        <v>1457</v>
      </c>
      <c r="B121" t="s">
        <v>1450</v>
      </c>
      <c r="D121" t="s">
        <v>1451</v>
      </c>
      <c r="F121" t="s">
        <v>1452</v>
      </c>
      <c r="H121" t="s">
        <v>1453</v>
      </c>
      <c r="I121" t="s">
        <v>37</v>
      </c>
      <c r="J121" s="6" t="s">
        <v>1454</v>
      </c>
      <c r="K121" t="s">
        <v>148</v>
      </c>
      <c r="L121" t="s">
        <v>205</v>
      </c>
      <c r="M121" s="3">
        <v>20056</v>
      </c>
      <c r="N121" t="b">
        <v>0</v>
      </c>
      <c r="O121" t="b">
        <v>1</v>
      </c>
      <c r="P121" t="b">
        <v>0</v>
      </c>
      <c r="Q121" t="b">
        <v>0</v>
      </c>
      <c r="R121" t="b">
        <v>0</v>
      </c>
      <c r="S121" t="b">
        <v>0</v>
      </c>
      <c r="T121" t="b">
        <v>0</v>
      </c>
      <c r="U121" t="b">
        <v>0</v>
      </c>
      <c r="V121" t="b">
        <v>0</v>
      </c>
      <c r="W121" t="b">
        <v>0</v>
      </c>
      <c r="X121" t="b">
        <v>0</v>
      </c>
      <c r="Y121" t="b">
        <v>0</v>
      </c>
      <c r="Z121" t="b">
        <v>0</v>
      </c>
      <c r="AA121" t="b">
        <v>1</v>
      </c>
      <c r="AB121" t="b">
        <v>0</v>
      </c>
      <c r="AC121" t="s">
        <v>2876</v>
      </c>
      <c r="AD121" t="b">
        <v>1</v>
      </c>
      <c r="AE121" t="b">
        <v>0</v>
      </c>
      <c r="AF121" t="b">
        <v>0</v>
      </c>
      <c r="AG121" t="b">
        <v>0</v>
      </c>
      <c r="AH121" t="b">
        <v>0</v>
      </c>
      <c r="AI121">
        <v>1</v>
      </c>
      <c r="AJ121" t="s">
        <v>1397</v>
      </c>
      <c r="AK121" t="s">
        <v>491</v>
      </c>
      <c r="AL121">
        <v>1</v>
      </c>
      <c r="AM121" t="b">
        <v>0</v>
      </c>
      <c r="AN121" t="b">
        <v>0</v>
      </c>
      <c r="AO121" t="b">
        <v>1</v>
      </c>
      <c r="AP121">
        <f>IF(ISNUMBER(tblPeople[[#This Row],[dob]]),DATEDIF(tblPeople[[#This Row],[dob]],RunDate,"y"),"")</f>
        <v>0</v>
      </c>
      <c r="AQ121">
        <f>COUNTIFS(tblReview[person_id],tblPeople[[#This Row],[person_id]],tblReview[status],"OPEN")</f>
        <v>0</v>
      </c>
    </row>
    <row r="122" spans="1:43">
      <c r="A122" s="6" t="s">
        <v>1466</v>
      </c>
      <c r="B122" t="s">
        <v>1460</v>
      </c>
      <c r="C122" t="s">
        <v>163</v>
      </c>
      <c r="D122" t="s">
        <v>1461</v>
      </c>
      <c r="F122" t="s">
        <v>1462</v>
      </c>
      <c r="H122" t="s">
        <v>565</v>
      </c>
      <c r="I122" t="s">
        <v>37</v>
      </c>
      <c r="J122" s="6" t="s">
        <v>1463</v>
      </c>
      <c r="K122" t="s">
        <v>148</v>
      </c>
      <c r="L122" t="s">
        <v>205</v>
      </c>
      <c r="M122" s="3">
        <v>27805</v>
      </c>
      <c r="N122" t="b">
        <v>0</v>
      </c>
      <c r="O122" t="b">
        <v>1</v>
      </c>
      <c r="P122" t="b">
        <v>0</v>
      </c>
      <c r="Q122" t="b">
        <v>0</v>
      </c>
      <c r="R122" t="b">
        <v>0</v>
      </c>
      <c r="S122" t="b">
        <v>0</v>
      </c>
      <c r="T122" t="b">
        <v>0</v>
      </c>
      <c r="U122" t="b">
        <v>0</v>
      </c>
      <c r="V122" t="b">
        <v>0</v>
      </c>
      <c r="W122" t="b">
        <v>0</v>
      </c>
      <c r="X122" t="b">
        <v>0</v>
      </c>
      <c r="Y122" t="b">
        <v>0</v>
      </c>
      <c r="Z122" t="b">
        <v>0</v>
      </c>
      <c r="AA122" t="b">
        <v>1</v>
      </c>
      <c r="AB122" t="b">
        <v>0</v>
      </c>
      <c r="AC122" t="s">
        <v>2876</v>
      </c>
      <c r="AD122" t="b">
        <v>1</v>
      </c>
      <c r="AE122" t="b">
        <v>0</v>
      </c>
      <c r="AF122" t="b">
        <v>0</v>
      </c>
      <c r="AG122" t="b">
        <v>0</v>
      </c>
      <c r="AH122" t="b">
        <v>0</v>
      </c>
      <c r="AI122">
        <v>1</v>
      </c>
      <c r="AJ122" t="s">
        <v>1397</v>
      </c>
      <c r="AK122" t="s">
        <v>491</v>
      </c>
      <c r="AL122">
        <v>1</v>
      </c>
      <c r="AM122" t="b">
        <v>0</v>
      </c>
      <c r="AN122" t="b">
        <v>0</v>
      </c>
      <c r="AO122" t="b">
        <v>1</v>
      </c>
      <c r="AP122">
        <f>IF(ISNUMBER(tblPeople[[#This Row],[dob]]),DATEDIF(tblPeople[[#This Row],[dob]],RunDate,"y"),"")</f>
        <v>0</v>
      </c>
      <c r="AQ122">
        <f>COUNTIFS(tblReview[person_id],tblPeople[[#This Row],[person_id]],tblReview[status],"OPEN")</f>
        <v>0</v>
      </c>
    </row>
    <row r="123" spans="1:43">
      <c r="A123" s="6" t="s">
        <v>1480</v>
      </c>
      <c r="B123" t="s">
        <v>1473</v>
      </c>
      <c r="C123" t="s">
        <v>324</v>
      </c>
      <c r="D123" t="s">
        <v>1474</v>
      </c>
      <c r="F123" t="s">
        <v>1475</v>
      </c>
      <c r="H123" t="s">
        <v>1476</v>
      </c>
      <c r="I123" t="s">
        <v>40</v>
      </c>
      <c r="J123" s="6" t="s">
        <v>1477</v>
      </c>
      <c r="K123" t="s">
        <v>148</v>
      </c>
      <c r="L123" t="s">
        <v>205</v>
      </c>
      <c r="M123" s="3">
        <v>33354</v>
      </c>
      <c r="N123" t="b">
        <v>0</v>
      </c>
      <c r="O123" t="b">
        <v>1</v>
      </c>
      <c r="P123" t="b">
        <v>0</v>
      </c>
      <c r="Q123" t="b">
        <v>0</v>
      </c>
      <c r="R123" t="b">
        <v>0</v>
      </c>
      <c r="S123" t="b">
        <v>0</v>
      </c>
      <c r="T123" t="b">
        <v>0</v>
      </c>
      <c r="U123" t="b">
        <v>0</v>
      </c>
      <c r="V123" t="b">
        <v>0</v>
      </c>
      <c r="W123" t="b">
        <v>0</v>
      </c>
      <c r="X123" t="b">
        <v>0</v>
      </c>
      <c r="Y123" t="b">
        <v>0</v>
      </c>
      <c r="Z123" t="b">
        <v>0</v>
      </c>
      <c r="AA123" t="b">
        <v>1</v>
      </c>
      <c r="AB123" t="b">
        <v>0</v>
      </c>
      <c r="AC123" t="s">
        <v>2876</v>
      </c>
      <c r="AD123" t="b">
        <v>1</v>
      </c>
      <c r="AE123" t="b">
        <v>0</v>
      </c>
      <c r="AF123" t="b">
        <v>0</v>
      </c>
      <c r="AG123" t="b">
        <v>0</v>
      </c>
      <c r="AH123" t="b">
        <v>0</v>
      </c>
      <c r="AI123">
        <v>1</v>
      </c>
      <c r="AJ123" t="s">
        <v>1397</v>
      </c>
      <c r="AK123" t="s">
        <v>491</v>
      </c>
      <c r="AL123">
        <v>1</v>
      </c>
      <c r="AM123" t="b">
        <v>0</v>
      </c>
      <c r="AN123" t="b">
        <v>1</v>
      </c>
      <c r="AO123" t="b">
        <v>1</v>
      </c>
      <c r="AP123">
        <f>IF(ISNUMBER(tblPeople[[#This Row],[dob]]),DATEDIF(tblPeople[[#This Row],[dob]],RunDate,"y"),"")</f>
        <v>0</v>
      </c>
      <c r="AQ123">
        <f>COUNTIFS(tblReview[person_id],tblPeople[[#This Row],[person_id]],tblReview[status],"OPEN")</f>
        <v>0</v>
      </c>
    </row>
    <row r="124" spans="1:43">
      <c r="A124" s="6" t="s">
        <v>1489</v>
      </c>
      <c r="B124" t="s">
        <v>1482</v>
      </c>
      <c r="C124" t="s">
        <v>212</v>
      </c>
      <c r="D124" t="s">
        <v>1483</v>
      </c>
      <c r="F124" t="s">
        <v>1484</v>
      </c>
      <c r="H124" t="s">
        <v>1485</v>
      </c>
      <c r="I124" t="s">
        <v>34</v>
      </c>
      <c r="J124" s="6" t="s">
        <v>1486</v>
      </c>
      <c r="K124" t="s">
        <v>148</v>
      </c>
      <c r="L124" t="s">
        <v>205</v>
      </c>
      <c r="M124" s="3">
        <v>18366</v>
      </c>
      <c r="N124" t="b">
        <v>0</v>
      </c>
      <c r="O124" t="b">
        <v>1</v>
      </c>
      <c r="P124" t="b">
        <v>0</v>
      </c>
      <c r="Q124" t="b">
        <v>0</v>
      </c>
      <c r="R124" t="b">
        <v>0</v>
      </c>
      <c r="S124" t="b">
        <v>0</v>
      </c>
      <c r="T124" t="b">
        <v>0</v>
      </c>
      <c r="U124" t="b">
        <v>0</v>
      </c>
      <c r="V124" t="b">
        <v>0</v>
      </c>
      <c r="W124" t="b">
        <v>0</v>
      </c>
      <c r="X124" t="b">
        <v>0</v>
      </c>
      <c r="Y124" t="b">
        <v>0</v>
      </c>
      <c r="Z124" t="b">
        <v>0</v>
      </c>
      <c r="AA124" t="b">
        <v>1</v>
      </c>
      <c r="AB124" t="b">
        <v>0</v>
      </c>
      <c r="AC124" t="s">
        <v>2876</v>
      </c>
      <c r="AD124" t="b">
        <v>1</v>
      </c>
      <c r="AE124" t="b">
        <v>0</v>
      </c>
      <c r="AF124" t="b">
        <v>0</v>
      </c>
      <c r="AG124" t="b">
        <v>0</v>
      </c>
      <c r="AH124" t="b">
        <v>0</v>
      </c>
      <c r="AI124">
        <v>1</v>
      </c>
      <c r="AJ124" t="s">
        <v>1397</v>
      </c>
      <c r="AK124" t="s">
        <v>491</v>
      </c>
      <c r="AL124">
        <v>1</v>
      </c>
      <c r="AM124" t="b">
        <v>0</v>
      </c>
      <c r="AN124" t="b">
        <v>0</v>
      </c>
      <c r="AO124" t="b">
        <v>1</v>
      </c>
      <c r="AP124">
        <f>IF(ISNUMBER(tblPeople[[#This Row],[dob]]),DATEDIF(tblPeople[[#This Row],[dob]],RunDate,"y"),"")</f>
        <v>0</v>
      </c>
      <c r="AQ124">
        <f>COUNTIFS(tblReview[person_id],tblPeople[[#This Row],[person_id]],tblReview[status],"OPEN")</f>
        <v>0</v>
      </c>
    </row>
    <row r="125" spans="1:43">
      <c r="A125" s="6" t="s">
        <v>1495</v>
      </c>
      <c r="B125" t="s">
        <v>1491</v>
      </c>
      <c r="C125" t="s">
        <v>299</v>
      </c>
      <c r="D125" t="s">
        <v>1492</v>
      </c>
      <c r="E125" t="s">
        <v>446</v>
      </c>
      <c r="F125" t="s">
        <v>1325</v>
      </c>
      <c r="H125" t="s">
        <v>1326</v>
      </c>
      <c r="I125" t="s">
        <v>36</v>
      </c>
      <c r="J125" s="6" t="s">
        <v>1327</v>
      </c>
      <c r="K125" t="s">
        <v>148</v>
      </c>
      <c r="L125" t="s">
        <v>149</v>
      </c>
      <c r="M125" s="3">
        <v>34194</v>
      </c>
      <c r="N125" t="b">
        <v>0</v>
      </c>
      <c r="O125" t="b">
        <v>1</v>
      </c>
      <c r="P125" t="b">
        <v>0</v>
      </c>
      <c r="Q125" t="b">
        <v>0</v>
      </c>
      <c r="R125" t="b">
        <v>0</v>
      </c>
      <c r="S125" t="b">
        <v>0</v>
      </c>
      <c r="T125" t="b">
        <v>0</v>
      </c>
      <c r="U125" t="b">
        <v>0</v>
      </c>
      <c r="V125" t="b">
        <v>0</v>
      </c>
      <c r="W125" t="b">
        <v>0</v>
      </c>
      <c r="X125" t="b">
        <v>0</v>
      </c>
      <c r="Y125" t="b">
        <v>0</v>
      </c>
      <c r="Z125" t="b">
        <v>0</v>
      </c>
      <c r="AA125" t="b">
        <v>1</v>
      </c>
      <c r="AB125" t="b">
        <v>0</v>
      </c>
      <c r="AC125" t="s">
        <v>2876</v>
      </c>
      <c r="AD125" t="b">
        <v>1</v>
      </c>
      <c r="AE125" t="b">
        <v>0</v>
      </c>
      <c r="AF125" t="b">
        <v>0</v>
      </c>
      <c r="AG125" t="b">
        <v>0</v>
      </c>
      <c r="AH125" t="b">
        <v>0</v>
      </c>
      <c r="AI125">
        <v>1</v>
      </c>
      <c r="AJ125" t="s">
        <v>1397</v>
      </c>
      <c r="AK125" t="s">
        <v>491</v>
      </c>
      <c r="AL125">
        <v>1</v>
      </c>
      <c r="AM125" t="b">
        <v>0</v>
      </c>
      <c r="AN125" t="b">
        <v>0</v>
      </c>
      <c r="AO125" t="b">
        <v>1</v>
      </c>
      <c r="AP125">
        <f>IF(ISNUMBER(tblPeople[[#This Row],[dob]]),DATEDIF(tblPeople[[#This Row],[dob]],RunDate,"y"),"")</f>
        <v>0</v>
      </c>
      <c r="AQ125">
        <f>COUNTIFS(tblReview[person_id],tblPeople[[#This Row],[person_id]],tblReview[status],"OPEN")</f>
        <v>0</v>
      </c>
    </row>
    <row r="126" spans="1:43">
      <c r="A126" s="6" t="s">
        <v>1509</v>
      </c>
      <c r="B126" t="s">
        <v>1504</v>
      </c>
      <c r="D126" t="s">
        <v>1505</v>
      </c>
      <c r="F126" t="s">
        <v>1506</v>
      </c>
      <c r="H126" t="s">
        <v>1107</v>
      </c>
      <c r="I126" t="s">
        <v>38</v>
      </c>
      <c r="J126" s="6" t="s">
        <v>1108</v>
      </c>
      <c r="K126" t="s">
        <v>148</v>
      </c>
      <c r="L126" t="s">
        <v>205</v>
      </c>
      <c r="M126" s="3">
        <v>22425</v>
      </c>
      <c r="N126" t="b">
        <v>0</v>
      </c>
      <c r="O126" t="b">
        <v>1</v>
      </c>
      <c r="P126" t="b">
        <v>0</v>
      </c>
      <c r="Q126" t="b">
        <v>0</v>
      </c>
      <c r="R126" t="b">
        <v>0</v>
      </c>
      <c r="S126" t="b">
        <v>0</v>
      </c>
      <c r="T126" t="b">
        <v>0</v>
      </c>
      <c r="U126" t="b">
        <v>0</v>
      </c>
      <c r="V126" t="b">
        <v>0</v>
      </c>
      <c r="W126" t="b">
        <v>0</v>
      </c>
      <c r="X126" t="b">
        <v>0</v>
      </c>
      <c r="Y126" t="b">
        <v>0</v>
      </c>
      <c r="Z126" t="b">
        <v>0</v>
      </c>
      <c r="AA126" t="b">
        <v>1</v>
      </c>
      <c r="AB126" t="b">
        <v>0</v>
      </c>
      <c r="AC126" t="s">
        <v>2876</v>
      </c>
      <c r="AD126" t="b">
        <v>1</v>
      </c>
      <c r="AE126" t="b">
        <v>0</v>
      </c>
      <c r="AF126" t="b">
        <v>0</v>
      </c>
      <c r="AG126" t="b">
        <v>0</v>
      </c>
      <c r="AH126" t="b">
        <v>0</v>
      </c>
      <c r="AI126">
        <v>1</v>
      </c>
      <c r="AJ126" t="s">
        <v>1397</v>
      </c>
      <c r="AK126" t="s">
        <v>491</v>
      </c>
      <c r="AL126">
        <v>1</v>
      </c>
      <c r="AM126" t="b">
        <v>0</v>
      </c>
      <c r="AN126" t="b">
        <v>0</v>
      </c>
      <c r="AO126" t="b">
        <v>1</v>
      </c>
      <c r="AP126">
        <f>IF(ISNUMBER(tblPeople[[#This Row],[dob]]),DATEDIF(tblPeople[[#This Row],[dob]],RunDate,"y"),"")</f>
        <v>0</v>
      </c>
      <c r="AQ126">
        <f>COUNTIFS(tblReview[person_id],tblPeople[[#This Row],[person_id]],tblReview[status],"OPEN")</f>
        <v>0</v>
      </c>
    </row>
    <row r="127" spans="1:43">
      <c r="A127" s="6" t="s">
        <v>1519</v>
      </c>
      <c r="B127" t="s">
        <v>658</v>
      </c>
      <c r="D127" t="s">
        <v>1511</v>
      </c>
      <c r="E127" t="s">
        <v>446</v>
      </c>
      <c r="F127" t="s">
        <v>1512</v>
      </c>
      <c r="H127" t="s">
        <v>1513</v>
      </c>
      <c r="I127" t="s">
        <v>33</v>
      </c>
      <c r="J127" s="6" t="s">
        <v>1514</v>
      </c>
      <c r="K127" t="s">
        <v>148</v>
      </c>
      <c r="L127" t="s">
        <v>205</v>
      </c>
      <c r="M127" s="3">
        <v>32329</v>
      </c>
      <c r="N127" t="b">
        <v>0</v>
      </c>
      <c r="O127" t="b">
        <v>1</v>
      </c>
      <c r="P127" t="b">
        <v>0</v>
      </c>
      <c r="Q127" t="b">
        <v>0</v>
      </c>
      <c r="R127" t="b">
        <v>0</v>
      </c>
      <c r="S127" t="b">
        <v>0</v>
      </c>
      <c r="T127" t="b">
        <v>0</v>
      </c>
      <c r="U127" t="b">
        <v>0</v>
      </c>
      <c r="V127" t="b">
        <v>0</v>
      </c>
      <c r="W127" t="b">
        <v>0</v>
      </c>
      <c r="X127" t="b">
        <v>0</v>
      </c>
      <c r="Y127" t="b">
        <v>0</v>
      </c>
      <c r="Z127" t="b">
        <v>0</v>
      </c>
      <c r="AA127" t="b">
        <v>1</v>
      </c>
      <c r="AB127" t="b">
        <v>0</v>
      </c>
      <c r="AC127" t="s">
        <v>2876</v>
      </c>
      <c r="AD127" t="b">
        <v>1</v>
      </c>
      <c r="AE127" t="b">
        <v>0</v>
      </c>
      <c r="AF127" t="b">
        <v>0</v>
      </c>
      <c r="AG127" t="b">
        <v>0</v>
      </c>
      <c r="AH127" t="b">
        <v>0</v>
      </c>
      <c r="AI127">
        <v>1</v>
      </c>
      <c r="AJ127" t="s">
        <v>1397</v>
      </c>
      <c r="AK127" t="s">
        <v>491</v>
      </c>
      <c r="AL127">
        <v>1</v>
      </c>
      <c r="AM127" t="b">
        <v>0</v>
      </c>
      <c r="AN127" t="b">
        <v>0</v>
      </c>
      <c r="AO127" t="b">
        <v>1</v>
      </c>
      <c r="AP127">
        <f>IF(ISNUMBER(tblPeople[[#This Row],[dob]]),DATEDIF(tblPeople[[#This Row],[dob]],RunDate,"y"),"")</f>
        <v>0</v>
      </c>
      <c r="AQ127">
        <f>COUNTIFS(tblReview[person_id],tblPeople[[#This Row],[person_id]],tblReview[status],"OPEN")</f>
        <v>0</v>
      </c>
    </row>
    <row r="128" spans="1:43">
      <c r="A128" s="6" t="s">
        <v>1530</v>
      </c>
      <c r="B128" t="s">
        <v>1526</v>
      </c>
      <c r="C128" t="s">
        <v>299</v>
      </c>
      <c r="D128" t="s">
        <v>1527</v>
      </c>
      <c r="F128" t="s">
        <v>480</v>
      </c>
      <c r="H128" t="s">
        <v>481</v>
      </c>
      <c r="I128" t="s">
        <v>39</v>
      </c>
      <c r="J128" s="6" t="s">
        <v>482</v>
      </c>
      <c r="K128" t="s">
        <v>148</v>
      </c>
      <c r="L128" t="s">
        <v>149</v>
      </c>
      <c r="M128" s="3">
        <v>17600</v>
      </c>
      <c r="N128" t="b">
        <v>0</v>
      </c>
      <c r="O128" t="b">
        <v>1</v>
      </c>
      <c r="P128" t="b">
        <v>0</v>
      </c>
      <c r="Q128" t="b">
        <v>0</v>
      </c>
      <c r="R128" t="b">
        <v>0</v>
      </c>
      <c r="S128" t="b">
        <v>0</v>
      </c>
      <c r="T128" t="b">
        <v>0</v>
      </c>
      <c r="U128" t="b">
        <v>0</v>
      </c>
      <c r="V128" t="b">
        <v>0</v>
      </c>
      <c r="W128" t="b">
        <v>0</v>
      </c>
      <c r="X128" t="b">
        <v>0</v>
      </c>
      <c r="Y128" t="b">
        <v>0</v>
      </c>
      <c r="Z128" t="b">
        <v>0</v>
      </c>
      <c r="AA128" t="b">
        <v>1</v>
      </c>
      <c r="AB128" t="b">
        <v>0</v>
      </c>
      <c r="AC128" t="s">
        <v>2876</v>
      </c>
      <c r="AD128" t="b">
        <v>1</v>
      </c>
      <c r="AE128" t="b">
        <v>0</v>
      </c>
      <c r="AF128" t="b">
        <v>0</v>
      </c>
      <c r="AG128" t="b">
        <v>0</v>
      </c>
      <c r="AH128" t="b">
        <v>0</v>
      </c>
      <c r="AI128">
        <v>1</v>
      </c>
      <c r="AJ128" t="s">
        <v>1397</v>
      </c>
      <c r="AK128" t="s">
        <v>491</v>
      </c>
      <c r="AL128">
        <v>1</v>
      </c>
      <c r="AM128" t="b">
        <v>0</v>
      </c>
      <c r="AN128" t="b">
        <v>0</v>
      </c>
      <c r="AO128" t="b">
        <v>1</v>
      </c>
      <c r="AP128">
        <f>IF(ISNUMBER(tblPeople[[#This Row],[dob]]),DATEDIF(tblPeople[[#This Row],[dob]],RunDate,"y"),"")</f>
        <v>0</v>
      </c>
      <c r="AQ128">
        <f>COUNTIFS(tblReview[person_id],tblPeople[[#This Row],[person_id]],tblReview[status],"OPEN")</f>
        <v>0</v>
      </c>
    </row>
    <row r="129" spans="1:43">
      <c r="A129" s="6" t="s">
        <v>1538</v>
      </c>
      <c r="B129" t="s">
        <v>1532</v>
      </c>
      <c r="D129" t="s">
        <v>1533</v>
      </c>
      <c r="F129" t="s">
        <v>1534</v>
      </c>
      <c r="H129" t="s">
        <v>525</v>
      </c>
      <c r="I129" t="s">
        <v>34</v>
      </c>
      <c r="J129" s="6" t="s">
        <v>1535</v>
      </c>
      <c r="K129" t="s">
        <v>148</v>
      </c>
      <c r="L129" t="s">
        <v>205</v>
      </c>
      <c r="M129" s="3">
        <v>24070</v>
      </c>
      <c r="N129" t="b">
        <v>0</v>
      </c>
      <c r="O129" t="b">
        <v>1</v>
      </c>
      <c r="P129" t="b">
        <v>0</v>
      </c>
      <c r="Q129" t="b">
        <v>0</v>
      </c>
      <c r="R129" t="b">
        <v>0</v>
      </c>
      <c r="S129" t="b">
        <v>0</v>
      </c>
      <c r="T129" t="b">
        <v>0</v>
      </c>
      <c r="U129" t="b">
        <v>0</v>
      </c>
      <c r="V129" t="b">
        <v>0</v>
      </c>
      <c r="W129" t="b">
        <v>0</v>
      </c>
      <c r="X129" t="b">
        <v>0</v>
      </c>
      <c r="Y129" t="b">
        <v>0</v>
      </c>
      <c r="Z129" t="b">
        <v>0</v>
      </c>
      <c r="AA129" t="b">
        <v>1</v>
      </c>
      <c r="AB129" t="b">
        <v>0</v>
      </c>
      <c r="AC129" t="s">
        <v>2876</v>
      </c>
      <c r="AD129" t="b">
        <v>1</v>
      </c>
      <c r="AE129" t="b">
        <v>0</v>
      </c>
      <c r="AF129" t="b">
        <v>0</v>
      </c>
      <c r="AG129" t="b">
        <v>0</v>
      </c>
      <c r="AH129" t="b">
        <v>0</v>
      </c>
      <c r="AI129">
        <v>1</v>
      </c>
      <c r="AJ129" t="s">
        <v>1397</v>
      </c>
      <c r="AK129" t="s">
        <v>491</v>
      </c>
      <c r="AL129">
        <v>1</v>
      </c>
      <c r="AM129" t="b">
        <v>0</v>
      </c>
      <c r="AN129" t="b">
        <v>0</v>
      </c>
      <c r="AO129" t="b">
        <v>1</v>
      </c>
      <c r="AP129">
        <f>IF(ISNUMBER(tblPeople[[#This Row],[dob]]),DATEDIF(tblPeople[[#This Row],[dob]],RunDate,"y"),"")</f>
        <v>0</v>
      </c>
      <c r="AQ129">
        <f>COUNTIFS(tblReview[person_id],tblPeople[[#This Row],[person_id]],tblReview[status],"OPEN")</f>
        <v>0</v>
      </c>
    </row>
    <row r="130" spans="1:43">
      <c r="A130" s="6" t="s">
        <v>1547</v>
      </c>
      <c r="B130" t="s">
        <v>1540</v>
      </c>
      <c r="C130" t="s">
        <v>163</v>
      </c>
      <c r="D130" t="s">
        <v>1541</v>
      </c>
      <c r="E130" t="s">
        <v>214</v>
      </c>
      <c r="F130" t="s">
        <v>1542</v>
      </c>
      <c r="H130" t="s">
        <v>1543</v>
      </c>
      <c r="I130" t="s">
        <v>34</v>
      </c>
      <c r="J130" s="6" t="s">
        <v>1544</v>
      </c>
      <c r="K130" t="s">
        <v>148</v>
      </c>
      <c r="L130" t="s">
        <v>205</v>
      </c>
      <c r="M130" s="3">
        <v>28679</v>
      </c>
      <c r="N130" t="b">
        <v>0</v>
      </c>
      <c r="O130" t="b">
        <v>1</v>
      </c>
      <c r="P130" t="b">
        <v>0</v>
      </c>
      <c r="Q130" t="b">
        <v>0</v>
      </c>
      <c r="R130" t="b">
        <v>0</v>
      </c>
      <c r="S130" t="b">
        <v>0</v>
      </c>
      <c r="T130" t="b">
        <v>0</v>
      </c>
      <c r="U130" t="b">
        <v>0</v>
      </c>
      <c r="V130" t="b">
        <v>0</v>
      </c>
      <c r="W130" t="b">
        <v>0</v>
      </c>
      <c r="X130" t="b">
        <v>0</v>
      </c>
      <c r="Y130" t="b">
        <v>0</v>
      </c>
      <c r="Z130" t="b">
        <v>0</v>
      </c>
      <c r="AA130" t="b">
        <v>1</v>
      </c>
      <c r="AB130" t="b">
        <v>0</v>
      </c>
      <c r="AC130" t="s">
        <v>2876</v>
      </c>
      <c r="AD130" t="b">
        <v>1</v>
      </c>
      <c r="AE130" t="b">
        <v>0</v>
      </c>
      <c r="AF130" t="b">
        <v>0</v>
      </c>
      <c r="AG130" t="b">
        <v>0</v>
      </c>
      <c r="AH130" t="b">
        <v>0</v>
      </c>
      <c r="AI130">
        <v>1</v>
      </c>
      <c r="AJ130" t="s">
        <v>1397</v>
      </c>
      <c r="AK130" t="s">
        <v>491</v>
      </c>
      <c r="AL130">
        <v>1</v>
      </c>
      <c r="AM130" t="b">
        <v>0</v>
      </c>
      <c r="AN130" t="b">
        <v>0</v>
      </c>
      <c r="AO130" t="b">
        <v>1</v>
      </c>
      <c r="AP130">
        <f>IF(ISNUMBER(tblPeople[[#This Row],[dob]]),DATEDIF(tblPeople[[#This Row],[dob]],RunDate,"y"),"")</f>
        <v>0</v>
      </c>
      <c r="AQ130">
        <f>COUNTIFS(tblReview[person_id],tblPeople[[#This Row],[person_id]],tblReview[status],"OPEN")</f>
        <v>0</v>
      </c>
    </row>
    <row r="131" spans="1:43">
      <c r="A131" s="6" t="s">
        <v>1565</v>
      </c>
      <c r="B131" t="s">
        <v>1461</v>
      </c>
      <c r="C131" t="s">
        <v>224</v>
      </c>
      <c r="D131" t="s">
        <v>1555</v>
      </c>
      <c r="F131" t="s">
        <v>1556</v>
      </c>
      <c r="H131" t="s">
        <v>1557</v>
      </c>
      <c r="I131" t="s">
        <v>38</v>
      </c>
      <c r="J131" s="6" t="s">
        <v>1558</v>
      </c>
      <c r="K131" t="s">
        <v>148</v>
      </c>
      <c r="L131" t="s">
        <v>205</v>
      </c>
      <c r="M131" s="3">
        <v>19221</v>
      </c>
      <c r="N131" t="b">
        <v>0</v>
      </c>
      <c r="O131" t="b">
        <v>1</v>
      </c>
      <c r="P131" t="b">
        <v>0</v>
      </c>
      <c r="Q131" t="b">
        <v>0</v>
      </c>
      <c r="R131" t="b">
        <v>0</v>
      </c>
      <c r="S131" t="b">
        <v>0</v>
      </c>
      <c r="T131" t="b">
        <v>0</v>
      </c>
      <c r="U131" t="b">
        <v>1</v>
      </c>
      <c r="V131" t="b">
        <v>0</v>
      </c>
      <c r="W131" t="b">
        <v>0</v>
      </c>
      <c r="X131" t="b">
        <v>0</v>
      </c>
      <c r="Y131" t="b">
        <v>1</v>
      </c>
      <c r="Z131" t="b">
        <v>0</v>
      </c>
      <c r="AA131" t="b">
        <v>1</v>
      </c>
      <c r="AB131" t="b">
        <v>0</v>
      </c>
      <c r="AC131" t="s">
        <v>2826</v>
      </c>
      <c r="AD131" t="b">
        <v>1</v>
      </c>
      <c r="AE131" t="b">
        <v>0</v>
      </c>
      <c r="AF131" t="b">
        <v>1</v>
      </c>
      <c r="AG131" t="b">
        <v>1</v>
      </c>
      <c r="AH131" t="b">
        <v>0</v>
      </c>
      <c r="AI131">
        <v>1</v>
      </c>
      <c r="AJ131" t="s">
        <v>1553</v>
      </c>
      <c r="AK131" t="s">
        <v>491</v>
      </c>
      <c r="AL131">
        <v>1</v>
      </c>
      <c r="AM131" t="b">
        <v>0</v>
      </c>
      <c r="AN131" t="b">
        <v>0</v>
      </c>
      <c r="AO131" t="b">
        <v>1</v>
      </c>
      <c r="AP131">
        <f>IF(ISNUMBER(tblPeople[[#This Row],[dob]]),DATEDIF(tblPeople[[#This Row],[dob]],RunDate,"y"),"")</f>
        <v>0</v>
      </c>
      <c r="AQ131">
        <f>COUNTIFS(tblReview[person_id],tblPeople[[#This Row],[person_id]],tblReview[status],"OPEN")</f>
        <v>0</v>
      </c>
    </row>
    <row r="132" spans="1:43">
      <c r="A132" s="6" t="s">
        <v>1572</v>
      </c>
      <c r="B132" t="s">
        <v>1567</v>
      </c>
      <c r="C132" t="s">
        <v>299</v>
      </c>
      <c r="D132" t="s">
        <v>435</v>
      </c>
      <c r="F132" t="s">
        <v>436</v>
      </c>
      <c r="H132" t="s">
        <v>437</v>
      </c>
      <c r="I132" t="s">
        <v>40</v>
      </c>
      <c r="J132" s="6" t="s">
        <v>438</v>
      </c>
      <c r="K132" t="s">
        <v>148</v>
      </c>
      <c r="L132" t="s">
        <v>149</v>
      </c>
      <c r="M132" s="3">
        <v>40330</v>
      </c>
      <c r="N132" t="b">
        <v>1</v>
      </c>
      <c r="O132" t="b">
        <v>1</v>
      </c>
      <c r="P132" t="b">
        <v>0</v>
      </c>
      <c r="Q132" t="b">
        <v>0</v>
      </c>
      <c r="R132" t="b">
        <v>0</v>
      </c>
      <c r="S132" t="b">
        <v>0</v>
      </c>
      <c r="T132" t="b">
        <v>0</v>
      </c>
      <c r="U132" t="b">
        <v>1</v>
      </c>
      <c r="V132" t="b">
        <v>0</v>
      </c>
      <c r="W132" t="b">
        <v>0</v>
      </c>
      <c r="X132" t="b">
        <v>0</v>
      </c>
      <c r="Y132" t="b">
        <v>1</v>
      </c>
      <c r="Z132" t="b">
        <v>0</v>
      </c>
      <c r="AA132" t="b">
        <v>1</v>
      </c>
      <c r="AB132" t="b">
        <v>1</v>
      </c>
      <c r="AC132" t="s">
        <v>2844</v>
      </c>
      <c r="AD132" t="b">
        <v>1</v>
      </c>
      <c r="AE132" t="b">
        <v>0</v>
      </c>
      <c r="AF132" t="b">
        <v>1</v>
      </c>
      <c r="AG132" t="b">
        <v>1</v>
      </c>
      <c r="AH132" t="b">
        <v>1</v>
      </c>
      <c r="AI132">
        <v>2</v>
      </c>
      <c r="AJ132" t="s">
        <v>2881</v>
      </c>
      <c r="AK132" t="s">
        <v>491</v>
      </c>
      <c r="AL132">
        <v>1</v>
      </c>
      <c r="AM132" t="b">
        <v>1</v>
      </c>
      <c r="AN132" t="b">
        <v>0</v>
      </c>
      <c r="AO132" t="b">
        <v>1</v>
      </c>
      <c r="AP132">
        <f>IF(ISNUMBER(tblPeople[[#This Row],[dob]]),DATEDIF(tblPeople[[#This Row],[dob]],RunDate,"y"),"")</f>
        <v>0</v>
      </c>
      <c r="AQ132">
        <f>COUNTIFS(tblReview[person_id],tblPeople[[#This Row],[person_id]],tblReview[status],"OPEN")</f>
        <v>0</v>
      </c>
    </row>
    <row r="133" spans="1:43">
      <c r="A133" s="6" t="s">
        <v>1582</v>
      </c>
      <c r="B133" t="s">
        <v>832</v>
      </c>
      <c r="D133" t="s">
        <v>1574</v>
      </c>
      <c r="F133" t="s">
        <v>1575</v>
      </c>
      <c r="H133" t="s">
        <v>1576</v>
      </c>
      <c r="I133" t="s">
        <v>34</v>
      </c>
      <c r="J133" s="6" t="s">
        <v>1577</v>
      </c>
      <c r="K133" t="s">
        <v>148</v>
      </c>
      <c r="L133" t="s">
        <v>205</v>
      </c>
      <c r="M133" s="3">
        <v>20467</v>
      </c>
      <c r="N133" t="b">
        <v>0</v>
      </c>
      <c r="O133" t="b">
        <v>1</v>
      </c>
      <c r="P133" t="b">
        <v>0</v>
      </c>
      <c r="Q133" t="b">
        <v>0</v>
      </c>
      <c r="R133" t="b">
        <v>0</v>
      </c>
      <c r="S133" t="b">
        <v>0</v>
      </c>
      <c r="T133" t="b">
        <v>0</v>
      </c>
      <c r="U133" t="b">
        <v>1</v>
      </c>
      <c r="V133" t="b">
        <v>0</v>
      </c>
      <c r="W133" t="b">
        <v>0</v>
      </c>
      <c r="X133" t="b">
        <v>0</v>
      </c>
      <c r="Y133" t="b">
        <v>1</v>
      </c>
      <c r="Z133" t="b">
        <v>0</v>
      </c>
      <c r="AA133" t="b">
        <v>1</v>
      </c>
      <c r="AB133" t="b">
        <v>0</v>
      </c>
      <c r="AC133" t="s">
        <v>2826</v>
      </c>
      <c r="AD133" t="b">
        <v>1</v>
      </c>
      <c r="AE133" t="b">
        <v>0</v>
      </c>
      <c r="AF133" t="b">
        <v>1</v>
      </c>
      <c r="AG133" t="b">
        <v>1</v>
      </c>
      <c r="AH133" t="b">
        <v>0</v>
      </c>
      <c r="AI133">
        <v>1</v>
      </c>
      <c r="AJ133" t="s">
        <v>1553</v>
      </c>
      <c r="AK133" t="s">
        <v>491</v>
      </c>
      <c r="AL133">
        <v>1</v>
      </c>
      <c r="AM133" t="b">
        <v>0</v>
      </c>
      <c r="AN133" t="b">
        <v>0</v>
      </c>
      <c r="AO133" t="b">
        <v>1</v>
      </c>
      <c r="AP133">
        <f>IF(ISNUMBER(tblPeople[[#This Row],[dob]]),DATEDIF(tblPeople[[#This Row],[dob]],RunDate,"y"),"")</f>
        <v>0</v>
      </c>
      <c r="AQ133">
        <f>COUNTIFS(tblReview[person_id],tblPeople[[#This Row],[person_id]],tblReview[status],"OPEN")</f>
        <v>0</v>
      </c>
    </row>
    <row r="134" spans="1:43">
      <c r="A134" s="6" t="s">
        <v>1589</v>
      </c>
      <c r="B134" t="s">
        <v>678</v>
      </c>
      <c r="D134" t="s">
        <v>1584</v>
      </c>
      <c r="F134" t="s">
        <v>1443</v>
      </c>
      <c r="H134" t="s">
        <v>1444</v>
      </c>
      <c r="I134" t="s">
        <v>35</v>
      </c>
      <c r="J134" s="6" t="s">
        <v>1445</v>
      </c>
      <c r="K134" t="s">
        <v>148</v>
      </c>
      <c r="L134" t="s">
        <v>149</v>
      </c>
      <c r="M134" s="3">
        <v>34437</v>
      </c>
      <c r="N134" t="b">
        <v>0</v>
      </c>
      <c r="O134" t="b">
        <v>1</v>
      </c>
      <c r="P134" t="b">
        <v>0</v>
      </c>
      <c r="Q134" t="b">
        <v>0</v>
      </c>
      <c r="R134" t="b">
        <v>0</v>
      </c>
      <c r="S134" t="b">
        <v>0</v>
      </c>
      <c r="T134" t="b">
        <v>0</v>
      </c>
      <c r="U134" t="b">
        <v>1</v>
      </c>
      <c r="V134" t="b">
        <v>0</v>
      </c>
      <c r="W134" t="b">
        <v>0</v>
      </c>
      <c r="X134" t="b">
        <v>0</v>
      </c>
      <c r="Y134" t="b">
        <v>1</v>
      </c>
      <c r="Z134" t="b">
        <v>0</v>
      </c>
      <c r="AA134" t="b">
        <v>1</v>
      </c>
      <c r="AB134" t="b">
        <v>0</v>
      </c>
      <c r="AC134" t="s">
        <v>2826</v>
      </c>
      <c r="AD134" t="b">
        <v>1</v>
      </c>
      <c r="AE134" t="b">
        <v>0</v>
      </c>
      <c r="AF134" t="b">
        <v>1</v>
      </c>
      <c r="AG134" t="b">
        <v>1</v>
      </c>
      <c r="AH134" t="b">
        <v>0</v>
      </c>
      <c r="AI134">
        <v>1</v>
      </c>
      <c r="AJ134" t="s">
        <v>1553</v>
      </c>
      <c r="AK134" t="s">
        <v>491</v>
      </c>
      <c r="AL134">
        <v>1</v>
      </c>
      <c r="AM134" t="b">
        <v>0</v>
      </c>
      <c r="AN134" t="b">
        <v>0</v>
      </c>
      <c r="AO134" t="b">
        <v>1</v>
      </c>
      <c r="AP134">
        <f>IF(ISNUMBER(tblPeople[[#This Row],[dob]]),DATEDIF(tblPeople[[#This Row],[dob]],RunDate,"y"),"")</f>
        <v>0</v>
      </c>
      <c r="AQ134">
        <f>COUNTIFS(tblReview[person_id],tblPeople[[#This Row],[person_id]],tblReview[status],"OPEN")</f>
        <v>0</v>
      </c>
    </row>
    <row r="135" spans="1:43">
      <c r="A135" s="6" t="s">
        <v>1599</v>
      </c>
      <c r="B135" t="s">
        <v>678</v>
      </c>
      <c r="D135" t="s">
        <v>1591</v>
      </c>
      <c r="F135" t="s">
        <v>1592</v>
      </c>
      <c r="H135" t="s">
        <v>1593</v>
      </c>
      <c r="I135" t="s">
        <v>40</v>
      </c>
      <c r="J135" s="6" t="s">
        <v>1594</v>
      </c>
      <c r="K135" t="s">
        <v>148</v>
      </c>
      <c r="L135" t="s">
        <v>205</v>
      </c>
      <c r="M135" s="3">
        <v>21055</v>
      </c>
      <c r="N135" t="b">
        <v>0</v>
      </c>
      <c r="O135" t="b">
        <v>1</v>
      </c>
      <c r="P135" t="b">
        <v>0</v>
      </c>
      <c r="Q135" t="b">
        <v>0</v>
      </c>
      <c r="R135" t="b">
        <v>0</v>
      </c>
      <c r="S135" t="b">
        <v>0</v>
      </c>
      <c r="T135" t="b">
        <v>0</v>
      </c>
      <c r="U135" t="b">
        <v>1</v>
      </c>
      <c r="V135" t="b">
        <v>0</v>
      </c>
      <c r="W135" t="b">
        <v>0</v>
      </c>
      <c r="X135" t="b">
        <v>0</v>
      </c>
      <c r="Y135" t="b">
        <v>1</v>
      </c>
      <c r="Z135" t="b">
        <v>0</v>
      </c>
      <c r="AA135" t="b">
        <v>1</v>
      </c>
      <c r="AB135" t="b">
        <v>0</v>
      </c>
      <c r="AC135" t="s">
        <v>2826</v>
      </c>
      <c r="AD135" t="b">
        <v>1</v>
      </c>
      <c r="AE135" t="b">
        <v>0</v>
      </c>
      <c r="AF135" t="b">
        <v>1</v>
      </c>
      <c r="AG135" t="b">
        <v>1</v>
      </c>
      <c r="AH135" t="b">
        <v>0</v>
      </c>
      <c r="AI135">
        <v>1</v>
      </c>
      <c r="AJ135" t="s">
        <v>1553</v>
      </c>
      <c r="AK135" t="s">
        <v>491</v>
      </c>
      <c r="AL135">
        <v>1</v>
      </c>
      <c r="AM135" t="b">
        <v>0</v>
      </c>
      <c r="AN135" t="b">
        <v>0</v>
      </c>
      <c r="AO135" t="b">
        <v>1</v>
      </c>
      <c r="AP135">
        <f>IF(ISNUMBER(tblPeople[[#This Row],[dob]]),DATEDIF(tblPeople[[#This Row],[dob]],RunDate,"y"),"")</f>
        <v>0</v>
      </c>
      <c r="AQ135">
        <f>COUNTIFS(tblReview[person_id],tblPeople[[#This Row],[person_id]],tblReview[status],"OPEN")</f>
        <v>0</v>
      </c>
    </row>
    <row r="136" spans="1:43">
      <c r="A136" s="6" t="s">
        <v>1609</v>
      </c>
      <c r="B136" t="s">
        <v>1603</v>
      </c>
      <c r="C136" t="s">
        <v>178</v>
      </c>
      <c r="D136" t="s">
        <v>1604</v>
      </c>
      <c r="F136" t="s">
        <v>424</v>
      </c>
      <c r="H136" t="s">
        <v>425</v>
      </c>
      <c r="I136" t="s">
        <v>40</v>
      </c>
      <c r="J136" s="6" t="s">
        <v>426</v>
      </c>
      <c r="K136" t="s">
        <v>148</v>
      </c>
      <c r="L136" t="s">
        <v>149</v>
      </c>
      <c r="M136" s="3">
        <v>36760</v>
      </c>
      <c r="N136" t="b">
        <v>0</v>
      </c>
      <c r="O136" t="b">
        <v>1</v>
      </c>
      <c r="P136" t="b">
        <v>0</v>
      </c>
      <c r="Q136" t="b">
        <v>0</v>
      </c>
      <c r="R136" t="b">
        <v>0</v>
      </c>
      <c r="S136" t="b">
        <v>0</v>
      </c>
      <c r="T136" t="b">
        <v>0</v>
      </c>
      <c r="U136" t="b">
        <v>1</v>
      </c>
      <c r="V136" t="b">
        <v>0</v>
      </c>
      <c r="W136" t="b">
        <v>0</v>
      </c>
      <c r="X136" t="b">
        <v>0</v>
      </c>
      <c r="Y136" t="b">
        <v>1</v>
      </c>
      <c r="Z136" t="b">
        <v>0</v>
      </c>
      <c r="AA136" t="b">
        <v>1</v>
      </c>
      <c r="AB136" t="b">
        <v>0</v>
      </c>
      <c r="AC136" t="s">
        <v>2826</v>
      </c>
      <c r="AD136" t="b">
        <v>1</v>
      </c>
      <c r="AE136" t="b">
        <v>0</v>
      </c>
      <c r="AF136" t="b">
        <v>1</v>
      </c>
      <c r="AG136" t="b">
        <v>1</v>
      </c>
      <c r="AH136" t="b">
        <v>0</v>
      </c>
      <c r="AI136">
        <v>1</v>
      </c>
      <c r="AJ136" t="s">
        <v>1553</v>
      </c>
      <c r="AK136" t="s">
        <v>491</v>
      </c>
      <c r="AL136">
        <v>1</v>
      </c>
      <c r="AM136" t="b">
        <v>0</v>
      </c>
      <c r="AN136" t="b">
        <v>0</v>
      </c>
      <c r="AO136" t="b">
        <v>1</v>
      </c>
      <c r="AP136">
        <f>IF(ISNUMBER(tblPeople[[#This Row],[dob]]),DATEDIF(tblPeople[[#This Row],[dob]],RunDate,"y"),"")</f>
        <v>0</v>
      </c>
      <c r="AQ136">
        <f>COUNTIFS(tblReview[person_id],tblPeople[[#This Row],[person_id]],tblReview[status],"OPEN")</f>
        <v>0</v>
      </c>
    </row>
    <row r="137" spans="1:43">
      <c r="A137" s="6" t="s">
        <v>1616</v>
      </c>
      <c r="B137" t="s">
        <v>832</v>
      </c>
      <c r="C137" t="s">
        <v>212</v>
      </c>
      <c r="D137" t="s">
        <v>1611</v>
      </c>
      <c r="E137" t="s">
        <v>446</v>
      </c>
      <c r="F137" t="s">
        <v>548</v>
      </c>
      <c r="H137" t="s">
        <v>549</v>
      </c>
      <c r="I137" t="s">
        <v>33</v>
      </c>
      <c r="J137" s="6" t="s">
        <v>550</v>
      </c>
      <c r="K137" t="s">
        <v>148</v>
      </c>
      <c r="L137" t="s">
        <v>149</v>
      </c>
      <c r="M137" s="3">
        <v>31032</v>
      </c>
      <c r="N137" t="b">
        <v>0</v>
      </c>
      <c r="O137" t="b">
        <v>1</v>
      </c>
      <c r="P137" t="b">
        <v>0</v>
      </c>
      <c r="Q137" t="b">
        <v>0</v>
      </c>
      <c r="R137" t="b">
        <v>0</v>
      </c>
      <c r="S137" t="b">
        <v>0</v>
      </c>
      <c r="T137" t="b">
        <v>0</v>
      </c>
      <c r="U137" t="b">
        <v>1</v>
      </c>
      <c r="V137" t="b">
        <v>0</v>
      </c>
      <c r="W137" t="b">
        <v>0</v>
      </c>
      <c r="X137" t="b">
        <v>0</v>
      </c>
      <c r="Y137" t="b">
        <v>1</v>
      </c>
      <c r="Z137" t="b">
        <v>0</v>
      </c>
      <c r="AA137" t="b">
        <v>1</v>
      </c>
      <c r="AB137" t="b">
        <v>0</v>
      </c>
      <c r="AC137" t="s">
        <v>2826</v>
      </c>
      <c r="AD137" t="b">
        <v>1</v>
      </c>
      <c r="AE137" t="b">
        <v>0</v>
      </c>
      <c r="AF137" t="b">
        <v>1</v>
      </c>
      <c r="AG137" t="b">
        <v>1</v>
      </c>
      <c r="AH137" t="b">
        <v>0</v>
      </c>
      <c r="AI137">
        <v>1</v>
      </c>
      <c r="AJ137" t="s">
        <v>1553</v>
      </c>
      <c r="AK137" t="s">
        <v>491</v>
      </c>
      <c r="AL137">
        <v>1</v>
      </c>
      <c r="AM137" t="b">
        <v>0</v>
      </c>
      <c r="AN137" t="b">
        <v>0</v>
      </c>
      <c r="AO137" t="b">
        <v>1</v>
      </c>
      <c r="AP137">
        <f>IF(ISNUMBER(tblPeople[[#This Row],[dob]]),DATEDIF(tblPeople[[#This Row],[dob]],RunDate,"y"),"")</f>
        <v>0</v>
      </c>
      <c r="AQ137">
        <f>COUNTIFS(tblReview[person_id],tblPeople[[#This Row],[person_id]],tblReview[status],"OPEN")</f>
        <v>0</v>
      </c>
    </row>
    <row r="138" spans="1:43">
      <c r="A138" s="6" t="s">
        <v>1626</v>
      </c>
      <c r="B138" t="s">
        <v>1622</v>
      </c>
      <c r="C138" t="s">
        <v>324</v>
      </c>
      <c r="D138" t="s">
        <v>547</v>
      </c>
      <c r="F138" t="s">
        <v>1325</v>
      </c>
      <c r="H138" t="s">
        <v>1326</v>
      </c>
      <c r="I138" t="s">
        <v>36</v>
      </c>
      <c r="J138" s="6" t="s">
        <v>1327</v>
      </c>
      <c r="K138" t="s">
        <v>148</v>
      </c>
      <c r="L138" t="s">
        <v>149</v>
      </c>
      <c r="M138" s="3">
        <v>39859</v>
      </c>
      <c r="N138" t="b">
        <v>1</v>
      </c>
      <c r="O138" t="b">
        <v>1</v>
      </c>
      <c r="P138" t="b">
        <v>0</v>
      </c>
      <c r="Q138" t="b">
        <v>0</v>
      </c>
      <c r="R138" t="b">
        <v>0</v>
      </c>
      <c r="S138" t="b">
        <v>0</v>
      </c>
      <c r="T138" t="b">
        <v>0</v>
      </c>
      <c r="U138" t="b">
        <v>1</v>
      </c>
      <c r="V138" t="b">
        <v>0</v>
      </c>
      <c r="W138" t="b">
        <v>0</v>
      </c>
      <c r="X138" t="b">
        <v>0</v>
      </c>
      <c r="Y138" t="b">
        <v>1</v>
      </c>
      <c r="Z138" t="b">
        <v>0</v>
      </c>
      <c r="AA138" t="b">
        <v>1</v>
      </c>
      <c r="AB138" t="b">
        <v>1</v>
      </c>
      <c r="AC138" t="s">
        <v>2844</v>
      </c>
      <c r="AD138" t="b">
        <v>1</v>
      </c>
      <c r="AE138" t="b">
        <v>0</v>
      </c>
      <c r="AF138" t="b">
        <v>1</v>
      </c>
      <c r="AG138" t="b">
        <v>1</v>
      </c>
      <c r="AH138" t="b">
        <v>1</v>
      </c>
      <c r="AI138">
        <v>2</v>
      </c>
      <c r="AJ138" t="s">
        <v>2881</v>
      </c>
      <c r="AK138" t="s">
        <v>491</v>
      </c>
      <c r="AL138">
        <v>1</v>
      </c>
      <c r="AM138" t="b">
        <v>1</v>
      </c>
      <c r="AN138" t="b">
        <v>1</v>
      </c>
      <c r="AO138" t="b">
        <v>1</v>
      </c>
      <c r="AP138">
        <f>IF(ISNUMBER(tblPeople[[#This Row],[dob]]),DATEDIF(tblPeople[[#This Row],[dob]],RunDate,"y"),"")</f>
        <v>0</v>
      </c>
      <c r="AQ138">
        <f>COUNTIFS(tblReview[person_id],tblPeople[[#This Row],[person_id]],tblReview[status],"OPEN")</f>
        <v>0</v>
      </c>
    </row>
    <row r="139" spans="1:43">
      <c r="A139" s="6" t="s">
        <v>1632</v>
      </c>
      <c r="B139" t="s">
        <v>1359</v>
      </c>
      <c r="C139" t="s">
        <v>163</v>
      </c>
      <c r="D139" t="s">
        <v>508</v>
      </c>
      <c r="F139" t="s">
        <v>509</v>
      </c>
      <c r="H139" t="s">
        <v>510</v>
      </c>
      <c r="I139" t="s">
        <v>37</v>
      </c>
      <c r="J139" s="6" t="s">
        <v>511</v>
      </c>
      <c r="K139" t="s">
        <v>148</v>
      </c>
      <c r="L139" t="s">
        <v>149</v>
      </c>
      <c r="M139" s="3">
        <v>38529</v>
      </c>
      <c r="N139" t="b">
        <v>0</v>
      </c>
      <c r="O139" t="b">
        <v>1</v>
      </c>
      <c r="P139" t="b">
        <v>0</v>
      </c>
      <c r="Q139" t="b">
        <v>0</v>
      </c>
      <c r="R139" t="b">
        <v>0</v>
      </c>
      <c r="S139" t="b">
        <v>0</v>
      </c>
      <c r="T139" t="b">
        <v>0</v>
      </c>
      <c r="U139" t="b">
        <v>1</v>
      </c>
      <c r="V139" t="b">
        <v>0</v>
      </c>
      <c r="W139" t="b">
        <v>0</v>
      </c>
      <c r="X139" t="b">
        <v>0</v>
      </c>
      <c r="Y139" t="b">
        <v>1</v>
      </c>
      <c r="Z139" t="b">
        <v>0</v>
      </c>
      <c r="AA139" t="b">
        <v>1</v>
      </c>
      <c r="AB139" t="b">
        <v>1</v>
      </c>
      <c r="AC139" t="s">
        <v>2844</v>
      </c>
      <c r="AD139" t="b">
        <v>1</v>
      </c>
      <c r="AE139" t="b">
        <v>0</v>
      </c>
      <c r="AF139" t="b">
        <v>1</v>
      </c>
      <c r="AG139" t="b">
        <v>1</v>
      </c>
      <c r="AH139" t="b">
        <v>1</v>
      </c>
      <c r="AI139">
        <v>2</v>
      </c>
      <c r="AJ139" t="s">
        <v>2881</v>
      </c>
      <c r="AK139" t="s">
        <v>491</v>
      </c>
      <c r="AL139">
        <v>1</v>
      </c>
      <c r="AM139" t="b">
        <v>1</v>
      </c>
      <c r="AN139" t="b">
        <v>1</v>
      </c>
      <c r="AO139" t="b">
        <v>1</v>
      </c>
      <c r="AP139">
        <f>IF(ISNUMBER(tblPeople[[#This Row],[dob]]),DATEDIF(tblPeople[[#This Row],[dob]],RunDate,"y"),"")</f>
        <v>0</v>
      </c>
      <c r="AQ139">
        <f>COUNTIFS(tblReview[person_id],tblPeople[[#This Row],[person_id]],tblReview[status],"OPEN")</f>
        <v>0</v>
      </c>
    </row>
    <row r="140" spans="1:43">
      <c r="A140" s="6" t="s">
        <v>1647</v>
      </c>
      <c r="B140" t="s">
        <v>1638</v>
      </c>
      <c r="C140" t="s">
        <v>1639</v>
      </c>
      <c r="D140" t="s">
        <v>1640</v>
      </c>
      <c r="F140" t="s">
        <v>1641</v>
      </c>
      <c r="H140" t="s">
        <v>801</v>
      </c>
      <c r="I140" t="s">
        <v>33</v>
      </c>
      <c r="J140" s="6" t="s">
        <v>1642</v>
      </c>
      <c r="K140" t="s">
        <v>148</v>
      </c>
      <c r="L140" t="s">
        <v>205</v>
      </c>
      <c r="M140" s="3">
        <v>30045</v>
      </c>
      <c r="N140" t="b">
        <v>0</v>
      </c>
      <c r="O140" t="b">
        <v>1</v>
      </c>
      <c r="P140" t="b">
        <v>0</v>
      </c>
      <c r="Q140" t="b">
        <v>0</v>
      </c>
      <c r="R140" t="b">
        <v>0</v>
      </c>
      <c r="S140" t="b">
        <v>0</v>
      </c>
      <c r="T140" t="b">
        <v>0</v>
      </c>
      <c r="U140" t="b">
        <v>1</v>
      </c>
      <c r="V140" t="b">
        <v>0</v>
      </c>
      <c r="W140" t="b">
        <v>0</v>
      </c>
      <c r="X140" t="b">
        <v>0</v>
      </c>
      <c r="Y140" t="b">
        <v>1</v>
      </c>
      <c r="Z140" t="b">
        <v>0</v>
      </c>
      <c r="AA140" t="b">
        <v>1</v>
      </c>
      <c r="AB140" t="b">
        <v>0</v>
      </c>
      <c r="AC140" t="s">
        <v>2826</v>
      </c>
      <c r="AD140" t="b">
        <v>1</v>
      </c>
      <c r="AE140" t="b">
        <v>0</v>
      </c>
      <c r="AF140" t="b">
        <v>1</v>
      </c>
      <c r="AG140" t="b">
        <v>1</v>
      </c>
      <c r="AH140" t="b">
        <v>0</v>
      </c>
      <c r="AI140">
        <v>1</v>
      </c>
      <c r="AJ140" t="s">
        <v>1553</v>
      </c>
      <c r="AK140" t="s">
        <v>491</v>
      </c>
      <c r="AL140">
        <v>1</v>
      </c>
      <c r="AM140" t="b">
        <v>0</v>
      </c>
      <c r="AN140" t="b">
        <v>0</v>
      </c>
      <c r="AO140" t="b">
        <v>1</v>
      </c>
      <c r="AP140">
        <f>IF(ISNUMBER(tblPeople[[#This Row],[dob]]),DATEDIF(tblPeople[[#This Row],[dob]],RunDate,"y"),"")</f>
        <v>0</v>
      </c>
      <c r="AQ140">
        <f>COUNTIFS(tblReview[person_id],tblPeople[[#This Row],[person_id]],tblReview[status],"OPEN")</f>
        <v>0</v>
      </c>
    </row>
    <row r="141" spans="1:43">
      <c r="A141" s="6" t="s">
        <v>1671</v>
      </c>
      <c r="B141" t="s">
        <v>1662</v>
      </c>
      <c r="D141" t="s">
        <v>1663</v>
      </c>
      <c r="F141" t="s">
        <v>1664</v>
      </c>
      <c r="H141" t="s">
        <v>1665</v>
      </c>
      <c r="I141" t="s">
        <v>39</v>
      </c>
      <c r="J141" s="6" t="s">
        <v>1666</v>
      </c>
      <c r="K141" t="s">
        <v>148</v>
      </c>
      <c r="L141" t="s">
        <v>205</v>
      </c>
      <c r="M141" s="3">
        <v>18821</v>
      </c>
      <c r="N141" t="b">
        <v>0</v>
      </c>
      <c r="O141" t="b">
        <v>1</v>
      </c>
      <c r="P141" t="b">
        <v>0</v>
      </c>
      <c r="Q141" t="b">
        <v>0</v>
      </c>
      <c r="R141" t="b">
        <v>0</v>
      </c>
      <c r="S141" t="b">
        <v>0</v>
      </c>
      <c r="T141" t="b">
        <v>0</v>
      </c>
      <c r="U141" t="b">
        <v>1</v>
      </c>
      <c r="V141" t="b">
        <v>0</v>
      </c>
      <c r="W141" t="b">
        <v>0</v>
      </c>
      <c r="X141" t="b">
        <v>0</v>
      </c>
      <c r="Y141" t="b">
        <v>1</v>
      </c>
      <c r="Z141" t="b">
        <v>0</v>
      </c>
      <c r="AA141" t="b">
        <v>1</v>
      </c>
      <c r="AB141" t="b">
        <v>0</v>
      </c>
      <c r="AC141" t="s">
        <v>2826</v>
      </c>
      <c r="AD141" t="b">
        <v>1</v>
      </c>
      <c r="AE141" t="b">
        <v>0</v>
      </c>
      <c r="AF141" t="b">
        <v>1</v>
      </c>
      <c r="AG141" t="b">
        <v>1</v>
      </c>
      <c r="AH141" t="b">
        <v>0</v>
      </c>
      <c r="AI141">
        <v>1</v>
      </c>
      <c r="AJ141" t="s">
        <v>1553</v>
      </c>
      <c r="AK141" t="s">
        <v>491</v>
      </c>
      <c r="AL141">
        <v>1</v>
      </c>
      <c r="AM141" t="b">
        <v>0</v>
      </c>
      <c r="AN141" t="b">
        <v>0</v>
      </c>
      <c r="AO141" t="b">
        <v>1</v>
      </c>
      <c r="AP141">
        <f>IF(ISNUMBER(tblPeople[[#This Row],[dob]]),DATEDIF(tblPeople[[#This Row],[dob]],RunDate,"y"),"")</f>
        <v>0</v>
      </c>
      <c r="AQ141">
        <f>COUNTIFS(tblReview[person_id],tblPeople[[#This Row],[person_id]],tblReview[status],"OPEN")</f>
        <v>0</v>
      </c>
    </row>
    <row r="142" spans="1:43">
      <c r="A142" s="6" t="s">
        <v>1679</v>
      </c>
      <c r="B142" t="s">
        <v>1675</v>
      </c>
      <c r="C142" t="s">
        <v>163</v>
      </c>
      <c r="D142" t="s">
        <v>248</v>
      </c>
      <c r="F142" t="s">
        <v>250</v>
      </c>
      <c r="H142" t="s">
        <v>251</v>
      </c>
      <c r="I142" t="s">
        <v>39</v>
      </c>
      <c r="J142" s="6" t="s">
        <v>252</v>
      </c>
      <c r="K142" t="s">
        <v>148</v>
      </c>
      <c r="L142" t="s">
        <v>149</v>
      </c>
      <c r="M142" s="3">
        <v>40928</v>
      </c>
      <c r="N142" t="b">
        <v>1</v>
      </c>
      <c r="O142" t="b">
        <v>1</v>
      </c>
      <c r="P142" t="b">
        <v>0</v>
      </c>
      <c r="Q142" t="b">
        <v>0</v>
      </c>
      <c r="R142" t="b">
        <v>0</v>
      </c>
      <c r="S142" t="b">
        <v>0</v>
      </c>
      <c r="T142" t="b">
        <v>0</v>
      </c>
      <c r="U142" t="b">
        <v>1</v>
      </c>
      <c r="V142" t="b">
        <v>0</v>
      </c>
      <c r="W142" t="b">
        <v>0</v>
      </c>
      <c r="X142" t="b">
        <v>0</v>
      </c>
      <c r="Y142" t="b">
        <v>1</v>
      </c>
      <c r="Z142" t="b">
        <v>0</v>
      </c>
      <c r="AA142" t="b">
        <v>1</v>
      </c>
      <c r="AB142" t="b">
        <v>1</v>
      </c>
      <c r="AC142" t="s">
        <v>2844</v>
      </c>
      <c r="AD142" t="b">
        <v>1</v>
      </c>
      <c r="AE142" t="b">
        <v>0</v>
      </c>
      <c r="AF142" t="b">
        <v>1</v>
      </c>
      <c r="AG142" t="b">
        <v>1</v>
      </c>
      <c r="AH142" t="b">
        <v>1</v>
      </c>
      <c r="AI142">
        <v>2</v>
      </c>
      <c r="AJ142" t="s">
        <v>2881</v>
      </c>
      <c r="AK142" t="s">
        <v>491</v>
      </c>
      <c r="AL142">
        <v>1</v>
      </c>
      <c r="AM142" t="b">
        <v>1</v>
      </c>
      <c r="AN142" t="b">
        <v>1</v>
      </c>
      <c r="AO142" t="b">
        <v>1</v>
      </c>
      <c r="AP142">
        <f>IF(ISNUMBER(tblPeople[[#This Row],[dob]]),DATEDIF(tblPeople[[#This Row],[dob]],RunDate,"y"),"")</f>
        <v>0</v>
      </c>
      <c r="AQ142">
        <f>COUNTIFS(tblReview[person_id],tblPeople[[#This Row],[person_id]],tblReview[status],"OPEN")</f>
        <v>0</v>
      </c>
    </row>
    <row r="143" spans="1:43">
      <c r="A143" s="6" t="s">
        <v>1690</v>
      </c>
      <c r="B143" t="s">
        <v>258</v>
      </c>
      <c r="C143" t="s">
        <v>267</v>
      </c>
      <c r="D143" t="s">
        <v>1681</v>
      </c>
      <c r="F143" t="s">
        <v>1682</v>
      </c>
      <c r="H143" t="s">
        <v>1683</v>
      </c>
      <c r="I143" t="s">
        <v>33</v>
      </c>
      <c r="J143" s="6" t="s">
        <v>1684</v>
      </c>
      <c r="K143" t="s">
        <v>148</v>
      </c>
      <c r="L143" t="s">
        <v>205</v>
      </c>
      <c r="M143" s="3">
        <v>19058</v>
      </c>
      <c r="N143" t="b">
        <v>0</v>
      </c>
      <c r="O143" t="b">
        <v>1</v>
      </c>
      <c r="P143" t="b">
        <v>0</v>
      </c>
      <c r="Q143" t="b">
        <v>0</v>
      </c>
      <c r="R143" t="b">
        <v>0</v>
      </c>
      <c r="S143" t="b">
        <v>0</v>
      </c>
      <c r="T143" t="b">
        <v>0</v>
      </c>
      <c r="U143" t="b">
        <v>1</v>
      </c>
      <c r="V143" t="b">
        <v>0</v>
      </c>
      <c r="W143" t="b">
        <v>0</v>
      </c>
      <c r="X143" t="b">
        <v>0</v>
      </c>
      <c r="Y143" t="b">
        <v>1</v>
      </c>
      <c r="Z143" t="b">
        <v>0</v>
      </c>
      <c r="AA143" t="b">
        <v>1</v>
      </c>
      <c r="AB143" t="b">
        <v>0</v>
      </c>
      <c r="AC143" t="s">
        <v>2826</v>
      </c>
      <c r="AD143" t="b">
        <v>1</v>
      </c>
      <c r="AE143" t="b">
        <v>0</v>
      </c>
      <c r="AF143" t="b">
        <v>1</v>
      </c>
      <c r="AG143" t="b">
        <v>1</v>
      </c>
      <c r="AH143" t="b">
        <v>0</v>
      </c>
      <c r="AI143">
        <v>1</v>
      </c>
      <c r="AJ143" t="s">
        <v>1553</v>
      </c>
      <c r="AK143" t="s">
        <v>491</v>
      </c>
      <c r="AL143">
        <v>1</v>
      </c>
      <c r="AM143" t="b">
        <v>0</v>
      </c>
      <c r="AN143" t="b">
        <v>0</v>
      </c>
      <c r="AO143" t="b">
        <v>1</v>
      </c>
      <c r="AP143">
        <f>IF(ISNUMBER(tblPeople[[#This Row],[dob]]),DATEDIF(tblPeople[[#This Row],[dob]],RunDate,"y"),"")</f>
        <v>0</v>
      </c>
      <c r="AQ143">
        <f>COUNTIFS(tblReview[person_id],tblPeople[[#This Row],[person_id]],tblReview[status],"OPEN")</f>
        <v>0</v>
      </c>
    </row>
    <row r="144" spans="1:43">
      <c r="A144" s="6" t="s">
        <v>1700</v>
      </c>
      <c r="B144" t="s">
        <v>1215</v>
      </c>
      <c r="C144" t="s">
        <v>178</v>
      </c>
      <c r="D144" t="s">
        <v>1692</v>
      </c>
      <c r="F144" t="s">
        <v>1693</v>
      </c>
      <c r="H144" t="s">
        <v>1694</v>
      </c>
      <c r="I144" t="s">
        <v>37</v>
      </c>
      <c r="J144" s="6" t="s">
        <v>1695</v>
      </c>
      <c r="K144" t="s">
        <v>148</v>
      </c>
      <c r="L144" t="s">
        <v>205</v>
      </c>
      <c r="M144" s="3">
        <v>23997</v>
      </c>
      <c r="N144" t="b">
        <v>0</v>
      </c>
      <c r="O144" t="b">
        <v>1</v>
      </c>
      <c r="P144" t="b">
        <v>0</v>
      </c>
      <c r="Q144" t="b">
        <v>0</v>
      </c>
      <c r="R144" t="b">
        <v>0</v>
      </c>
      <c r="S144" t="b">
        <v>0</v>
      </c>
      <c r="T144" t="b">
        <v>0</v>
      </c>
      <c r="U144" t="b">
        <v>1</v>
      </c>
      <c r="V144" t="b">
        <v>0</v>
      </c>
      <c r="W144" t="b">
        <v>0</v>
      </c>
      <c r="X144" t="b">
        <v>0</v>
      </c>
      <c r="Y144" t="b">
        <v>1</v>
      </c>
      <c r="Z144" t="b">
        <v>0</v>
      </c>
      <c r="AA144" t="b">
        <v>1</v>
      </c>
      <c r="AB144" t="b">
        <v>0</v>
      </c>
      <c r="AC144" t="s">
        <v>2826</v>
      </c>
      <c r="AD144" t="b">
        <v>1</v>
      </c>
      <c r="AE144" t="b">
        <v>0</v>
      </c>
      <c r="AF144" t="b">
        <v>1</v>
      </c>
      <c r="AG144" t="b">
        <v>1</v>
      </c>
      <c r="AH144" t="b">
        <v>0</v>
      </c>
      <c r="AI144">
        <v>1</v>
      </c>
      <c r="AJ144" t="s">
        <v>1553</v>
      </c>
      <c r="AK144" t="s">
        <v>491</v>
      </c>
      <c r="AL144">
        <v>1</v>
      </c>
      <c r="AM144" t="b">
        <v>0</v>
      </c>
      <c r="AN144" t="b">
        <v>0</v>
      </c>
      <c r="AO144" t="b">
        <v>1</v>
      </c>
      <c r="AP144">
        <f>IF(ISNUMBER(tblPeople[[#This Row],[dob]]),DATEDIF(tblPeople[[#This Row],[dob]],RunDate,"y"),"")</f>
        <v>0</v>
      </c>
      <c r="AQ144">
        <f>COUNTIFS(tblReview[person_id],tblPeople[[#This Row],[person_id]],tblReview[status],"OPEN")</f>
        <v>0</v>
      </c>
    </row>
    <row r="145" spans="1:43">
      <c r="A145" s="6" t="s">
        <v>1709</v>
      </c>
      <c r="B145" t="s">
        <v>323</v>
      </c>
      <c r="C145" t="s">
        <v>1180</v>
      </c>
      <c r="D145" t="s">
        <v>1702</v>
      </c>
      <c r="F145" t="s">
        <v>1703</v>
      </c>
      <c r="H145" t="s">
        <v>1704</v>
      </c>
      <c r="I145" t="s">
        <v>33</v>
      </c>
      <c r="J145" s="6" t="s">
        <v>1705</v>
      </c>
      <c r="K145" t="s">
        <v>148</v>
      </c>
      <c r="L145" t="s">
        <v>205</v>
      </c>
      <c r="M145" s="3">
        <v>32550</v>
      </c>
      <c r="N145" t="b">
        <v>0</v>
      </c>
      <c r="O145" t="b">
        <v>1</v>
      </c>
      <c r="P145" t="b">
        <v>0</v>
      </c>
      <c r="Q145" t="b">
        <v>0</v>
      </c>
      <c r="R145" t="b">
        <v>0</v>
      </c>
      <c r="S145" t="b">
        <v>0</v>
      </c>
      <c r="T145" t="b">
        <v>0</v>
      </c>
      <c r="U145" t="b">
        <v>1</v>
      </c>
      <c r="V145" t="b">
        <v>0</v>
      </c>
      <c r="W145" t="b">
        <v>0</v>
      </c>
      <c r="X145" t="b">
        <v>0</v>
      </c>
      <c r="Y145" t="b">
        <v>1</v>
      </c>
      <c r="Z145" t="b">
        <v>0</v>
      </c>
      <c r="AA145" t="b">
        <v>1</v>
      </c>
      <c r="AB145" t="b">
        <v>0</v>
      </c>
      <c r="AC145" t="s">
        <v>2826</v>
      </c>
      <c r="AD145" t="b">
        <v>1</v>
      </c>
      <c r="AE145" t="b">
        <v>0</v>
      </c>
      <c r="AF145" t="b">
        <v>1</v>
      </c>
      <c r="AG145" t="b">
        <v>1</v>
      </c>
      <c r="AH145" t="b">
        <v>0</v>
      </c>
      <c r="AI145">
        <v>1</v>
      </c>
      <c r="AJ145" t="s">
        <v>1553</v>
      </c>
      <c r="AK145" t="s">
        <v>491</v>
      </c>
      <c r="AL145">
        <v>1</v>
      </c>
      <c r="AM145" t="b">
        <v>0</v>
      </c>
      <c r="AN145" t="b">
        <v>0</v>
      </c>
      <c r="AO145" t="b">
        <v>1</v>
      </c>
      <c r="AP145">
        <f>IF(ISNUMBER(tblPeople[[#This Row],[dob]]),DATEDIF(tblPeople[[#This Row],[dob]],RunDate,"y"),"")</f>
        <v>0</v>
      </c>
      <c r="AQ145">
        <f>COUNTIFS(tblReview[person_id],tblPeople[[#This Row],[person_id]],tblReview[status],"OPEN")</f>
        <v>0</v>
      </c>
    </row>
    <row r="146" spans="1:43">
      <c r="A146" s="6" t="s">
        <v>1729</v>
      </c>
      <c r="B146" t="s">
        <v>1603</v>
      </c>
      <c r="C146" t="s">
        <v>163</v>
      </c>
      <c r="D146" t="s">
        <v>1724</v>
      </c>
      <c r="F146" t="s">
        <v>215</v>
      </c>
      <c r="H146" t="s">
        <v>216</v>
      </c>
      <c r="I146" t="s">
        <v>37</v>
      </c>
      <c r="J146" s="6" t="s">
        <v>217</v>
      </c>
      <c r="K146" t="s">
        <v>148</v>
      </c>
      <c r="L146" t="s">
        <v>149</v>
      </c>
      <c r="M146" s="3">
        <v>36757</v>
      </c>
      <c r="N146" t="b">
        <v>0</v>
      </c>
      <c r="O146" t="b">
        <v>1</v>
      </c>
      <c r="P146" t="b">
        <v>0</v>
      </c>
      <c r="Q146" t="b">
        <v>0</v>
      </c>
      <c r="R146" t="b">
        <v>0</v>
      </c>
      <c r="S146" t="b">
        <v>0</v>
      </c>
      <c r="T146" t="b">
        <v>0</v>
      </c>
      <c r="U146" t="b">
        <v>1</v>
      </c>
      <c r="V146" t="b">
        <v>0</v>
      </c>
      <c r="W146" t="b">
        <v>0</v>
      </c>
      <c r="X146" t="b">
        <v>0</v>
      </c>
      <c r="Y146" t="b">
        <v>1</v>
      </c>
      <c r="Z146" t="b">
        <v>0</v>
      </c>
      <c r="AA146" t="b">
        <v>1</v>
      </c>
      <c r="AB146" t="b">
        <v>0</v>
      </c>
      <c r="AC146" t="s">
        <v>2826</v>
      </c>
      <c r="AD146" t="b">
        <v>1</v>
      </c>
      <c r="AE146" t="b">
        <v>0</v>
      </c>
      <c r="AF146" t="b">
        <v>1</v>
      </c>
      <c r="AG146" t="b">
        <v>1</v>
      </c>
      <c r="AH146" t="b">
        <v>0</v>
      </c>
      <c r="AI146">
        <v>1</v>
      </c>
      <c r="AJ146" t="s">
        <v>1553</v>
      </c>
      <c r="AK146" t="s">
        <v>491</v>
      </c>
      <c r="AL146">
        <v>1</v>
      </c>
      <c r="AM146" t="b">
        <v>0</v>
      </c>
      <c r="AN146" t="b">
        <v>0</v>
      </c>
      <c r="AO146" t="b">
        <v>1</v>
      </c>
      <c r="AP146">
        <f>IF(ISNUMBER(tblPeople[[#This Row],[dob]]),DATEDIF(tblPeople[[#This Row],[dob]],RunDate,"y"),"")</f>
        <v>0</v>
      </c>
      <c r="AQ146">
        <f>COUNTIFS(tblReview[person_id],tblPeople[[#This Row],[person_id]],tblReview[status],"OPEN")</f>
        <v>0</v>
      </c>
    </row>
    <row r="147" spans="1:43">
      <c r="A147" s="6" t="s">
        <v>1738</v>
      </c>
      <c r="B147" t="s">
        <v>1603</v>
      </c>
      <c r="C147" t="s">
        <v>163</v>
      </c>
      <c r="D147" t="s">
        <v>1731</v>
      </c>
      <c r="F147" t="s">
        <v>1732</v>
      </c>
      <c r="H147" t="s">
        <v>410</v>
      </c>
      <c r="I147" t="s">
        <v>39</v>
      </c>
      <c r="J147" s="6" t="s">
        <v>1733</v>
      </c>
      <c r="K147" t="s">
        <v>148</v>
      </c>
      <c r="L147" t="s">
        <v>205</v>
      </c>
      <c r="M147" s="3">
        <v>33455</v>
      </c>
      <c r="N147" t="b">
        <v>0</v>
      </c>
      <c r="O147" t="b">
        <v>1</v>
      </c>
      <c r="P147" t="b">
        <v>0</v>
      </c>
      <c r="Q147" t="b">
        <v>0</v>
      </c>
      <c r="R147" t="b">
        <v>0</v>
      </c>
      <c r="S147" t="b">
        <v>0</v>
      </c>
      <c r="T147" t="b">
        <v>0</v>
      </c>
      <c r="U147" t="b">
        <v>1</v>
      </c>
      <c r="V147" t="b">
        <v>0</v>
      </c>
      <c r="W147" t="b">
        <v>0</v>
      </c>
      <c r="X147" t="b">
        <v>0</v>
      </c>
      <c r="Y147" t="b">
        <v>1</v>
      </c>
      <c r="Z147" t="b">
        <v>0</v>
      </c>
      <c r="AA147" t="b">
        <v>1</v>
      </c>
      <c r="AB147" t="b">
        <v>0</v>
      </c>
      <c r="AC147" t="s">
        <v>2826</v>
      </c>
      <c r="AD147" t="b">
        <v>1</v>
      </c>
      <c r="AE147" t="b">
        <v>0</v>
      </c>
      <c r="AF147" t="b">
        <v>1</v>
      </c>
      <c r="AG147" t="b">
        <v>1</v>
      </c>
      <c r="AH147" t="b">
        <v>0</v>
      </c>
      <c r="AI147">
        <v>1</v>
      </c>
      <c r="AJ147" t="s">
        <v>1553</v>
      </c>
      <c r="AK147" t="s">
        <v>491</v>
      </c>
      <c r="AL147">
        <v>1</v>
      </c>
      <c r="AM147" t="b">
        <v>0</v>
      </c>
      <c r="AN147" t="b">
        <v>0</v>
      </c>
      <c r="AO147" t="b">
        <v>1</v>
      </c>
      <c r="AP147">
        <f>IF(ISNUMBER(tblPeople[[#This Row],[dob]]),DATEDIF(tblPeople[[#This Row],[dob]],RunDate,"y"),"")</f>
        <v>0</v>
      </c>
      <c r="AQ147">
        <f>COUNTIFS(tblReview[person_id],tblPeople[[#This Row],[person_id]],tblReview[status],"OPEN")</f>
        <v>0</v>
      </c>
    </row>
    <row r="148" spans="1:43">
      <c r="A148" s="6" t="s">
        <v>1746</v>
      </c>
      <c r="B148" t="s">
        <v>1740</v>
      </c>
      <c r="D148" t="s">
        <v>1741</v>
      </c>
      <c r="F148" t="s">
        <v>460</v>
      </c>
      <c r="H148" t="s">
        <v>461</v>
      </c>
      <c r="I148" t="s">
        <v>37</v>
      </c>
      <c r="J148" s="6" t="s">
        <v>462</v>
      </c>
      <c r="K148" t="s">
        <v>148</v>
      </c>
      <c r="L148" t="s">
        <v>149</v>
      </c>
      <c r="M148" s="3">
        <v>24894</v>
      </c>
      <c r="N148" t="b">
        <v>0</v>
      </c>
      <c r="O148" t="b">
        <v>1</v>
      </c>
      <c r="P148" t="b">
        <v>0</v>
      </c>
      <c r="Q148" t="b">
        <v>0</v>
      </c>
      <c r="R148" t="b">
        <v>0</v>
      </c>
      <c r="S148" t="b">
        <v>0</v>
      </c>
      <c r="T148" t="b">
        <v>0</v>
      </c>
      <c r="U148" t="b">
        <v>1</v>
      </c>
      <c r="V148" t="b">
        <v>0</v>
      </c>
      <c r="W148" t="b">
        <v>0</v>
      </c>
      <c r="X148" t="b">
        <v>0</v>
      </c>
      <c r="Y148" t="b">
        <v>1</v>
      </c>
      <c r="Z148" t="b">
        <v>0</v>
      </c>
      <c r="AA148" t="b">
        <v>1</v>
      </c>
      <c r="AB148" t="b">
        <v>0</v>
      </c>
      <c r="AC148" t="s">
        <v>2826</v>
      </c>
      <c r="AD148" t="b">
        <v>1</v>
      </c>
      <c r="AE148" t="b">
        <v>0</v>
      </c>
      <c r="AF148" t="b">
        <v>1</v>
      </c>
      <c r="AG148" t="b">
        <v>1</v>
      </c>
      <c r="AH148" t="b">
        <v>0</v>
      </c>
      <c r="AI148">
        <v>1</v>
      </c>
      <c r="AJ148" t="s">
        <v>1553</v>
      </c>
      <c r="AK148" t="s">
        <v>491</v>
      </c>
      <c r="AL148">
        <v>1</v>
      </c>
      <c r="AM148" t="b">
        <v>0</v>
      </c>
      <c r="AN148" t="b">
        <v>0</v>
      </c>
      <c r="AO148" t="b">
        <v>1</v>
      </c>
      <c r="AP148">
        <f>IF(ISNUMBER(tblPeople[[#This Row],[dob]]),DATEDIF(tblPeople[[#This Row],[dob]],RunDate,"y"),"")</f>
        <v>0</v>
      </c>
      <c r="AQ148">
        <f>COUNTIFS(tblReview[person_id],tblPeople[[#This Row],[person_id]],tblReview[status],"OPEN")</f>
        <v>0</v>
      </c>
    </row>
    <row r="149" spans="1:43">
      <c r="A149" s="6" t="s">
        <v>1753</v>
      </c>
      <c r="B149" t="s">
        <v>855</v>
      </c>
      <c r="D149" t="s">
        <v>1748</v>
      </c>
      <c r="F149" t="s">
        <v>498</v>
      </c>
      <c r="H149" t="s">
        <v>499</v>
      </c>
      <c r="I149" t="s">
        <v>35</v>
      </c>
      <c r="J149" s="6" t="s">
        <v>500</v>
      </c>
      <c r="K149" t="s">
        <v>148</v>
      </c>
      <c r="L149" t="s">
        <v>149</v>
      </c>
      <c r="M149" s="3">
        <v>37682</v>
      </c>
      <c r="N149" t="b">
        <v>0</v>
      </c>
      <c r="O149" t="b">
        <v>1</v>
      </c>
      <c r="P149" t="b">
        <v>0</v>
      </c>
      <c r="Q149" t="b">
        <v>0</v>
      </c>
      <c r="R149" t="b">
        <v>0</v>
      </c>
      <c r="S149" t="b">
        <v>0</v>
      </c>
      <c r="T149" t="b">
        <v>0</v>
      </c>
      <c r="U149" t="b">
        <v>1</v>
      </c>
      <c r="V149" t="b">
        <v>0</v>
      </c>
      <c r="W149" t="b">
        <v>0</v>
      </c>
      <c r="X149" t="b">
        <v>0</v>
      </c>
      <c r="Y149" t="b">
        <v>1</v>
      </c>
      <c r="Z149" t="b">
        <v>0</v>
      </c>
      <c r="AA149" t="b">
        <v>1</v>
      </c>
      <c r="AB149" t="b">
        <v>0</v>
      </c>
      <c r="AC149" t="s">
        <v>2826</v>
      </c>
      <c r="AD149" t="b">
        <v>1</v>
      </c>
      <c r="AE149" t="b">
        <v>0</v>
      </c>
      <c r="AF149" t="b">
        <v>1</v>
      </c>
      <c r="AG149" t="b">
        <v>1</v>
      </c>
      <c r="AH149" t="b">
        <v>0</v>
      </c>
      <c r="AI149">
        <v>1</v>
      </c>
      <c r="AJ149" t="s">
        <v>1553</v>
      </c>
      <c r="AK149" t="s">
        <v>491</v>
      </c>
      <c r="AL149">
        <v>1</v>
      </c>
      <c r="AM149" t="b">
        <v>0</v>
      </c>
      <c r="AN149" t="b">
        <v>0</v>
      </c>
      <c r="AO149" t="b">
        <v>1</v>
      </c>
      <c r="AP149">
        <f>IF(ISNUMBER(tblPeople[[#This Row],[dob]]),DATEDIF(tblPeople[[#This Row],[dob]],RunDate,"y"),"")</f>
        <v>0</v>
      </c>
      <c r="AQ149">
        <f>COUNTIFS(tblReview[person_id],tblPeople[[#This Row],[person_id]],tblReview[status],"OPEN")</f>
        <v>0</v>
      </c>
    </row>
    <row r="150" spans="1:43">
      <c r="A150" s="6" t="s">
        <v>1766</v>
      </c>
      <c r="B150" t="s">
        <v>331</v>
      </c>
      <c r="D150" t="s">
        <v>1758</v>
      </c>
      <c r="F150" t="s">
        <v>1759</v>
      </c>
      <c r="H150" t="s">
        <v>1760</v>
      </c>
      <c r="I150" t="s">
        <v>40</v>
      </c>
      <c r="J150" s="6" t="s">
        <v>1761</v>
      </c>
      <c r="K150" t="s">
        <v>148</v>
      </c>
      <c r="L150" t="s">
        <v>205</v>
      </c>
      <c r="M150" s="3">
        <v>23598</v>
      </c>
      <c r="N150" t="b">
        <v>0</v>
      </c>
      <c r="O150" t="b">
        <v>1</v>
      </c>
      <c r="P150" t="b">
        <v>0</v>
      </c>
      <c r="Q150" t="b">
        <v>0</v>
      </c>
      <c r="R150" t="b">
        <v>0</v>
      </c>
      <c r="S150" t="b">
        <v>0</v>
      </c>
      <c r="T150" t="b">
        <v>0</v>
      </c>
      <c r="U150" t="b">
        <v>1</v>
      </c>
      <c r="V150" t="b">
        <v>0</v>
      </c>
      <c r="W150" t="b">
        <v>0</v>
      </c>
      <c r="X150" t="b">
        <v>0</v>
      </c>
      <c r="Y150" t="b">
        <v>1</v>
      </c>
      <c r="Z150" t="b">
        <v>0</v>
      </c>
      <c r="AA150" t="b">
        <v>1</v>
      </c>
      <c r="AB150" t="b">
        <v>0</v>
      </c>
      <c r="AC150" t="s">
        <v>2826</v>
      </c>
      <c r="AD150" t="b">
        <v>1</v>
      </c>
      <c r="AE150" t="b">
        <v>0</v>
      </c>
      <c r="AF150" t="b">
        <v>1</v>
      </c>
      <c r="AG150" t="b">
        <v>1</v>
      </c>
      <c r="AH150" t="b">
        <v>0</v>
      </c>
      <c r="AI150">
        <v>1</v>
      </c>
      <c r="AJ150" t="s">
        <v>1553</v>
      </c>
      <c r="AK150" t="s">
        <v>491</v>
      </c>
      <c r="AL150">
        <v>1</v>
      </c>
      <c r="AM150" t="b">
        <v>0</v>
      </c>
      <c r="AN150" t="b">
        <v>0</v>
      </c>
      <c r="AO150" t="b">
        <v>1</v>
      </c>
      <c r="AP150">
        <f>IF(ISNUMBER(tblPeople[[#This Row],[dob]]),DATEDIF(tblPeople[[#This Row],[dob]],RunDate,"y"),"")</f>
        <v>0</v>
      </c>
      <c r="AQ150">
        <f>COUNTIFS(tblReview[person_id],tblPeople[[#This Row],[person_id]],tblReview[status],"OPEN")</f>
        <v>0</v>
      </c>
    </row>
    <row r="151" spans="1:43">
      <c r="A151" s="6" t="s">
        <v>1779</v>
      </c>
      <c r="B151" t="s">
        <v>1770</v>
      </c>
      <c r="D151" t="s">
        <v>1771</v>
      </c>
      <c r="F151" t="s">
        <v>1772</v>
      </c>
      <c r="H151" t="s">
        <v>1773</v>
      </c>
      <c r="I151" t="s">
        <v>38</v>
      </c>
      <c r="J151" s="6" t="s">
        <v>1774</v>
      </c>
      <c r="K151" t="s">
        <v>148</v>
      </c>
      <c r="L151" t="s">
        <v>205</v>
      </c>
      <c r="M151" s="3">
        <v>17619</v>
      </c>
      <c r="N151" t="b">
        <v>0</v>
      </c>
      <c r="O151" t="b">
        <v>1</v>
      </c>
      <c r="P151" t="b">
        <v>0</v>
      </c>
      <c r="Q151" t="b">
        <v>0</v>
      </c>
      <c r="R151" t="b">
        <v>0</v>
      </c>
      <c r="S151" t="b">
        <v>0</v>
      </c>
      <c r="T151" t="b">
        <v>0</v>
      </c>
      <c r="U151" t="b">
        <v>1</v>
      </c>
      <c r="V151" t="b">
        <v>0</v>
      </c>
      <c r="W151" t="b">
        <v>0</v>
      </c>
      <c r="X151" t="b">
        <v>0</v>
      </c>
      <c r="Y151" t="b">
        <v>1</v>
      </c>
      <c r="Z151" t="b">
        <v>0</v>
      </c>
      <c r="AA151" t="b">
        <v>1</v>
      </c>
      <c r="AB151" t="b">
        <v>0</v>
      </c>
      <c r="AC151" t="s">
        <v>2826</v>
      </c>
      <c r="AD151" t="b">
        <v>1</v>
      </c>
      <c r="AE151" t="b">
        <v>0</v>
      </c>
      <c r="AF151" t="b">
        <v>1</v>
      </c>
      <c r="AG151" t="b">
        <v>1</v>
      </c>
      <c r="AH151" t="b">
        <v>0</v>
      </c>
      <c r="AI151">
        <v>1</v>
      </c>
      <c r="AJ151" t="s">
        <v>1553</v>
      </c>
      <c r="AK151" t="s">
        <v>491</v>
      </c>
      <c r="AL151">
        <v>1</v>
      </c>
      <c r="AM151" t="b">
        <v>0</v>
      </c>
      <c r="AN151" t="b">
        <v>0</v>
      </c>
      <c r="AO151" t="b">
        <v>1</v>
      </c>
      <c r="AP151">
        <f>IF(ISNUMBER(tblPeople[[#This Row],[dob]]),DATEDIF(tblPeople[[#This Row],[dob]],RunDate,"y"),"")</f>
        <v>0</v>
      </c>
      <c r="AQ151">
        <f>COUNTIFS(tblReview[person_id],tblPeople[[#This Row],[person_id]],tblReview[status],"OPEN")</f>
        <v>0</v>
      </c>
    </row>
    <row r="152" spans="1:43">
      <c r="A152" s="6" t="s">
        <v>1785</v>
      </c>
      <c r="B152" t="s">
        <v>433</v>
      </c>
      <c r="C152" t="s">
        <v>259</v>
      </c>
      <c r="D152" t="s">
        <v>1781</v>
      </c>
      <c r="F152" t="s">
        <v>409</v>
      </c>
      <c r="H152" t="s">
        <v>410</v>
      </c>
      <c r="I152" t="s">
        <v>39</v>
      </c>
      <c r="J152" s="6" t="s">
        <v>411</v>
      </c>
      <c r="K152" t="s">
        <v>148</v>
      </c>
      <c r="L152" t="s">
        <v>149</v>
      </c>
      <c r="M152" s="3">
        <v>20494</v>
      </c>
      <c r="N152" t="b">
        <v>0</v>
      </c>
      <c r="O152" t="b">
        <v>1</v>
      </c>
      <c r="P152" t="b">
        <v>0</v>
      </c>
      <c r="Q152" t="b">
        <v>0</v>
      </c>
      <c r="R152" t="b">
        <v>0</v>
      </c>
      <c r="S152" t="b">
        <v>0</v>
      </c>
      <c r="T152" t="b">
        <v>0</v>
      </c>
      <c r="U152" t="b">
        <v>1</v>
      </c>
      <c r="V152" t="b">
        <v>0</v>
      </c>
      <c r="W152" t="b">
        <v>0</v>
      </c>
      <c r="X152" t="b">
        <v>0</v>
      </c>
      <c r="Y152" t="b">
        <v>1</v>
      </c>
      <c r="Z152" t="b">
        <v>0</v>
      </c>
      <c r="AA152" t="b">
        <v>1</v>
      </c>
      <c r="AB152" t="b">
        <v>0</v>
      </c>
      <c r="AC152" t="s">
        <v>2826</v>
      </c>
      <c r="AD152" t="b">
        <v>1</v>
      </c>
      <c r="AE152" t="b">
        <v>0</v>
      </c>
      <c r="AF152" t="b">
        <v>1</v>
      </c>
      <c r="AG152" t="b">
        <v>1</v>
      </c>
      <c r="AH152" t="b">
        <v>0</v>
      </c>
      <c r="AI152">
        <v>1</v>
      </c>
      <c r="AJ152" t="s">
        <v>1553</v>
      </c>
      <c r="AK152" t="s">
        <v>491</v>
      </c>
      <c r="AL152">
        <v>1</v>
      </c>
      <c r="AM152" t="b">
        <v>0</v>
      </c>
      <c r="AN152" t="b">
        <v>0</v>
      </c>
      <c r="AO152" t="b">
        <v>1</v>
      </c>
      <c r="AP152">
        <f>IF(ISNUMBER(tblPeople[[#This Row],[dob]]),DATEDIF(tblPeople[[#This Row],[dob]],RunDate,"y"),"")</f>
        <v>0</v>
      </c>
      <c r="AQ152">
        <f>COUNTIFS(tblReview[person_id],tblPeople[[#This Row],[person_id]],tblReview[status],"OPEN")</f>
        <v>0</v>
      </c>
    </row>
    <row r="153" spans="1:43">
      <c r="A153" s="6" t="s">
        <v>1795</v>
      </c>
      <c r="B153" t="s">
        <v>1787</v>
      </c>
      <c r="C153" t="s">
        <v>1180</v>
      </c>
      <c r="D153" t="s">
        <v>1788</v>
      </c>
      <c r="F153" t="s">
        <v>1789</v>
      </c>
      <c r="H153" t="s">
        <v>410</v>
      </c>
      <c r="I153" t="s">
        <v>39</v>
      </c>
      <c r="J153" s="6" t="s">
        <v>1790</v>
      </c>
      <c r="K153" t="s">
        <v>148</v>
      </c>
      <c r="L153" t="s">
        <v>205</v>
      </c>
      <c r="M153" s="3">
        <v>36114</v>
      </c>
      <c r="N153" t="b">
        <v>0</v>
      </c>
      <c r="O153" t="b">
        <v>1</v>
      </c>
      <c r="P153" t="b">
        <v>0</v>
      </c>
      <c r="Q153" t="b">
        <v>0</v>
      </c>
      <c r="R153" t="b">
        <v>0</v>
      </c>
      <c r="S153" t="b">
        <v>0</v>
      </c>
      <c r="T153" t="b">
        <v>0</v>
      </c>
      <c r="U153" t="b">
        <v>1</v>
      </c>
      <c r="V153" t="b">
        <v>0</v>
      </c>
      <c r="W153" t="b">
        <v>0</v>
      </c>
      <c r="X153" t="b">
        <v>0</v>
      </c>
      <c r="Y153" t="b">
        <v>1</v>
      </c>
      <c r="Z153" t="b">
        <v>0</v>
      </c>
      <c r="AA153" t="b">
        <v>1</v>
      </c>
      <c r="AB153" t="b">
        <v>0</v>
      </c>
      <c r="AC153" t="s">
        <v>2826</v>
      </c>
      <c r="AD153" t="b">
        <v>1</v>
      </c>
      <c r="AE153" t="b">
        <v>0</v>
      </c>
      <c r="AF153" t="b">
        <v>1</v>
      </c>
      <c r="AG153" t="b">
        <v>1</v>
      </c>
      <c r="AH153" t="b">
        <v>0</v>
      </c>
      <c r="AI153">
        <v>1</v>
      </c>
      <c r="AJ153" t="s">
        <v>1553</v>
      </c>
      <c r="AK153" t="s">
        <v>491</v>
      </c>
      <c r="AL153">
        <v>1</v>
      </c>
      <c r="AM153" t="b">
        <v>0</v>
      </c>
      <c r="AN153" t="b">
        <v>0</v>
      </c>
      <c r="AO153" t="b">
        <v>1</v>
      </c>
      <c r="AP153">
        <f>IF(ISNUMBER(tblPeople[[#This Row],[dob]]),DATEDIF(tblPeople[[#This Row],[dob]],RunDate,"y"),"")</f>
        <v>0</v>
      </c>
      <c r="AQ153">
        <f>COUNTIFS(tblReview[person_id],tblPeople[[#This Row],[person_id]],tblReview[status],"OPEN")</f>
        <v>0</v>
      </c>
    </row>
    <row r="154" spans="1:43">
      <c r="A154" s="6" t="s">
        <v>1823</v>
      </c>
      <c r="B154" t="s">
        <v>1818</v>
      </c>
      <c r="D154" t="s">
        <v>268</v>
      </c>
      <c r="F154" t="s">
        <v>269</v>
      </c>
      <c r="H154" t="s">
        <v>636</v>
      </c>
      <c r="I154" t="s">
        <v>33</v>
      </c>
      <c r="J154" s="6" t="s">
        <v>271</v>
      </c>
      <c r="K154" t="s">
        <v>148</v>
      </c>
      <c r="L154" t="s">
        <v>149</v>
      </c>
      <c r="M154" s="3">
        <v>39476</v>
      </c>
      <c r="N154" t="b">
        <v>0</v>
      </c>
      <c r="O154" t="b">
        <v>1</v>
      </c>
      <c r="P154" t="b">
        <v>0</v>
      </c>
      <c r="Q154" t="b">
        <v>0</v>
      </c>
      <c r="R154" t="b">
        <v>0</v>
      </c>
      <c r="S154" t="b">
        <v>0</v>
      </c>
      <c r="T154" t="b">
        <v>0</v>
      </c>
      <c r="U154" t="b">
        <v>1</v>
      </c>
      <c r="V154" t="b">
        <v>0</v>
      </c>
      <c r="W154" t="b">
        <v>0</v>
      </c>
      <c r="X154" t="b">
        <v>0</v>
      </c>
      <c r="Y154" t="b">
        <v>1</v>
      </c>
      <c r="Z154" t="b">
        <v>0</v>
      </c>
      <c r="AA154" t="b">
        <v>1</v>
      </c>
      <c r="AB154" t="b">
        <v>1</v>
      </c>
      <c r="AC154" t="s">
        <v>2844</v>
      </c>
      <c r="AD154" t="b">
        <v>1</v>
      </c>
      <c r="AE154" t="b">
        <v>0</v>
      </c>
      <c r="AF154" t="b">
        <v>1</v>
      </c>
      <c r="AG154" t="b">
        <v>1</v>
      </c>
      <c r="AH154" t="b">
        <v>1</v>
      </c>
      <c r="AI154">
        <v>2</v>
      </c>
      <c r="AJ154" t="s">
        <v>2881</v>
      </c>
      <c r="AK154" t="s">
        <v>491</v>
      </c>
      <c r="AL154">
        <v>1</v>
      </c>
      <c r="AM154" t="b">
        <v>1</v>
      </c>
      <c r="AN154" t="b">
        <v>0</v>
      </c>
      <c r="AO154" t="b">
        <v>1</v>
      </c>
      <c r="AP154">
        <f>IF(ISNUMBER(tblPeople[[#This Row],[dob]]),DATEDIF(tblPeople[[#This Row],[dob]],RunDate,"y"),"")</f>
        <v>0</v>
      </c>
      <c r="AQ154">
        <f>COUNTIFS(tblReview[person_id],tblPeople[[#This Row],[person_id]],tblReview[status],"OPEN")</f>
        <v>0</v>
      </c>
    </row>
    <row r="155" spans="1:43">
      <c r="A155" s="6" t="s">
        <v>1829</v>
      </c>
      <c r="B155" t="s">
        <v>468</v>
      </c>
      <c r="C155" t="s">
        <v>1200</v>
      </c>
      <c r="D155" t="s">
        <v>601</v>
      </c>
      <c r="F155" t="s">
        <v>509</v>
      </c>
      <c r="H155" t="s">
        <v>510</v>
      </c>
      <c r="I155" t="s">
        <v>37</v>
      </c>
      <c r="J155" s="6" t="s">
        <v>511</v>
      </c>
      <c r="K155" t="s">
        <v>148</v>
      </c>
      <c r="L155" t="s">
        <v>149</v>
      </c>
      <c r="M155" s="3">
        <v>32685</v>
      </c>
      <c r="N155" t="b">
        <v>0</v>
      </c>
      <c r="O155" t="b">
        <v>1</v>
      </c>
      <c r="P155" t="b">
        <v>0</v>
      </c>
      <c r="Q155" t="b">
        <v>0</v>
      </c>
      <c r="R155" t="b">
        <v>0</v>
      </c>
      <c r="S155" t="b">
        <v>0</v>
      </c>
      <c r="T155" t="b">
        <v>0</v>
      </c>
      <c r="U155" t="b">
        <v>1</v>
      </c>
      <c r="V155" t="b">
        <v>0</v>
      </c>
      <c r="W155" t="b">
        <v>0</v>
      </c>
      <c r="X155" t="b">
        <v>0</v>
      </c>
      <c r="Y155" t="b">
        <v>1</v>
      </c>
      <c r="Z155" t="b">
        <v>0</v>
      </c>
      <c r="AA155" t="b">
        <v>1</v>
      </c>
      <c r="AB155" t="b">
        <v>0</v>
      </c>
      <c r="AC155" t="s">
        <v>2826</v>
      </c>
      <c r="AD155" t="b">
        <v>1</v>
      </c>
      <c r="AE155" t="b">
        <v>0</v>
      </c>
      <c r="AF155" t="b">
        <v>1</v>
      </c>
      <c r="AG155" t="b">
        <v>1</v>
      </c>
      <c r="AH155" t="b">
        <v>0</v>
      </c>
      <c r="AI155">
        <v>1</v>
      </c>
      <c r="AJ155" t="s">
        <v>1553</v>
      </c>
      <c r="AK155" t="s">
        <v>491</v>
      </c>
      <c r="AL155">
        <v>1</v>
      </c>
      <c r="AM155" t="b">
        <v>0</v>
      </c>
      <c r="AN155" t="b">
        <v>0</v>
      </c>
      <c r="AO155" t="b">
        <v>1</v>
      </c>
      <c r="AP155">
        <f>IF(ISNUMBER(tblPeople[[#This Row],[dob]]),DATEDIF(tblPeople[[#This Row],[dob]],RunDate,"y"),"")</f>
        <v>0</v>
      </c>
      <c r="AQ155">
        <f>COUNTIFS(tblReview[person_id],tblPeople[[#This Row],[person_id]],tblReview[status],"OPEN")</f>
        <v>0</v>
      </c>
    </row>
    <row r="156" spans="1:43">
      <c r="A156" s="6" t="s">
        <v>1844</v>
      </c>
      <c r="B156" t="s">
        <v>1837</v>
      </c>
      <c r="C156" t="s">
        <v>142</v>
      </c>
      <c r="D156" t="s">
        <v>1838</v>
      </c>
      <c r="F156" t="s">
        <v>1839</v>
      </c>
      <c r="H156" t="s">
        <v>636</v>
      </c>
      <c r="I156" t="s">
        <v>33</v>
      </c>
      <c r="J156" s="6" t="s">
        <v>1010</v>
      </c>
      <c r="K156" t="s">
        <v>148</v>
      </c>
      <c r="L156" t="s">
        <v>205</v>
      </c>
      <c r="M156" s="3">
        <v>28223</v>
      </c>
      <c r="N156" t="b">
        <v>0</v>
      </c>
      <c r="O156" t="b">
        <v>1</v>
      </c>
      <c r="P156" t="b">
        <v>0</v>
      </c>
      <c r="Q156" t="b">
        <v>0</v>
      </c>
      <c r="R156" t="b">
        <v>0</v>
      </c>
      <c r="S156" t="b">
        <v>0</v>
      </c>
      <c r="T156" t="b">
        <v>0</v>
      </c>
      <c r="U156" t="b">
        <v>1</v>
      </c>
      <c r="V156" t="b">
        <v>0</v>
      </c>
      <c r="W156" t="b">
        <v>0</v>
      </c>
      <c r="X156" t="b">
        <v>0</v>
      </c>
      <c r="Y156" t="b">
        <v>1</v>
      </c>
      <c r="Z156" t="b">
        <v>0</v>
      </c>
      <c r="AA156" t="b">
        <v>1</v>
      </c>
      <c r="AB156" t="b">
        <v>0</v>
      </c>
      <c r="AC156" t="s">
        <v>2826</v>
      </c>
      <c r="AD156" t="b">
        <v>1</v>
      </c>
      <c r="AE156" t="b">
        <v>0</v>
      </c>
      <c r="AF156" t="b">
        <v>1</v>
      </c>
      <c r="AG156" t="b">
        <v>1</v>
      </c>
      <c r="AH156" t="b">
        <v>0</v>
      </c>
      <c r="AI156">
        <v>1</v>
      </c>
      <c r="AJ156" t="s">
        <v>1553</v>
      </c>
      <c r="AK156" t="s">
        <v>491</v>
      </c>
      <c r="AL156">
        <v>1</v>
      </c>
      <c r="AM156" t="b">
        <v>0</v>
      </c>
      <c r="AN156" t="b">
        <v>0</v>
      </c>
      <c r="AO156" t="b">
        <v>1</v>
      </c>
      <c r="AP156">
        <f>IF(ISNUMBER(tblPeople[[#This Row],[dob]]),DATEDIF(tblPeople[[#This Row],[dob]],RunDate,"y"),"")</f>
        <v>0</v>
      </c>
      <c r="AQ156">
        <f>COUNTIFS(tblReview[person_id],tblPeople[[#This Row],[person_id]],tblReview[status],"OPEN")</f>
        <v>0</v>
      </c>
    </row>
    <row r="157" spans="1:43">
      <c r="A157" s="6" t="s">
        <v>1851</v>
      </c>
      <c r="B157" t="s">
        <v>1846</v>
      </c>
      <c r="C157" t="s">
        <v>224</v>
      </c>
      <c r="D157" t="s">
        <v>931</v>
      </c>
      <c r="F157" t="s">
        <v>1278</v>
      </c>
      <c r="H157" t="s">
        <v>1279</v>
      </c>
      <c r="I157" t="s">
        <v>34</v>
      </c>
      <c r="J157" s="6" t="s">
        <v>1280</v>
      </c>
      <c r="K157" t="s">
        <v>148</v>
      </c>
      <c r="L157" t="s">
        <v>149</v>
      </c>
      <c r="M157" s="3">
        <v>18780</v>
      </c>
      <c r="N157" t="b">
        <v>0</v>
      </c>
      <c r="O157" t="b">
        <v>1</v>
      </c>
      <c r="P157" t="b">
        <v>0</v>
      </c>
      <c r="Q157" t="b">
        <v>0</v>
      </c>
      <c r="R157" t="b">
        <v>0</v>
      </c>
      <c r="S157" t="b">
        <v>0</v>
      </c>
      <c r="T157" t="b">
        <v>0</v>
      </c>
      <c r="U157" t="b">
        <v>1</v>
      </c>
      <c r="V157" t="b">
        <v>0</v>
      </c>
      <c r="W157" t="b">
        <v>0</v>
      </c>
      <c r="X157" t="b">
        <v>0</v>
      </c>
      <c r="Y157" t="b">
        <v>1</v>
      </c>
      <c r="Z157" t="b">
        <v>0</v>
      </c>
      <c r="AA157" t="b">
        <v>1</v>
      </c>
      <c r="AB157" t="b">
        <v>0</v>
      </c>
      <c r="AC157" t="s">
        <v>2826</v>
      </c>
      <c r="AD157" t="b">
        <v>1</v>
      </c>
      <c r="AE157" t="b">
        <v>0</v>
      </c>
      <c r="AF157" t="b">
        <v>1</v>
      </c>
      <c r="AG157" t="b">
        <v>1</v>
      </c>
      <c r="AH157" t="b">
        <v>0</v>
      </c>
      <c r="AI157">
        <v>1</v>
      </c>
      <c r="AJ157" t="s">
        <v>1553</v>
      </c>
      <c r="AK157" t="s">
        <v>491</v>
      </c>
      <c r="AL157">
        <v>1</v>
      </c>
      <c r="AM157" t="b">
        <v>0</v>
      </c>
      <c r="AN157" t="b">
        <v>0</v>
      </c>
      <c r="AO157" t="b">
        <v>1</v>
      </c>
      <c r="AP157">
        <f>IF(ISNUMBER(tblPeople[[#This Row],[dob]]),DATEDIF(tblPeople[[#This Row],[dob]],RunDate,"y"),"")</f>
        <v>0</v>
      </c>
      <c r="AQ157">
        <f>COUNTIFS(tblReview[person_id],tblPeople[[#This Row],[person_id]],tblReview[status],"OPEN")</f>
        <v>0</v>
      </c>
    </row>
    <row r="158" spans="1:43">
      <c r="A158" s="6" t="s">
        <v>1868</v>
      </c>
      <c r="B158" t="s">
        <v>1473</v>
      </c>
      <c r="D158" t="s">
        <v>1859</v>
      </c>
      <c r="F158" t="s">
        <v>1860</v>
      </c>
      <c r="H158" t="s">
        <v>1861</v>
      </c>
      <c r="I158" t="s">
        <v>38</v>
      </c>
      <c r="J158" s="6" t="s">
        <v>1862</v>
      </c>
      <c r="K158" t="s">
        <v>148</v>
      </c>
      <c r="L158" t="s">
        <v>205</v>
      </c>
      <c r="M158" s="3">
        <v>25731</v>
      </c>
      <c r="N158" t="b">
        <v>0</v>
      </c>
      <c r="O158" t="b">
        <v>1</v>
      </c>
      <c r="P158" t="b">
        <v>0</v>
      </c>
      <c r="Q158" t="b">
        <v>0</v>
      </c>
      <c r="R158" t="b">
        <v>0</v>
      </c>
      <c r="S158" t="b">
        <v>0</v>
      </c>
      <c r="T158" t="b">
        <v>0</v>
      </c>
      <c r="U158" t="b">
        <v>1</v>
      </c>
      <c r="V158" t="b">
        <v>0</v>
      </c>
      <c r="W158" t="b">
        <v>0</v>
      </c>
      <c r="X158" t="b">
        <v>0</v>
      </c>
      <c r="Y158" t="b">
        <v>1</v>
      </c>
      <c r="Z158" t="b">
        <v>0</v>
      </c>
      <c r="AA158" t="b">
        <v>1</v>
      </c>
      <c r="AB158" t="b">
        <v>0</v>
      </c>
      <c r="AC158" t="s">
        <v>2826</v>
      </c>
      <c r="AD158" t="b">
        <v>1</v>
      </c>
      <c r="AE158" t="b">
        <v>0</v>
      </c>
      <c r="AF158" t="b">
        <v>1</v>
      </c>
      <c r="AG158" t="b">
        <v>1</v>
      </c>
      <c r="AH158" t="b">
        <v>0</v>
      </c>
      <c r="AI158">
        <v>1</v>
      </c>
      <c r="AJ158" t="s">
        <v>1553</v>
      </c>
      <c r="AK158" t="s">
        <v>491</v>
      </c>
      <c r="AL158">
        <v>1</v>
      </c>
      <c r="AM158" t="b">
        <v>0</v>
      </c>
      <c r="AN158" t="b">
        <v>0</v>
      </c>
      <c r="AO158" t="b">
        <v>1</v>
      </c>
      <c r="AP158">
        <f>IF(ISNUMBER(tblPeople[[#This Row],[dob]]),DATEDIF(tblPeople[[#This Row],[dob]],RunDate,"y"),"")</f>
        <v>0</v>
      </c>
      <c r="AQ158">
        <f>COUNTIFS(tblReview[person_id],tblPeople[[#This Row],[person_id]],tblReview[status],"OPEN")</f>
        <v>0</v>
      </c>
    </row>
    <row r="159" spans="1:43">
      <c r="A159" s="6" t="s">
        <v>1889</v>
      </c>
      <c r="B159" t="s">
        <v>247</v>
      </c>
      <c r="C159" t="s">
        <v>324</v>
      </c>
      <c r="D159" t="s">
        <v>1884</v>
      </c>
      <c r="F159" t="s">
        <v>602</v>
      </c>
      <c r="H159" t="s">
        <v>603</v>
      </c>
      <c r="I159" t="s">
        <v>40</v>
      </c>
      <c r="J159" s="6" t="s">
        <v>604</v>
      </c>
      <c r="K159" t="s">
        <v>148</v>
      </c>
      <c r="L159" t="s">
        <v>149</v>
      </c>
      <c r="M159" s="3">
        <v>21078</v>
      </c>
      <c r="N159" t="b">
        <v>0</v>
      </c>
      <c r="O159" t="b">
        <v>1</v>
      </c>
      <c r="P159" t="b">
        <v>0</v>
      </c>
      <c r="Q159" t="b">
        <v>0</v>
      </c>
      <c r="R159" t="b">
        <v>0</v>
      </c>
      <c r="S159" t="b">
        <v>0</v>
      </c>
      <c r="T159" t="b">
        <v>0</v>
      </c>
      <c r="U159" t="b">
        <v>1</v>
      </c>
      <c r="V159" t="b">
        <v>0</v>
      </c>
      <c r="W159" t="b">
        <v>0</v>
      </c>
      <c r="X159" t="b">
        <v>0</v>
      </c>
      <c r="Y159" t="b">
        <v>1</v>
      </c>
      <c r="Z159" t="b">
        <v>0</v>
      </c>
      <c r="AA159" t="b">
        <v>1</v>
      </c>
      <c r="AB159" t="b">
        <v>0</v>
      </c>
      <c r="AC159" t="s">
        <v>2826</v>
      </c>
      <c r="AD159" t="b">
        <v>1</v>
      </c>
      <c r="AE159" t="b">
        <v>0</v>
      </c>
      <c r="AF159" t="b">
        <v>1</v>
      </c>
      <c r="AG159" t="b">
        <v>1</v>
      </c>
      <c r="AH159" t="b">
        <v>0</v>
      </c>
      <c r="AI159">
        <v>1</v>
      </c>
      <c r="AJ159" t="s">
        <v>1553</v>
      </c>
      <c r="AK159" t="s">
        <v>491</v>
      </c>
      <c r="AL159">
        <v>1</v>
      </c>
      <c r="AM159" t="b">
        <v>0</v>
      </c>
      <c r="AN159" t="b">
        <v>0</v>
      </c>
      <c r="AO159" t="b">
        <v>1</v>
      </c>
      <c r="AP159">
        <f>IF(ISNUMBER(tblPeople[[#This Row],[dob]]),DATEDIF(tblPeople[[#This Row],[dob]],RunDate,"y"),"")</f>
        <v>0</v>
      </c>
      <c r="AQ159">
        <f>COUNTIFS(tblReview[person_id],tblPeople[[#This Row],[person_id]],tblReview[status],"OPEN")</f>
        <v>0</v>
      </c>
    </row>
    <row r="160" spans="1:43">
      <c r="A160" s="6" t="s">
        <v>1895</v>
      </c>
      <c r="B160" t="s">
        <v>1891</v>
      </c>
      <c r="D160" t="s">
        <v>547</v>
      </c>
      <c r="F160" t="s">
        <v>1334</v>
      </c>
      <c r="H160" t="s">
        <v>1335</v>
      </c>
      <c r="I160" t="s">
        <v>38</v>
      </c>
      <c r="J160" s="6" t="s">
        <v>1336</v>
      </c>
      <c r="K160" t="s">
        <v>148</v>
      </c>
      <c r="L160" t="s">
        <v>149</v>
      </c>
      <c r="M160" s="3">
        <v>23037</v>
      </c>
      <c r="N160" t="b">
        <v>0</v>
      </c>
      <c r="O160" t="b">
        <v>1</v>
      </c>
      <c r="P160" t="b">
        <v>0</v>
      </c>
      <c r="Q160" t="b">
        <v>0</v>
      </c>
      <c r="R160" t="b">
        <v>0</v>
      </c>
      <c r="S160" t="b">
        <v>0</v>
      </c>
      <c r="T160" t="b">
        <v>0</v>
      </c>
      <c r="U160" t="b">
        <v>1</v>
      </c>
      <c r="V160" t="b">
        <v>0</v>
      </c>
      <c r="W160" t="b">
        <v>0</v>
      </c>
      <c r="X160" t="b">
        <v>0</v>
      </c>
      <c r="Y160" t="b">
        <v>1</v>
      </c>
      <c r="Z160" t="b">
        <v>0</v>
      </c>
      <c r="AA160" t="b">
        <v>1</v>
      </c>
      <c r="AB160" t="b">
        <v>0</v>
      </c>
      <c r="AC160" t="s">
        <v>2826</v>
      </c>
      <c r="AD160" t="b">
        <v>1</v>
      </c>
      <c r="AE160" t="b">
        <v>0</v>
      </c>
      <c r="AF160" t="b">
        <v>1</v>
      </c>
      <c r="AG160" t="b">
        <v>1</v>
      </c>
      <c r="AH160" t="b">
        <v>0</v>
      </c>
      <c r="AI160">
        <v>1</v>
      </c>
      <c r="AJ160" t="s">
        <v>1553</v>
      </c>
      <c r="AK160" t="s">
        <v>491</v>
      </c>
      <c r="AL160">
        <v>1</v>
      </c>
      <c r="AM160" t="b">
        <v>0</v>
      </c>
      <c r="AN160" t="b">
        <v>1</v>
      </c>
      <c r="AO160" t="b">
        <v>1</v>
      </c>
      <c r="AP160">
        <f>IF(ISNUMBER(tblPeople[[#This Row],[dob]]),DATEDIF(tblPeople[[#This Row],[dob]],RunDate,"y"),"")</f>
        <v>0</v>
      </c>
      <c r="AQ160">
        <f>COUNTIFS(tblReview[person_id],tblPeople[[#This Row],[person_id]],tblReview[status],"OPEN")</f>
        <v>0</v>
      </c>
    </row>
    <row r="161" spans="1:43">
      <c r="A161" s="6" t="s">
        <v>1901</v>
      </c>
      <c r="B161" t="s">
        <v>1897</v>
      </c>
      <c r="D161" t="s">
        <v>236</v>
      </c>
      <c r="F161" t="s">
        <v>237</v>
      </c>
      <c r="H161" t="s">
        <v>238</v>
      </c>
      <c r="I161" t="s">
        <v>37</v>
      </c>
      <c r="J161" s="6" t="s">
        <v>239</v>
      </c>
      <c r="K161" t="s">
        <v>148</v>
      </c>
      <c r="L161" t="s">
        <v>149</v>
      </c>
      <c r="M161" s="3">
        <v>41723</v>
      </c>
      <c r="N161" t="b">
        <v>1</v>
      </c>
      <c r="O161" t="b">
        <v>1</v>
      </c>
      <c r="P161" t="b">
        <v>0</v>
      </c>
      <c r="Q161" t="b">
        <v>0</v>
      </c>
      <c r="R161" t="b">
        <v>0</v>
      </c>
      <c r="S161" t="b">
        <v>0</v>
      </c>
      <c r="T161" t="b">
        <v>0</v>
      </c>
      <c r="U161" t="b">
        <v>1</v>
      </c>
      <c r="V161" t="b">
        <v>0</v>
      </c>
      <c r="W161" t="b">
        <v>0</v>
      </c>
      <c r="X161" t="b">
        <v>0</v>
      </c>
      <c r="Y161" t="b">
        <v>1</v>
      </c>
      <c r="Z161" t="b">
        <v>0</v>
      </c>
      <c r="AA161" t="b">
        <v>1</v>
      </c>
      <c r="AB161" t="b">
        <v>1</v>
      </c>
      <c r="AC161" t="s">
        <v>2844</v>
      </c>
      <c r="AD161" t="b">
        <v>1</v>
      </c>
      <c r="AE161" t="b">
        <v>0</v>
      </c>
      <c r="AF161" t="b">
        <v>1</v>
      </c>
      <c r="AG161" t="b">
        <v>1</v>
      </c>
      <c r="AH161" t="b">
        <v>1</v>
      </c>
      <c r="AI161">
        <v>2</v>
      </c>
      <c r="AJ161" t="s">
        <v>2881</v>
      </c>
      <c r="AK161" t="s">
        <v>491</v>
      </c>
      <c r="AL161">
        <v>1</v>
      </c>
      <c r="AM161" t="b">
        <v>1</v>
      </c>
      <c r="AN161" t="b">
        <v>1</v>
      </c>
      <c r="AO161" t="b">
        <v>1</v>
      </c>
      <c r="AP161">
        <f>IF(ISNUMBER(tblPeople[[#This Row],[dob]]),DATEDIF(tblPeople[[#This Row],[dob]],RunDate,"y"),"")</f>
        <v>0</v>
      </c>
      <c r="AQ161">
        <f>COUNTIFS(tblReview[person_id],tblPeople[[#This Row],[person_id]],tblReview[status],"OPEN")</f>
        <v>0</v>
      </c>
    </row>
    <row r="162" spans="1:43">
      <c r="A162" s="6" t="s">
        <v>1907</v>
      </c>
      <c r="B162" t="s">
        <v>1209</v>
      </c>
      <c r="D162" t="s">
        <v>988</v>
      </c>
      <c r="F162" t="s">
        <v>1160</v>
      </c>
      <c r="H162" t="s">
        <v>1161</v>
      </c>
      <c r="I162" t="s">
        <v>33</v>
      </c>
      <c r="J162" s="6" t="s">
        <v>1162</v>
      </c>
      <c r="K162" t="s">
        <v>148</v>
      </c>
      <c r="L162" t="s">
        <v>205</v>
      </c>
      <c r="M162" s="3">
        <v>21754</v>
      </c>
      <c r="N162" t="b">
        <v>0</v>
      </c>
      <c r="O162" t="b">
        <v>1</v>
      </c>
      <c r="P162" t="b">
        <v>0</v>
      </c>
      <c r="Q162" t="b">
        <v>0</v>
      </c>
      <c r="R162" t="b">
        <v>0</v>
      </c>
      <c r="S162" t="b">
        <v>0</v>
      </c>
      <c r="T162" t="b">
        <v>0</v>
      </c>
      <c r="U162" t="b">
        <v>1</v>
      </c>
      <c r="V162" t="b">
        <v>0</v>
      </c>
      <c r="W162" t="b">
        <v>0</v>
      </c>
      <c r="X162" t="b">
        <v>0</v>
      </c>
      <c r="Y162" t="b">
        <v>1</v>
      </c>
      <c r="Z162" t="b">
        <v>0</v>
      </c>
      <c r="AA162" t="b">
        <v>1</v>
      </c>
      <c r="AB162" t="b">
        <v>0</v>
      </c>
      <c r="AC162" t="s">
        <v>2826</v>
      </c>
      <c r="AD162" t="b">
        <v>1</v>
      </c>
      <c r="AE162" t="b">
        <v>0</v>
      </c>
      <c r="AF162" t="b">
        <v>1</v>
      </c>
      <c r="AG162" t="b">
        <v>1</v>
      </c>
      <c r="AH162" t="b">
        <v>0</v>
      </c>
      <c r="AI162">
        <v>1</v>
      </c>
      <c r="AJ162" t="s">
        <v>1553</v>
      </c>
      <c r="AK162" t="s">
        <v>491</v>
      </c>
      <c r="AL162">
        <v>1</v>
      </c>
      <c r="AM162" t="b">
        <v>0</v>
      </c>
      <c r="AN162" t="b">
        <v>0</v>
      </c>
      <c r="AO162" t="b">
        <v>1</v>
      </c>
      <c r="AP162">
        <f>IF(ISNUMBER(tblPeople[[#This Row],[dob]]),DATEDIF(tblPeople[[#This Row],[dob]],RunDate,"y"),"")</f>
        <v>0</v>
      </c>
      <c r="AQ162">
        <f>COUNTIFS(tblReview[person_id],tblPeople[[#This Row],[person_id]],tblReview[status],"OPEN")</f>
        <v>0</v>
      </c>
    </row>
    <row r="163" spans="1:43">
      <c r="A163" s="6" t="s">
        <v>1924</v>
      </c>
      <c r="B163" t="s">
        <v>1286</v>
      </c>
      <c r="C163" t="s">
        <v>142</v>
      </c>
      <c r="D163" t="s">
        <v>1916</v>
      </c>
      <c r="F163" t="s">
        <v>1917</v>
      </c>
      <c r="H163" t="s">
        <v>1918</v>
      </c>
      <c r="I163" t="s">
        <v>40</v>
      </c>
      <c r="J163" s="6" t="s">
        <v>1919</v>
      </c>
      <c r="K163" t="s">
        <v>148</v>
      </c>
      <c r="L163" t="s">
        <v>205</v>
      </c>
      <c r="M163" s="3">
        <v>23729</v>
      </c>
      <c r="N163" t="b">
        <v>0</v>
      </c>
      <c r="O163" t="b">
        <v>1</v>
      </c>
      <c r="P163" t="b">
        <v>0</v>
      </c>
      <c r="Q163" t="b">
        <v>0</v>
      </c>
      <c r="R163" t="b">
        <v>0</v>
      </c>
      <c r="S163" t="b">
        <v>0</v>
      </c>
      <c r="T163" t="b">
        <v>0</v>
      </c>
      <c r="U163" t="b">
        <v>1</v>
      </c>
      <c r="V163" t="b">
        <v>0</v>
      </c>
      <c r="W163" t="b">
        <v>0</v>
      </c>
      <c r="X163" t="b">
        <v>0</v>
      </c>
      <c r="Y163" t="b">
        <v>1</v>
      </c>
      <c r="Z163" t="b">
        <v>0</v>
      </c>
      <c r="AA163" t="b">
        <v>1</v>
      </c>
      <c r="AB163" t="b">
        <v>0</v>
      </c>
      <c r="AC163" t="s">
        <v>2826</v>
      </c>
      <c r="AD163" t="b">
        <v>1</v>
      </c>
      <c r="AE163" t="b">
        <v>0</v>
      </c>
      <c r="AF163" t="b">
        <v>1</v>
      </c>
      <c r="AG163" t="b">
        <v>1</v>
      </c>
      <c r="AH163" t="b">
        <v>0</v>
      </c>
      <c r="AI163">
        <v>1</v>
      </c>
      <c r="AJ163" t="s">
        <v>1553</v>
      </c>
      <c r="AK163" t="s">
        <v>491</v>
      </c>
      <c r="AL163">
        <v>1</v>
      </c>
      <c r="AM163" t="b">
        <v>0</v>
      </c>
      <c r="AN163" t="b">
        <v>0</v>
      </c>
      <c r="AO163" t="b">
        <v>1</v>
      </c>
      <c r="AP163">
        <f>IF(ISNUMBER(tblPeople[[#This Row],[dob]]),DATEDIF(tblPeople[[#This Row],[dob]],RunDate,"y"),"")</f>
        <v>0</v>
      </c>
      <c r="AQ163">
        <f>COUNTIFS(tblReview[person_id],tblPeople[[#This Row],[person_id]],tblReview[status],"OPEN")</f>
        <v>0</v>
      </c>
    </row>
    <row r="164" spans="1:43">
      <c r="A164" s="6" t="s">
        <v>1929</v>
      </c>
      <c r="B164" t="s">
        <v>308</v>
      </c>
      <c r="C164" t="s">
        <v>299</v>
      </c>
      <c r="D164" t="s">
        <v>547</v>
      </c>
      <c r="F164" t="s">
        <v>548</v>
      </c>
      <c r="H164" t="s">
        <v>549</v>
      </c>
      <c r="I164" t="s">
        <v>33</v>
      </c>
      <c r="J164" s="6" t="s">
        <v>550</v>
      </c>
      <c r="K164" t="s">
        <v>148</v>
      </c>
      <c r="L164" t="s">
        <v>149</v>
      </c>
      <c r="M164" s="3">
        <v>39653</v>
      </c>
      <c r="N164" t="b">
        <v>0</v>
      </c>
      <c r="O164" t="b">
        <v>1</v>
      </c>
      <c r="P164" t="b">
        <v>0</v>
      </c>
      <c r="Q164" t="b">
        <v>0</v>
      </c>
      <c r="R164" t="b">
        <v>0</v>
      </c>
      <c r="S164" t="b">
        <v>0</v>
      </c>
      <c r="T164" t="b">
        <v>0</v>
      </c>
      <c r="U164" t="b">
        <v>1</v>
      </c>
      <c r="V164" t="b">
        <v>0</v>
      </c>
      <c r="W164" t="b">
        <v>0</v>
      </c>
      <c r="X164" t="b">
        <v>0</v>
      </c>
      <c r="Y164" t="b">
        <v>1</v>
      </c>
      <c r="Z164" t="b">
        <v>0</v>
      </c>
      <c r="AA164" t="b">
        <v>1</v>
      </c>
      <c r="AB164" t="b">
        <v>1</v>
      </c>
      <c r="AC164" t="s">
        <v>2844</v>
      </c>
      <c r="AD164" t="b">
        <v>1</v>
      </c>
      <c r="AE164" t="b">
        <v>0</v>
      </c>
      <c r="AF164" t="b">
        <v>1</v>
      </c>
      <c r="AG164" t="b">
        <v>1</v>
      </c>
      <c r="AH164" t="b">
        <v>1</v>
      </c>
      <c r="AI164">
        <v>2</v>
      </c>
      <c r="AJ164" t="s">
        <v>2881</v>
      </c>
      <c r="AK164" t="s">
        <v>491</v>
      </c>
      <c r="AL164">
        <v>1</v>
      </c>
      <c r="AM164" t="b">
        <v>1</v>
      </c>
      <c r="AN164" t="b">
        <v>1</v>
      </c>
      <c r="AO164" t="b">
        <v>1</v>
      </c>
      <c r="AP164">
        <f>IF(ISNUMBER(tblPeople[[#This Row],[dob]]),DATEDIF(tblPeople[[#This Row],[dob]],RunDate,"y"),"")</f>
        <v>0</v>
      </c>
      <c r="AQ164">
        <f>COUNTIFS(tblReview[person_id],tblPeople[[#This Row],[person_id]],tblReview[status],"OPEN")</f>
        <v>0</v>
      </c>
    </row>
    <row r="165" spans="1:43">
      <c r="A165" s="6" t="s">
        <v>2050</v>
      </c>
      <c r="B165" t="s">
        <v>678</v>
      </c>
      <c r="C165" t="s">
        <v>212</v>
      </c>
      <c r="D165" t="s">
        <v>2042</v>
      </c>
      <c r="F165" t="s">
        <v>2043</v>
      </c>
      <c r="H165" t="s">
        <v>2044</v>
      </c>
      <c r="I165" t="s">
        <v>37</v>
      </c>
      <c r="J165" s="6" t="s">
        <v>2045</v>
      </c>
      <c r="K165" t="s">
        <v>148</v>
      </c>
      <c r="L165" t="s">
        <v>205</v>
      </c>
      <c r="M165" s="3">
        <v>40571</v>
      </c>
      <c r="N165" t="b">
        <v>1</v>
      </c>
      <c r="O165" t="b">
        <v>0</v>
      </c>
      <c r="P165" t="b">
        <v>0</v>
      </c>
      <c r="Q165" t="b">
        <v>0</v>
      </c>
      <c r="R165" t="b">
        <v>0</v>
      </c>
      <c r="S165" t="b">
        <v>0</v>
      </c>
      <c r="T165" t="b">
        <v>0</v>
      </c>
      <c r="U165" t="b">
        <v>0</v>
      </c>
      <c r="V165" t="b">
        <v>0</v>
      </c>
      <c r="W165" t="b">
        <v>0</v>
      </c>
      <c r="X165" t="b">
        <v>0</v>
      </c>
      <c r="Y165" t="b">
        <v>0</v>
      </c>
      <c r="Z165" t="b">
        <v>0</v>
      </c>
      <c r="AA165" t="b">
        <v>1</v>
      </c>
      <c r="AB165" t="b">
        <v>1</v>
      </c>
      <c r="AC165" t="s">
        <v>2882</v>
      </c>
      <c r="AD165" t="b">
        <v>0</v>
      </c>
      <c r="AE165" t="b">
        <v>0</v>
      </c>
      <c r="AF165" t="b">
        <v>0</v>
      </c>
      <c r="AG165" t="b">
        <v>0</v>
      </c>
      <c r="AH165" t="b">
        <v>1</v>
      </c>
      <c r="AI165">
        <v>1</v>
      </c>
      <c r="AJ165" t="s">
        <v>2039</v>
      </c>
      <c r="AK165" t="s">
        <v>491</v>
      </c>
      <c r="AL165">
        <v>1</v>
      </c>
      <c r="AM165" t="b">
        <v>1</v>
      </c>
      <c r="AN165" t="b">
        <v>0</v>
      </c>
      <c r="AO165" t="b">
        <v>0</v>
      </c>
      <c r="AP165">
        <f>IF(ISNUMBER(tblPeople[[#This Row],[dob]]),DATEDIF(tblPeople[[#This Row],[dob]],RunDate,"y"),"")</f>
        <v>0</v>
      </c>
      <c r="AQ165">
        <f>COUNTIFS(tblReview[person_id],tblPeople[[#This Row],[person_id]],tblReview[status],"OPEN")</f>
        <v>0</v>
      </c>
    </row>
    <row r="166" spans="1:43">
      <c r="A166" s="6" t="s">
        <v>2056</v>
      </c>
      <c r="B166" t="s">
        <v>2053</v>
      </c>
      <c r="D166" t="s">
        <v>2042</v>
      </c>
      <c r="F166" t="s">
        <v>2043</v>
      </c>
      <c r="H166" t="s">
        <v>2044</v>
      </c>
      <c r="I166" t="s">
        <v>37</v>
      </c>
      <c r="J166" s="6" t="s">
        <v>2045</v>
      </c>
      <c r="K166" t="s">
        <v>148</v>
      </c>
      <c r="L166" t="s">
        <v>205</v>
      </c>
      <c r="M166" s="3"/>
      <c r="N166" t="b">
        <v>0</v>
      </c>
      <c r="O166" t="b">
        <v>0</v>
      </c>
      <c r="P166" t="b">
        <v>0</v>
      </c>
      <c r="Q166" t="b">
        <v>0</v>
      </c>
      <c r="R166" t="b">
        <v>0</v>
      </c>
      <c r="S166" t="b">
        <v>0</v>
      </c>
      <c r="T166" t="b">
        <v>0</v>
      </c>
      <c r="U166" t="b">
        <v>0</v>
      </c>
      <c r="V166" t="b">
        <v>0</v>
      </c>
      <c r="W166" t="b">
        <v>0</v>
      </c>
      <c r="X166" t="b">
        <v>0</v>
      </c>
      <c r="Y166" t="b">
        <v>0</v>
      </c>
      <c r="Z166" t="b">
        <v>0</v>
      </c>
      <c r="AA166" t="b">
        <v>0</v>
      </c>
      <c r="AB166" t="b">
        <v>0</v>
      </c>
      <c r="AD166" t="b">
        <v>0</v>
      </c>
      <c r="AE166" t="b">
        <v>0</v>
      </c>
      <c r="AF166" t="b">
        <v>0</v>
      </c>
      <c r="AG166" t="b">
        <v>0</v>
      </c>
      <c r="AH166" t="b">
        <v>0</v>
      </c>
      <c r="AI166">
        <v>1</v>
      </c>
      <c r="AJ166" t="s">
        <v>2039</v>
      </c>
      <c r="AK166" t="s">
        <v>491</v>
      </c>
      <c r="AL166">
        <v>1</v>
      </c>
      <c r="AM166" t="b">
        <v>0</v>
      </c>
      <c r="AN166" t="b">
        <v>0</v>
      </c>
      <c r="AO166" t="b">
        <v>0</v>
      </c>
      <c r="AP166">
        <f>IF(ISNUMBER(tblPeople[[#This Row],[dob]]),DATEDIF(tblPeople[[#This Row],[dob]],RunDate,"y"),"")</f>
        <v>0</v>
      </c>
      <c r="AQ166">
        <f>COUNTIFS(tblReview[person_id],tblPeople[[#This Row],[person_id]],tblReview[status],"OPEN")</f>
        <v>0</v>
      </c>
    </row>
    <row r="167" spans="1:43">
      <c r="A167" s="6" t="s">
        <v>2062</v>
      </c>
      <c r="B167" t="s">
        <v>356</v>
      </c>
      <c r="C167" t="s">
        <v>1639</v>
      </c>
      <c r="D167" t="s">
        <v>2058</v>
      </c>
      <c r="F167" t="s">
        <v>2059</v>
      </c>
      <c r="H167" t="s">
        <v>471</v>
      </c>
      <c r="I167" t="s">
        <v>38</v>
      </c>
      <c r="J167" s="6" t="s">
        <v>2060</v>
      </c>
      <c r="K167" t="s">
        <v>148</v>
      </c>
      <c r="L167" t="s">
        <v>205</v>
      </c>
      <c r="M167" s="3">
        <v>41303</v>
      </c>
      <c r="N167" t="b">
        <v>1</v>
      </c>
      <c r="O167" t="b">
        <v>0</v>
      </c>
      <c r="P167" t="b">
        <v>0</v>
      </c>
      <c r="Q167" t="b">
        <v>0</v>
      </c>
      <c r="R167" t="b">
        <v>0</v>
      </c>
      <c r="S167" t="b">
        <v>0</v>
      </c>
      <c r="T167" t="b">
        <v>0</v>
      </c>
      <c r="U167" t="b">
        <v>0</v>
      </c>
      <c r="V167" t="b">
        <v>0</v>
      </c>
      <c r="W167" t="b">
        <v>0</v>
      </c>
      <c r="X167" t="b">
        <v>0</v>
      </c>
      <c r="Y167" t="b">
        <v>0</v>
      </c>
      <c r="Z167" t="b">
        <v>0</v>
      </c>
      <c r="AA167" t="b">
        <v>1</v>
      </c>
      <c r="AB167" t="b">
        <v>1</v>
      </c>
      <c r="AC167" t="s">
        <v>2882</v>
      </c>
      <c r="AD167" t="b">
        <v>0</v>
      </c>
      <c r="AE167" t="b">
        <v>0</v>
      </c>
      <c r="AF167" t="b">
        <v>0</v>
      </c>
      <c r="AG167" t="b">
        <v>0</v>
      </c>
      <c r="AH167" t="b">
        <v>1</v>
      </c>
      <c r="AI167">
        <v>1</v>
      </c>
      <c r="AJ167" t="s">
        <v>2039</v>
      </c>
      <c r="AK167" t="s">
        <v>491</v>
      </c>
      <c r="AL167">
        <v>1</v>
      </c>
      <c r="AM167" t="b">
        <v>1</v>
      </c>
      <c r="AN167" t="b">
        <v>0</v>
      </c>
      <c r="AO167" t="b">
        <v>0</v>
      </c>
      <c r="AP167">
        <f>IF(ISNUMBER(tblPeople[[#This Row],[dob]]),DATEDIF(tblPeople[[#This Row],[dob]],RunDate,"y"),"")</f>
        <v>0</v>
      </c>
      <c r="AQ167">
        <f>COUNTIFS(tblReview[person_id],tblPeople[[#This Row],[person_id]],tblReview[status],"OPEN")</f>
        <v>0</v>
      </c>
    </row>
    <row r="168" spans="1:43">
      <c r="A168" s="6" t="s">
        <v>2066</v>
      </c>
      <c r="B168" t="s">
        <v>2064</v>
      </c>
      <c r="D168" t="s">
        <v>2058</v>
      </c>
      <c r="F168" t="s">
        <v>2059</v>
      </c>
      <c r="H168" t="s">
        <v>471</v>
      </c>
      <c r="I168" t="s">
        <v>38</v>
      </c>
      <c r="J168" s="6" t="s">
        <v>2060</v>
      </c>
      <c r="K168" t="s">
        <v>148</v>
      </c>
      <c r="L168" t="s">
        <v>205</v>
      </c>
      <c r="M168" s="3"/>
      <c r="N168" t="b">
        <v>0</v>
      </c>
      <c r="O168" t="b">
        <v>0</v>
      </c>
      <c r="P168" t="b">
        <v>0</v>
      </c>
      <c r="Q168" t="b">
        <v>0</v>
      </c>
      <c r="R168" t="b">
        <v>0</v>
      </c>
      <c r="S168" t="b">
        <v>0</v>
      </c>
      <c r="T168" t="b">
        <v>0</v>
      </c>
      <c r="U168" t="b">
        <v>0</v>
      </c>
      <c r="V168" t="b">
        <v>0</v>
      </c>
      <c r="W168" t="b">
        <v>0</v>
      </c>
      <c r="X168" t="b">
        <v>0</v>
      </c>
      <c r="Y168" t="b">
        <v>0</v>
      </c>
      <c r="Z168" t="b">
        <v>0</v>
      </c>
      <c r="AA168" t="b">
        <v>0</v>
      </c>
      <c r="AB168" t="b">
        <v>0</v>
      </c>
      <c r="AD168" t="b">
        <v>0</v>
      </c>
      <c r="AE168" t="b">
        <v>0</v>
      </c>
      <c r="AF168" t="b">
        <v>0</v>
      </c>
      <c r="AG168" t="b">
        <v>0</v>
      </c>
      <c r="AH168" t="b">
        <v>0</v>
      </c>
      <c r="AI168">
        <v>1</v>
      </c>
      <c r="AJ168" t="s">
        <v>2039</v>
      </c>
      <c r="AK168" t="s">
        <v>491</v>
      </c>
      <c r="AL168">
        <v>1</v>
      </c>
      <c r="AM168" t="b">
        <v>0</v>
      </c>
      <c r="AN168" t="b">
        <v>0</v>
      </c>
      <c r="AO168" t="b">
        <v>0</v>
      </c>
      <c r="AP168">
        <f>IF(ISNUMBER(tblPeople[[#This Row],[dob]]),DATEDIF(tblPeople[[#This Row],[dob]],RunDate,"y"),"")</f>
        <v>0</v>
      </c>
      <c r="AQ168">
        <f>COUNTIFS(tblReview[person_id],tblPeople[[#This Row],[person_id]],tblReview[status],"OPEN")</f>
        <v>0</v>
      </c>
    </row>
    <row r="169" spans="1:43">
      <c r="A169" s="6" t="s">
        <v>2073</v>
      </c>
      <c r="B169" t="s">
        <v>507</v>
      </c>
      <c r="D169" t="s">
        <v>508</v>
      </c>
      <c r="F169" t="s">
        <v>509</v>
      </c>
      <c r="H169" t="s">
        <v>510</v>
      </c>
      <c r="I169" t="s">
        <v>37</v>
      </c>
      <c r="J169" s="6" t="s">
        <v>511</v>
      </c>
      <c r="K169" t="s">
        <v>148</v>
      </c>
      <c r="L169" t="s">
        <v>149</v>
      </c>
      <c r="M169" s="3"/>
      <c r="N169" t="b">
        <v>0</v>
      </c>
      <c r="O169" t="b">
        <v>0</v>
      </c>
      <c r="P169" t="b">
        <v>0</v>
      </c>
      <c r="Q169" t="b">
        <v>0</v>
      </c>
      <c r="R169" t="b">
        <v>0</v>
      </c>
      <c r="S169" t="b">
        <v>0</v>
      </c>
      <c r="T169" t="b">
        <v>0</v>
      </c>
      <c r="U169" t="b">
        <v>0</v>
      </c>
      <c r="V169" t="b">
        <v>0</v>
      </c>
      <c r="W169" t="b">
        <v>0</v>
      </c>
      <c r="X169" t="b">
        <v>0</v>
      </c>
      <c r="Y169" t="b">
        <v>0</v>
      </c>
      <c r="Z169" t="b">
        <v>0</v>
      </c>
      <c r="AA169" t="b">
        <v>0</v>
      </c>
      <c r="AB169" t="b">
        <v>0</v>
      </c>
      <c r="AD169" t="b">
        <v>0</v>
      </c>
      <c r="AE169" t="b">
        <v>0</v>
      </c>
      <c r="AF169" t="b">
        <v>0</v>
      </c>
      <c r="AG169" t="b">
        <v>0</v>
      </c>
      <c r="AH169" t="b">
        <v>0</v>
      </c>
      <c r="AI169">
        <v>1</v>
      </c>
      <c r="AJ169" t="s">
        <v>2039</v>
      </c>
      <c r="AK169" t="s">
        <v>491</v>
      </c>
      <c r="AL169">
        <v>1</v>
      </c>
      <c r="AM169" t="b">
        <v>0</v>
      </c>
      <c r="AN169" t="b">
        <v>1</v>
      </c>
      <c r="AO169" t="b">
        <v>0</v>
      </c>
      <c r="AP169">
        <f>IF(ISNUMBER(tblPeople[[#This Row],[dob]]),DATEDIF(tblPeople[[#This Row],[dob]],RunDate,"y"),"")</f>
        <v>0</v>
      </c>
      <c r="AQ169">
        <f>COUNTIFS(tblReview[person_id],tblPeople[[#This Row],[person_id]],tblReview[status],"OPEN")</f>
        <v>0</v>
      </c>
    </row>
    <row r="170" spans="1:43">
      <c r="A170" s="6" t="s">
        <v>2080</v>
      </c>
      <c r="B170" t="s">
        <v>2075</v>
      </c>
      <c r="C170" t="s">
        <v>235</v>
      </c>
      <c r="D170" t="s">
        <v>143</v>
      </c>
      <c r="F170" t="s">
        <v>2076</v>
      </c>
      <c r="H170" t="s">
        <v>2077</v>
      </c>
      <c r="I170" t="s">
        <v>38</v>
      </c>
      <c r="J170" s="6" t="s">
        <v>2078</v>
      </c>
      <c r="K170" t="s">
        <v>148</v>
      </c>
      <c r="L170" t="s">
        <v>205</v>
      </c>
      <c r="M170" s="3">
        <v>41144</v>
      </c>
      <c r="N170" t="b">
        <v>1</v>
      </c>
      <c r="O170" t="b">
        <v>0</v>
      </c>
      <c r="P170" t="b">
        <v>0</v>
      </c>
      <c r="Q170" t="b">
        <v>0</v>
      </c>
      <c r="R170" t="b">
        <v>0</v>
      </c>
      <c r="S170" t="b">
        <v>0</v>
      </c>
      <c r="T170" t="b">
        <v>0</v>
      </c>
      <c r="U170" t="b">
        <v>0</v>
      </c>
      <c r="V170" t="b">
        <v>0</v>
      </c>
      <c r="W170" t="b">
        <v>0</v>
      </c>
      <c r="X170" t="b">
        <v>0</v>
      </c>
      <c r="Y170" t="b">
        <v>0</v>
      </c>
      <c r="Z170" t="b">
        <v>0</v>
      </c>
      <c r="AA170" t="b">
        <v>1</v>
      </c>
      <c r="AB170" t="b">
        <v>1</v>
      </c>
      <c r="AC170" t="s">
        <v>2882</v>
      </c>
      <c r="AD170" t="b">
        <v>0</v>
      </c>
      <c r="AE170" t="b">
        <v>0</v>
      </c>
      <c r="AF170" t="b">
        <v>0</v>
      </c>
      <c r="AG170" t="b">
        <v>0</v>
      </c>
      <c r="AH170" t="b">
        <v>1</v>
      </c>
      <c r="AI170">
        <v>1</v>
      </c>
      <c r="AJ170" t="s">
        <v>2039</v>
      </c>
      <c r="AK170" t="s">
        <v>491</v>
      </c>
      <c r="AL170">
        <v>1</v>
      </c>
      <c r="AM170" t="b">
        <v>1</v>
      </c>
      <c r="AN170" t="b">
        <v>0</v>
      </c>
      <c r="AO170" t="b">
        <v>0</v>
      </c>
      <c r="AP170">
        <f>IF(ISNUMBER(tblPeople[[#This Row],[dob]]),DATEDIF(tblPeople[[#This Row],[dob]],RunDate,"y"),"")</f>
        <v>0</v>
      </c>
      <c r="AQ170">
        <f>COUNTIFS(tblReview[person_id],tblPeople[[#This Row],[person_id]],tblReview[status],"OPEN")</f>
        <v>0</v>
      </c>
    </row>
    <row r="171" spans="1:43">
      <c r="A171" s="6" t="s">
        <v>2083</v>
      </c>
      <c r="B171" t="s">
        <v>1007</v>
      </c>
      <c r="D171" t="s">
        <v>143</v>
      </c>
      <c r="F171" t="s">
        <v>2076</v>
      </c>
      <c r="H171" t="s">
        <v>2077</v>
      </c>
      <c r="I171" t="s">
        <v>38</v>
      </c>
      <c r="J171" s="6" t="s">
        <v>2078</v>
      </c>
      <c r="K171" t="s">
        <v>148</v>
      </c>
      <c r="L171" t="s">
        <v>205</v>
      </c>
      <c r="M171" s="3"/>
      <c r="N171" t="b">
        <v>0</v>
      </c>
      <c r="O171" t="b">
        <v>0</v>
      </c>
      <c r="P171" t="b">
        <v>0</v>
      </c>
      <c r="Q171" t="b">
        <v>0</v>
      </c>
      <c r="R171" t="b">
        <v>0</v>
      </c>
      <c r="S171" t="b">
        <v>0</v>
      </c>
      <c r="T171" t="b">
        <v>0</v>
      </c>
      <c r="U171" t="b">
        <v>0</v>
      </c>
      <c r="V171" t="b">
        <v>0</v>
      </c>
      <c r="W171" t="b">
        <v>0</v>
      </c>
      <c r="X171" t="b">
        <v>0</v>
      </c>
      <c r="Y171" t="b">
        <v>0</v>
      </c>
      <c r="Z171" t="b">
        <v>0</v>
      </c>
      <c r="AA171" t="b">
        <v>0</v>
      </c>
      <c r="AB171" t="b">
        <v>0</v>
      </c>
      <c r="AD171" t="b">
        <v>0</v>
      </c>
      <c r="AE171" t="b">
        <v>0</v>
      </c>
      <c r="AF171" t="b">
        <v>0</v>
      </c>
      <c r="AG171" t="b">
        <v>0</v>
      </c>
      <c r="AH171" t="b">
        <v>0</v>
      </c>
      <c r="AI171">
        <v>1</v>
      </c>
      <c r="AJ171" t="s">
        <v>2039</v>
      </c>
      <c r="AK171" t="s">
        <v>491</v>
      </c>
      <c r="AL171">
        <v>1</v>
      </c>
      <c r="AM171" t="b">
        <v>0</v>
      </c>
      <c r="AN171" t="b">
        <v>1</v>
      </c>
      <c r="AO171" t="b">
        <v>0</v>
      </c>
      <c r="AP171">
        <f>IF(ISNUMBER(tblPeople[[#This Row],[dob]]),DATEDIF(tblPeople[[#This Row],[dob]],RunDate,"y"),"")</f>
        <v>0</v>
      </c>
      <c r="AQ171">
        <f>COUNTIFS(tblReview[person_id],tblPeople[[#This Row],[person_id]],tblReview[status],"OPEN")</f>
        <v>0</v>
      </c>
    </row>
    <row r="172" spans="1:43">
      <c r="A172" s="6" t="s">
        <v>2088</v>
      </c>
      <c r="B172" t="s">
        <v>1324</v>
      </c>
      <c r="C172" t="s">
        <v>142</v>
      </c>
      <c r="D172" t="s">
        <v>2085</v>
      </c>
      <c r="F172" t="s">
        <v>333</v>
      </c>
      <c r="H172" t="s">
        <v>334</v>
      </c>
      <c r="I172" t="s">
        <v>33</v>
      </c>
      <c r="J172" s="6" t="s">
        <v>335</v>
      </c>
      <c r="K172" t="s">
        <v>148</v>
      </c>
      <c r="L172" t="s">
        <v>149</v>
      </c>
      <c r="M172" s="3">
        <v>41651</v>
      </c>
      <c r="N172" t="b">
        <v>1</v>
      </c>
      <c r="O172" t="b">
        <v>0</v>
      </c>
      <c r="P172" t="b">
        <v>0</v>
      </c>
      <c r="Q172" t="b">
        <v>0</v>
      </c>
      <c r="R172" t="b">
        <v>0</v>
      </c>
      <c r="S172" t="b">
        <v>0</v>
      </c>
      <c r="T172" t="b">
        <v>0</v>
      </c>
      <c r="U172" t="b">
        <v>0</v>
      </c>
      <c r="V172" t="b">
        <v>0</v>
      </c>
      <c r="W172" t="b">
        <v>0</v>
      </c>
      <c r="X172" t="b">
        <v>0</v>
      </c>
      <c r="Y172" t="b">
        <v>0</v>
      </c>
      <c r="Z172" t="b">
        <v>0</v>
      </c>
      <c r="AA172" t="b">
        <v>1</v>
      </c>
      <c r="AB172" t="b">
        <v>1</v>
      </c>
      <c r="AC172" t="s">
        <v>2882</v>
      </c>
      <c r="AD172" t="b">
        <v>0</v>
      </c>
      <c r="AE172" t="b">
        <v>0</v>
      </c>
      <c r="AF172" t="b">
        <v>0</v>
      </c>
      <c r="AG172" t="b">
        <v>0</v>
      </c>
      <c r="AH172" t="b">
        <v>1</v>
      </c>
      <c r="AI172">
        <v>1</v>
      </c>
      <c r="AJ172" t="s">
        <v>2039</v>
      </c>
      <c r="AK172" t="s">
        <v>491</v>
      </c>
      <c r="AL172">
        <v>1</v>
      </c>
      <c r="AM172" t="b">
        <v>1</v>
      </c>
      <c r="AN172" t="b">
        <v>0</v>
      </c>
      <c r="AO172" t="b">
        <v>0</v>
      </c>
      <c r="AP172">
        <f>IF(ISNUMBER(tblPeople[[#This Row],[dob]]),DATEDIF(tblPeople[[#This Row],[dob]],RunDate,"y"),"")</f>
        <v>0</v>
      </c>
      <c r="AQ172">
        <f>COUNTIFS(tblReview[person_id],tblPeople[[#This Row],[person_id]],tblReview[status],"OPEN")</f>
        <v>0</v>
      </c>
    </row>
    <row r="173" spans="1:43">
      <c r="A173" s="6" t="s">
        <v>2091</v>
      </c>
      <c r="B173" t="s">
        <v>1390</v>
      </c>
      <c r="D173" t="s">
        <v>2085</v>
      </c>
      <c r="F173" t="s">
        <v>333</v>
      </c>
      <c r="H173" t="s">
        <v>334</v>
      </c>
      <c r="I173" t="s">
        <v>33</v>
      </c>
      <c r="J173" s="6" t="s">
        <v>335</v>
      </c>
      <c r="K173" t="s">
        <v>148</v>
      </c>
      <c r="L173" t="s">
        <v>149</v>
      </c>
      <c r="M173" s="3"/>
      <c r="N173" t="b">
        <v>0</v>
      </c>
      <c r="O173" t="b">
        <v>0</v>
      </c>
      <c r="P173" t="b">
        <v>0</v>
      </c>
      <c r="Q173" t="b">
        <v>0</v>
      </c>
      <c r="R173" t="b">
        <v>0</v>
      </c>
      <c r="S173" t="b">
        <v>0</v>
      </c>
      <c r="T173" t="b">
        <v>0</v>
      </c>
      <c r="U173" t="b">
        <v>0</v>
      </c>
      <c r="V173" t="b">
        <v>0</v>
      </c>
      <c r="W173" t="b">
        <v>0</v>
      </c>
      <c r="X173" t="b">
        <v>0</v>
      </c>
      <c r="Y173" t="b">
        <v>0</v>
      </c>
      <c r="Z173" t="b">
        <v>0</v>
      </c>
      <c r="AA173" t="b">
        <v>0</v>
      </c>
      <c r="AB173" t="b">
        <v>0</v>
      </c>
      <c r="AD173" t="b">
        <v>0</v>
      </c>
      <c r="AE173" t="b">
        <v>0</v>
      </c>
      <c r="AF173" t="b">
        <v>0</v>
      </c>
      <c r="AG173" t="b">
        <v>0</v>
      </c>
      <c r="AH173" t="b">
        <v>0</v>
      </c>
      <c r="AI173">
        <v>1</v>
      </c>
      <c r="AJ173" t="s">
        <v>2039</v>
      </c>
      <c r="AK173" t="s">
        <v>491</v>
      </c>
      <c r="AL173">
        <v>1</v>
      </c>
      <c r="AM173" t="b">
        <v>0</v>
      </c>
      <c r="AN173" t="b">
        <v>0</v>
      </c>
      <c r="AO173" t="b">
        <v>0</v>
      </c>
      <c r="AP173">
        <f>IF(ISNUMBER(tblPeople[[#This Row],[dob]]),DATEDIF(tblPeople[[#This Row],[dob]],RunDate,"y"),"")</f>
        <v>0</v>
      </c>
      <c r="AQ173">
        <f>COUNTIFS(tblReview[person_id],tblPeople[[#This Row],[person_id]],tblReview[status],"OPEN")</f>
        <v>0</v>
      </c>
    </row>
    <row r="174" spans="1:43">
      <c r="A174" s="6" t="s">
        <v>2095</v>
      </c>
      <c r="B174" t="s">
        <v>266</v>
      </c>
      <c r="D174" t="s">
        <v>268</v>
      </c>
      <c r="F174" t="s">
        <v>269</v>
      </c>
      <c r="H174" t="s">
        <v>636</v>
      </c>
      <c r="I174" t="s">
        <v>33</v>
      </c>
      <c r="J174" s="6" t="s">
        <v>271</v>
      </c>
      <c r="K174" t="s">
        <v>148</v>
      </c>
      <c r="L174" t="s">
        <v>149</v>
      </c>
      <c r="M174" s="3"/>
      <c r="N174" t="b">
        <v>0</v>
      </c>
      <c r="O174" t="b">
        <v>0</v>
      </c>
      <c r="P174" t="b">
        <v>0</v>
      </c>
      <c r="Q174" t="b">
        <v>0</v>
      </c>
      <c r="R174" t="b">
        <v>0</v>
      </c>
      <c r="S174" t="b">
        <v>0</v>
      </c>
      <c r="T174" t="b">
        <v>0</v>
      </c>
      <c r="U174" t="b">
        <v>0</v>
      </c>
      <c r="V174" t="b">
        <v>0</v>
      </c>
      <c r="W174" t="b">
        <v>0</v>
      </c>
      <c r="X174" t="b">
        <v>0</v>
      </c>
      <c r="Y174" t="b">
        <v>0</v>
      </c>
      <c r="Z174" t="b">
        <v>0</v>
      </c>
      <c r="AA174" t="b">
        <v>0</v>
      </c>
      <c r="AB174" t="b">
        <v>0</v>
      </c>
      <c r="AD174" t="b">
        <v>0</v>
      </c>
      <c r="AE174" t="b">
        <v>0</v>
      </c>
      <c r="AF174" t="b">
        <v>0</v>
      </c>
      <c r="AG174" t="b">
        <v>0</v>
      </c>
      <c r="AH174" t="b">
        <v>0</v>
      </c>
      <c r="AI174">
        <v>1</v>
      </c>
      <c r="AJ174" t="s">
        <v>2039</v>
      </c>
      <c r="AK174" t="s">
        <v>491</v>
      </c>
      <c r="AL174">
        <v>1</v>
      </c>
      <c r="AM174" t="b">
        <v>0</v>
      </c>
      <c r="AN174" t="b">
        <v>1</v>
      </c>
      <c r="AO174" t="b">
        <v>0</v>
      </c>
      <c r="AP174">
        <f>IF(ISNUMBER(tblPeople[[#This Row],[dob]]),DATEDIF(tblPeople[[#This Row],[dob]],RunDate,"y"),"")</f>
        <v>0</v>
      </c>
      <c r="AQ174">
        <f>COUNTIFS(tblReview[person_id],tblPeople[[#This Row],[person_id]],tblReview[status],"OPEN")</f>
        <v>0</v>
      </c>
    </row>
    <row r="175" spans="1:43">
      <c r="A175" s="6" t="s">
        <v>2101</v>
      </c>
      <c r="B175" t="s">
        <v>1324</v>
      </c>
      <c r="D175" t="s">
        <v>547</v>
      </c>
      <c r="F175" t="s">
        <v>1325</v>
      </c>
      <c r="H175" t="s">
        <v>1326</v>
      </c>
      <c r="I175" t="s">
        <v>36</v>
      </c>
      <c r="J175" s="6" t="s">
        <v>1327</v>
      </c>
      <c r="K175" t="s">
        <v>148</v>
      </c>
      <c r="L175" t="s">
        <v>149</v>
      </c>
      <c r="M175" s="3"/>
      <c r="N175" t="b">
        <v>0</v>
      </c>
      <c r="O175" t="b">
        <v>0</v>
      </c>
      <c r="P175" t="b">
        <v>0</v>
      </c>
      <c r="Q175" t="b">
        <v>0</v>
      </c>
      <c r="R175" t="b">
        <v>0</v>
      </c>
      <c r="S175" t="b">
        <v>0</v>
      </c>
      <c r="T175" t="b">
        <v>0</v>
      </c>
      <c r="U175" t="b">
        <v>0</v>
      </c>
      <c r="V175" t="b">
        <v>0</v>
      </c>
      <c r="W175" t="b">
        <v>0</v>
      </c>
      <c r="X175" t="b">
        <v>0</v>
      </c>
      <c r="Y175" t="b">
        <v>0</v>
      </c>
      <c r="Z175" t="b">
        <v>0</v>
      </c>
      <c r="AA175" t="b">
        <v>0</v>
      </c>
      <c r="AB175" t="b">
        <v>0</v>
      </c>
      <c r="AD175" t="b">
        <v>0</v>
      </c>
      <c r="AE175" t="b">
        <v>0</v>
      </c>
      <c r="AF175" t="b">
        <v>0</v>
      </c>
      <c r="AG175" t="b">
        <v>0</v>
      </c>
      <c r="AH175" t="b">
        <v>0</v>
      </c>
      <c r="AI175">
        <v>1</v>
      </c>
      <c r="AJ175" t="s">
        <v>2039</v>
      </c>
      <c r="AK175" t="s">
        <v>491</v>
      </c>
      <c r="AL175">
        <v>1</v>
      </c>
      <c r="AM175" t="b">
        <v>0</v>
      </c>
      <c r="AN175" t="b">
        <v>1</v>
      </c>
      <c r="AO175" t="b">
        <v>0</v>
      </c>
      <c r="AP175">
        <f>IF(ISNUMBER(tblPeople[[#This Row],[dob]]),DATEDIF(tblPeople[[#This Row],[dob]],RunDate,"y"),"")</f>
        <v>0</v>
      </c>
      <c r="AQ175">
        <f>COUNTIFS(tblReview[person_id],tblPeople[[#This Row],[person_id]],tblReview[status],"OPEN")</f>
        <v>0</v>
      </c>
    </row>
    <row r="176" spans="1:43">
      <c r="A176" s="6" t="s">
        <v>2108</v>
      </c>
      <c r="B176" t="s">
        <v>1421</v>
      </c>
      <c r="C176" t="s">
        <v>142</v>
      </c>
      <c r="D176" t="s">
        <v>2103</v>
      </c>
      <c r="F176" t="s">
        <v>2104</v>
      </c>
      <c r="H176" t="s">
        <v>2105</v>
      </c>
      <c r="I176" t="s">
        <v>39</v>
      </c>
      <c r="J176" s="6" t="s">
        <v>2106</v>
      </c>
      <c r="K176" t="s">
        <v>148</v>
      </c>
      <c r="L176" t="s">
        <v>205</v>
      </c>
      <c r="M176" s="3">
        <v>41010</v>
      </c>
      <c r="N176" t="b">
        <v>1</v>
      </c>
      <c r="O176" t="b">
        <v>0</v>
      </c>
      <c r="P176" t="b">
        <v>0</v>
      </c>
      <c r="Q176" t="b">
        <v>0</v>
      </c>
      <c r="R176" t="b">
        <v>0</v>
      </c>
      <c r="S176" t="b">
        <v>0</v>
      </c>
      <c r="T176" t="b">
        <v>0</v>
      </c>
      <c r="U176" t="b">
        <v>0</v>
      </c>
      <c r="V176" t="b">
        <v>0</v>
      </c>
      <c r="W176" t="b">
        <v>0</v>
      </c>
      <c r="X176" t="b">
        <v>0</v>
      </c>
      <c r="Y176" t="b">
        <v>0</v>
      </c>
      <c r="Z176" t="b">
        <v>0</v>
      </c>
      <c r="AA176" t="b">
        <v>1</v>
      </c>
      <c r="AB176" t="b">
        <v>1</v>
      </c>
      <c r="AC176" t="s">
        <v>2882</v>
      </c>
      <c r="AD176" t="b">
        <v>0</v>
      </c>
      <c r="AE176" t="b">
        <v>0</v>
      </c>
      <c r="AF176" t="b">
        <v>0</v>
      </c>
      <c r="AG176" t="b">
        <v>0</v>
      </c>
      <c r="AH176" t="b">
        <v>1</v>
      </c>
      <c r="AI176">
        <v>1</v>
      </c>
      <c r="AJ176" t="s">
        <v>2039</v>
      </c>
      <c r="AK176" t="s">
        <v>491</v>
      </c>
      <c r="AL176">
        <v>1</v>
      </c>
      <c r="AM176" t="b">
        <v>1</v>
      </c>
      <c r="AN176" t="b">
        <v>0</v>
      </c>
      <c r="AO176" t="b">
        <v>0</v>
      </c>
      <c r="AP176">
        <f>IF(ISNUMBER(tblPeople[[#This Row],[dob]]),DATEDIF(tblPeople[[#This Row],[dob]],RunDate,"y"),"")</f>
        <v>0</v>
      </c>
      <c r="AQ176">
        <f>COUNTIFS(tblReview[person_id],tblPeople[[#This Row],[person_id]],tblReview[status],"OPEN")</f>
        <v>0</v>
      </c>
    </row>
    <row r="177" spans="1:43">
      <c r="A177" s="6" t="s">
        <v>2111</v>
      </c>
      <c r="B177" t="s">
        <v>1622</v>
      </c>
      <c r="D177" t="s">
        <v>2103</v>
      </c>
      <c r="F177" t="s">
        <v>2104</v>
      </c>
      <c r="H177" t="s">
        <v>2105</v>
      </c>
      <c r="I177" t="s">
        <v>39</v>
      </c>
      <c r="J177" s="6" t="s">
        <v>2106</v>
      </c>
      <c r="K177" t="s">
        <v>148</v>
      </c>
      <c r="L177" t="s">
        <v>205</v>
      </c>
      <c r="M177" s="3"/>
      <c r="N177" t="b">
        <v>0</v>
      </c>
      <c r="O177" t="b">
        <v>0</v>
      </c>
      <c r="P177" t="b">
        <v>0</v>
      </c>
      <c r="Q177" t="b">
        <v>0</v>
      </c>
      <c r="R177" t="b">
        <v>0</v>
      </c>
      <c r="S177" t="b">
        <v>0</v>
      </c>
      <c r="T177" t="b">
        <v>0</v>
      </c>
      <c r="U177" t="b">
        <v>0</v>
      </c>
      <c r="V177" t="b">
        <v>0</v>
      </c>
      <c r="W177" t="b">
        <v>0</v>
      </c>
      <c r="X177" t="b">
        <v>0</v>
      </c>
      <c r="Y177" t="b">
        <v>0</v>
      </c>
      <c r="Z177" t="b">
        <v>0</v>
      </c>
      <c r="AA177" t="b">
        <v>0</v>
      </c>
      <c r="AB177" t="b">
        <v>0</v>
      </c>
      <c r="AD177" t="b">
        <v>0</v>
      </c>
      <c r="AE177" t="b">
        <v>0</v>
      </c>
      <c r="AF177" t="b">
        <v>0</v>
      </c>
      <c r="AG177" t="b">
        <v>0</v>
      </c>
      <c r="AH177" t="b">
        <v>0</v>
      </c>
      <c r="AI177">
        <v>1</v>
      </c>
      <c r="AJ177" t="s">
        <v>2039</v>
      </c>
      <c r="AK177" t="s">
        <v>491</v>
      </c>
      <c r="AL177">
        <v>1</v>
      </c>
      <c r="AM177" t="b">
        <v>0</v>
      </c>
      <c r="AN177" t="b">
        <v>0</v>
      </c>
      <c r="AO177" t="b">
        <v>0</v>
      </c>
      <c r="AP177">
        <f>IF(ISNUMBER(tblPeople[[#This Row],[dob]]),DATEDIF(tblPeople[[#This Row],[dob]],RunDate,"y"),"")</f>
        <v>0</v>
      </c>
      <c r="AQ177">
        <f>COUNTIFS(tblReview[person_id],tblPeople[[#This Row],[person_id]],tblReview[status],"OPEN")</f>
        <v>0</v>
      </c>
    </row>
    <row r="178" spans="1:43">
      <c r="A178" s="6" t="s">
        <v>2117</v>
      </c>
      <c r="B178" t="s">
        <v>776</v>
      </c>
      <c r="D178" t="s">
        <v>315</v>
      </c>
      <c r="F178" t="s">
        <v>2113</v>
      </c>
      <c r="H178" t="s">
        <v>2114</v>
      </c>
      <c r="I178" t="s">
        <v>34</v>
      </c>
      <c r="J178" s="6" t="s">
        <v>2115</v>
      </c>
      <c r="K178" t="s">
        <v>148</v>
      </c>
      <c r="L178" t="s">
        <v>205</v>
      </c>
      <c r="M178" s="3">
        <v>40397</v>
      </c>
      <c r="N178" t="b">
        <v>1</v>
      </c>
      <c r="O178" t="b">
        <v>0</v>
      </c>
      <c r="P178" t="b">
        <v>0</v>
      </c>
      <c r="Q178" t="b">
        <v>0</v>
      </c>
      <c r="R178" t="b">
        <v>0</v>
      </c>
      <c r="S178" t="b">
        <v>0</v>
      </c>
      <c r="T178" t="b">
        <v>0</v>
      </c>
      <c r="U178" t="b">
        <v>0</v>
      </c>
      <c r="V178" t="b">
        <v>0</v>
      </c>
      <c r="W178" t="b">
        <v>0</v>
      </c>
      <c r="X178" t="b">
        <v>0</v>
      </c>
      <c r="Y178" t="b">
        <v>0</v>
      </c>
      <c r="Z178" t="b">
        <v>0</v>
      </c>
      <c r="AA178" t="b">
        <v>1</v>
      </c>
      <c r="AB178" t="b">
        <v>1</v>
      </c>
      <c r="AC178" t="s">
        <v>2882</v>
      </c>
      <c r="AD178" t="b">
        <v>0</v>
      </c>
      <c r="AE178" t="b">
        <v>0</v>
      </c>
      <c r="AF178" t="b">
        <v>0</v>
      </c>
      <c r="AG178" t="b">
        <v>0</v>
      </c>
      <c r="AH178" t="b">
        <v>1</v>
      </c>
      <c r="AI178">
        <v>1</v>
      </c>
      <c r="AJ178" t="s">
        <v>2039</v>
      </c>
      <c r="AK178" t="s">
        <v>491</v>
      </c>
      <c r="AL178">
        <v>1</v>
      </c>
      <c r="AM178" t="b">
        <v>1</v>
      </c>
      <c r="AN178" t="b">
        <v>0</v>
      </c>
      <c r="AO178" t="b">
        <v>0</v>
      </c>
      <c r="AP178">
        <f>IF(ISNUMBER(tblPeople[[#This Row],[dob]]),DATEDIF(tblPeople[[#This Row],[dob]],RunDate,"y"),"")</f>
        <v>0</v>
      </c>
      <c r="AQ178">
        <f>COUNTIFS(tblReview[person_id],tblPeople[[#This Row],[person_id]],tblReview[status],"OPEN")</f>
        <v>0</v>
      </c>
    </row>
    <row r="179" spans="1:43">
      <c r="A179" s="6" t="s">
        <v>2121</v>
      </c>
      <c r="B179" t="s">
        <v>2119</v>
      </c>
      <c r="D179" t="s">
        <v>315</v>
      </c>
      <c r="F179" t="s">
        <v>2113</v>
      </c>
      <c r="H179" t="s">
        <v>2114</v>
      </c>
      <c r="I179" t="s">
        <v>34</v>
      </c>
      <c r="J179" s="6" t="s">
        <v>2115</v>
      </c>
      <c r="K179" t="s">
        <v>148</v>
      </c>
      <c r="L179" t="s">
        <v>205</v>
      </c>
      <c r="M179" s="3"/>
      <c r="N179" t="b">
        <v>0</v>
      </c>
      <c r="O179" t="b">
        <v>0</v>
      </c>
      <c r="P179" t="b">
        <v>0</v>
      </c>
      <c r="Q179" t="b">
        <v>0</v>
      </c>
      <c r="R179" t="b">
        <v>0</v>
      </c>
      <c r="S179" t="b">
        <v>0</v>
      </c>
      <c r="T179" t="b">
        <v>0</v>
      </c>
      <c r="U179" t="b">
        <v>0</v>
      </c>
      <c r="V179" t="b">
        <v>0</v>
      </c>
      <c r="W179" t="b">
        <v>0</v>
      </c>
      <c r="X179" t="b">
        <v>0</v>
      </c>
      <c r="Y179" t="b">
        <v>0</v>
      </c>
      <c r="Z179" t="b">
        <v>0</v>
      </c>
      <c r="AA179" t="b">
        <v>0</v>
      </c>
      <c r="AB179" t="b">
        <v>0</v>
      </c>
      <c r="AD179" t="b">
        <v>0</v>
      </c>
      <c r="AE179" t="b">
        <v>0</v>
      </c>
      <c r="AF179" t="b">
        <v>0</v>
      </c>
      <c r="AG179" t="b">
        <v>0</v>
      </c>
      <c r="AH179" t="b">
        <v>0</v>
      </c>
      <c r="AI179">
        <v>1</v>
      </c>
      <c r="AJ179" t="s">
        <v>2039</v>
      </c>
      <c r="AK179" t="s">
        <v>491</v>
      </c>
      <c r="AL179">
        <v>1</v>
      </c>
      <c r="AM179" t="b">
        <v>0</v>
      </c>
      <c r="AN179" t="b">
        <v>1</v>
      </c>
      <c r="AO179" t="b">
        <v>0</v>
      </c>
      <c r="AP179">
        <f>IF(ISNUMBER(tblPeople[[#This Row],[dob]]),DATEDIF(tblPeople[[#This Row],[dob]],RunDate,"y"),"")</f>
        <v>0</v>
      </c>
      <c r="AQ179">
        <f>COUNTIFS(tblReview[person_id],tblPeople[[#This Row],[person_id]],tblReview[status],"OPEN")</f>
        <v>0</v>
      </c>
    </row>
    <row r="180" spans="1:43">
      <c r="A180" s="6" t="s">
        <v>2126</v>
      </c>
      <c r="B180" t="s">
        <v>2123</v>
      </c>
      <c r="C180" t="s">
        <v>142</v>
      </c>
      <c r="D180" t="s">
        <v>2124</v>
      </c>
      <c r="F180" t="s">
        <v>395</v>
      </c>
      <c r="H180" t="s">
        <v>396</v>
      </c>
      <c r="I180" t="s">
        <v>38</v>
      </c>
      <c r="J180" s="6" t="s">
        <v>397</v>
      </c>
      <c r="K180" t="s">
        <v>148</v>
      </c>
      <c r="L180" t="s">
        <v>149</v>
      </c>
      <c r="M180" s="3">
        <v>40893</v>
      </c>
      <c r="N180" t="b">
        <v>1</v>
      </c>
      <c r="O180" t="b">
        <v>0</v>
      </c>
      <c r="P180" t="b">
        <v>0</v>
      </c>
      <c r="Q180" t="b">
        <v>0</v>
      </c>
      <c r="R180" t="b">
        <v>0</v>
      </c>
      <c r="S180" t="b">
        <v>0</v>
      </c>
      <c r="T180" t="b">
        <v>0</v>
      </c>
      <c r="U180" t="b">
        <v>0</v>
      </c>
      <c r="V180" t="b">
        <v>0</v>
      </c>
      <c r="W180" t="b">
        <v>0</v>
      </c>
      <c r="X180" t="b">
        <v>0</v>
      </c>
      <c r="Y180" t="b">
        <v>0</v>
      </c>
      <c r="Z180" t="b">
        <v>0</v>
      </c>
      <c r="AA180" t="b">
        <v>1</v>
      </c>
      <c r="AB180" t="b">
        <v>1</v>
      </c>
      <c r="AC180" t="s">
        <v>2882</v>
      </c>
      <c r="AD180" t="b">
        <v>0</v>
      </c>
      <c r="AE180" t="b">
        <v>0</v>
      </c>
      <c r="AF180" t="b">
        <v>0</v>
      </c>
      <c r="AG180" t="b">
        <v>0</v>
      </c>
      <c r="AH180" t="b">
        <v>1</v>
      </c>
      <c r="AI180">
        <v>1</v>
      </c>
      <c r="AJ180" t="s">
        <v>2039</v>
      </c>
      <c r="AK180" t="s">
        <v>491</v>
      </c>
      <c r="AL180">
        <v>1</v>
      </c>
      <c r="AM180" t="b">
        <v>1</v>
      </c>
      <c r="AN180" t="b">
        <v>0</v>
      </c>
      <c r="AO180" t="b">
        <v>0</v>
      </c>
      <c r="AP180">
        <f>IF(ISNUMBER(tblPeople[[#This Row],[dob]]),DATEDIF(tblPeople[[#This Row],[dob]],RunDate,"y"),"")</f>
        <v>0</v>
      </c>
      <c r="AQ180">
        <f>COUNTIFS(tblReview[person_id],tblPeople[[#This Row],[person_id]],tblReview[status],"OPEN")</f>
        <v>0</v>
      </c>
    </row>
    <row r="181" spans="1:43">
      <c r="A181" s="6" t="s">
        <v>2129</v>
      </c>
      <c r="B181" t="s">
        <v>832</v>
      </c>
      <c r="D181" t="s">
        <v>2124</v>
      </c>
      <c r="F181" t="s">
        <v>395</v>
      </c>
      <c r="H181" t="s">
        <v>396</v>
      </c>
      <c r="I181" t="s">
        <v>38</v>
      </c>
      <c r="J181" s="6" t="s">
        <v>397</v>
      </c>
      <c r="K181" t="s">
        <v>148</v>
      </c>
      <c r="L181" t="s">
        <v>149</v>
      </c>
      <c r="M181" s="3"/>
      <c r="N181" t="b">
        <v>0</v>
      </c>
      <c r="O181" t="b">
        <v>0</v>
      </c>
      <c r="P181" t="b">
        <v>0</v>
      </c>
      <c r="Q181" t="b">
        <v>0</v>
      </c>
      <c r="R181" t="b">
        <v>0</v>
      </c>
      <c r="S181" t="b">
        <v>0</v>
      </c>
      <c r="T181" t="b">
        <v>0</v>
      </c>
      <c r="U181" t="b">
        <v>0</v>
      </c>
      <c r="V181" t="b">
        <v>0</v>
      </c>
      <c r="W181" t="b">
        <v>0</v>
      </c>
      <c r="X181" t="b">
        <v>0</v>
      </c>
      <c r="Y181" t="b">
        <v>0</v>
      </c>
      <c r="Z181" t="b">
        <v>0</v>
      </c>
      <c r="AA181" t="b">
        <v>0</v>
      </c>
      <c r="AB181" t="b">
        <v>0</v>
      </c>
      <c r="AD181" t="b">
        <v>0</v>
      </c>
      <c r="AE181" t="b">
        <v>0</v>
      </c>
      <c r="AF181" t="b">
        <v>0</v>
      </c>
      <c r="AG181" t="b">
        <v>0</v>
      </c>
      <c r="AH181" t="b">
        <v>0</v>
      </c>
      <c r="AI181">
        <v>1</v>
      </c>
      <c r="AJ181" t="s">
        <v>2039</v>
      </c>
      <c r="AK181" t="s">
        <v>491</v>
      </c>
      <c r="AL181">
        <v>1</v>
      </c>
      <c r="AM181" t="b">
        <v>0</v>
      </c>
      <c r="AN181" t="b">
        <v>1</v>
      </c>
      <c r="AO181" t="b">
        <v>0</v>
      </c>
      <c r="AP181">
        <f>IF(ISNUMBER(tblPeople[[#This Row],[dob]]),DATEDIF(tblPeople[[#This Row],[dob]],RunDate,"y"),"")</f>
        <v>0</v>
      </c>
      <c r="AQ181">
        <f>COUNTIFS(tblReview[person_id],tblPeople[[#This Row],[person_id]],tblReview[status],"OPEN")</f>
        <v>0</v>
      </c>
    </row>
    <row r="182" spans="1:43">
      <c r="A182" s="6" t="s">
        <v>2134</v>
      </c>
      <c r="B182" t="s">
        <v>2131</v>
      </c>
      <c r="D182" t="s">
        <v>2132</v>
      </c>
      <c r="F182" t="s">
        <v>237</v>
      </c>
      <c r="H182" t="s">
        <v>238</v>
      </c>
      <c r="I182" t="s">
        <v>37</v>
      </c>
      <c r="J182" s="6" t="s">
        <v>239</v>
      </c>
      <c r="K182" t="s">
        <v>148</v>
      </c>
      <c r="L182" t="s">
        <v>149</v>
      </c>
      <c r="M182" s="3">
        <v>40735</v>
      </c>
      <c r="N182" t="b">
        <v>1</v>
      </c>
      <c r="O182" t="b">
        <v>0</v>
      </c>
      <c r="P182" t="b">
        <v>0</v>
      </c>
      <c r="Q182" t="b">
        <v>0</v>
      </c>
      <c r="R182" t="b">
        <v>0</v>
      </c>
      <c r="S182" t="b">
        <v>0</v>
      </c>
      <c r="T182" t="b">
        <v>0</v>
      </c>
      <c r="U182" t="b">
        <v>0</v>
      </c>
      <c r="V182" t="b">
        <v>0</v>
      </c>
      <c r="W182" t="b">
        <v>0</v>
      </c>
      <c r="X182" t="b">
        <v>0</v>
      </c>
      <c r="Y182" t="b">
        <v>0</v>
      </c>
      <c r="Z182" t="b">
        <v>0</v>
      </c>
      <c r="AA182" t="b">
        <v>1</v>
      </c>
      <c r="AB182" t="b">
        <v>1</v>
      </c>
      <c r="AC182" t="s">
        <v>2882</v>
      </c>
      <c r="AD182" t="b">
        <v>0</v>
      </c>
      <c r="AE182" t="b">
        <v>0</v>
      </c>
      <c r="AF182" t="b">
        <v>0</v>
      </c>
      <c r="AG182" t="b">
        <v>0</v>
      </c>
      <c r="AH182" t="b">
        <v>1</v>
      </c>
      <c r="AI182">
        <v>1</v>
      </c>
      <c r="AJ182" t="s">
        <v>2039</v>
      </c>
      <c r="AK182" t="s">
        <v>491</v>
      </c>
      <c r="AL182">
        <v>1</v>
      </c>
      <c r="AM182" t="b">
        <v>1</v>
      </c>
      <c r="AN182" t="b">
        <v>0</v>
      </c>
      <c r="AO182" t="b">
        <v>0</v>
      </c>
      <c r="AP182">
        <f>IF(ISNUMBER(tblPeople[[#This Row],[dob]]),DATEDIF(tblPeople[[#This Row],[dob]],RunDate,"y"),"")</f>
        <v>0</v>
      </c>
      <c r="AQ182">
        <f>COUNTIFS(tblReview[person_id],tblPeople[[#This Row],[person_id]],tblReview[status],"OPEN")</f>
        <v>0</v>
      </c>
    </row>
    <row r="183" spans="1:43">
      <c r="A183" s="6" t="s">
        <v>2137</v>
      </c>
      <c r="B183" t="s">
        <v>2123</v>
      </c>
      <c r="D183" t="s">
        <v>2132</v>
      </c>
      <c r="F183" t="s">
        <v>237</v>
      </c>
      <c r="H183" t="s">
        <v>238</v>
      </c>
      <c r="I183" t="s">
        <v>37</v>
      </c>
      <c r="J183" s="6" t="s">
        <v>239</v>
      </c>
      <c r="K183" t="s">
        <v>148</v>
      </c>
      <c r="L183" t="s">
        <v>149</v>
      </c>
      <c r="M183" s="3"/>
      <c r="N183" t="b">
        <v>0</v>
      </c>
      <c r="O183" t="b">
        <v>0</v>
      </c>
      <c r="P183" t="b">
        <v>0</v>
      </c>
      <c r="Q183" t="b">
        <v>0</v>
      </c>
      <c r="R183" t="b">
        <v>0</v>
      </c>
      <c r="S183" t="b">
        <v>0</v>
      </c>
      <c r="T183" t="b">
        <v>0</v>
      </c>
      <c r="U183" t="b">
        <v>0</v>
      </c>
      <c r="V183" t="b">
        <v>0</v>
      </c>
      <c r="W183" t="b">
        <v>0</v>
      </c>
      <c r="X183" t="b">
        <v>0</v>
      </c>
      <c r="Y183" t="b">
        <v>0</v>
      </c>
      <c r="Z183" t="b">
        <v>0</v>
      </c>
      <c r="AA183" t="b">
        <v>0</v>
      </c>
      <c r="AB183" t="b">
        <v>0</v>
      </c>
      <c r="AD183" t="b">
        <v>0</v>
      </c>
      <c r="AE183" t="b">
        <v>0</v>
      </c>
      <c r="AF183" t="b">
        <v>0</v>
      </c>
      <c r="AG183" t="b">
        <v>0</v>
      </c>
      <c r="AH183" t="b">
        <v>0</v>
      </c>
      <c r="AI183">
        <v>1</v>
      </c>
      <c r="AJ183" t="s">
        <v>2039</v>
      </c>
      <c r="AK183" t="s">
        <v>491</v>
      </c>
      <c r="AL183">
        <v>1</v>
      </c>
      <c r="AM183" t="b">
        <v>0</v>
      </c>
      <c r="AN183" t="b">
        <v>0</v>
      </c>
      <c r="AO183" t="b">
        <v>0</v>
      </c>
      <c r="AP183">
        <f>IF(ISNUMBER(tblPeople[[#This Row],[dob]]),DATEDIF(tblPeople[[#This Row],[dob]],RunDate,"y"),"")</f>
        <v>0</v>
      </c>
      <c r="AQ183">
        <f>COUNTIFS(tblReview[person_id],tblPeople[[#This Row],[person_id]],tblReview[status],"OPEN")</f>
        <v>0</v>
      </c>
    </row>
    <row r="184" spans="1:43">
      <c r="A184" s="6" t="s">
        <v>2145</v>
      </c>
      <c r="B184" t="s">
        <v>2139</v>
      </c>
      <c r="D184" t="s">
        <v>2140</v>
      </c>
      <c r="F184" t="s">
        <v>2141</v>
      </c>
      <c r="H184" t="s">
        <v>2142</v>
      </c>
      <c r="I184" t="s">
        <v>38</v>
      </c>
      <c r="J184" s="6" t="s">
        <v>2143</v>
      </c>
      <c r="K184" t="s">
        <v>148</v>
      </c>
      <c r="L184" t="s">
        <v>205</v>
      </c>
      <c r="M184" s="3">
        <v>40770</v>
      </c>
      <c r="N184" t="b">
        <v>1</v>
      </c>
      <c r="O184" t="b">
        <v>0</v>
      </c>
      <c r="P184" t="b">
        <v>0</v>
      </c>
      <c r="Q184" t="b">
        <v>0</v>
      </c>
      <c r="R184" t="b">
        <v>0</v>
      </c>
      <c r="S184" t="b">
        <v>0</v>
      </c>
      <c r="T184" t="b">
        <v>0</v>
      </c>
      <c r="U184" t="b">
        <v>0</v>
      </c>
      <c r="V184" t="b">
        <v>0</v>
      </c>
      <c r="W184" t="b">
        <v>0</v>
      </c>
      <c r="X184" t="b">
        <v>0</v>
      </c>
      <c r="Y184" t="b">
        <v>0</v>
      </c>
      <c r="Z184" t="b">
        <v>0</v>
      </c>
      <c r="AA184" t="b">
        <v>1</v>
      </c>
      <c r="AB184" t="b">
        <v>1</v>
      </c>
      <c r="AC184" t="s">
        <v>2882</v>
      </c>
      <c r="AD184" t="b">
        <v>0</v>
      </c>
      <c r="AE184" t="b">
        <v>0</v>
      </c>
      <c r="AF184" t="b">
        <v>0</v>
      </c>
      <c r="AG184" t="b">
        <v>0</v>
      </c>
      <c r="AH184" t="b">
        <v>1</v>
      </c>
      <c r="AI184">
        <v>1</v>
      </c>
      <c r="AJ184" t="s">
        <v>2039</v>
      </c>
      <c r="AK184" t="s">
        <v>491</v>
      </c>
      <c r="AL184">
        <v>1</v>
      </c>
      <c r="AM184" t="b">
        <v>1</v>
      </c>
      <c r="AN184" t="b">
        <v>0</v>
      </c>
      <c r="AO184" t="b">
        <v>0</v>
      </c>
      <c r="AP184">
        <f>IF(ISNUMBER(tblPeople[[#This Row],[dob]]),DATEDIF(tblPeople[[#This Row],[dob]],RunDate,"y"),"")</f>
        <v>0</v>
      </c>
      <c r="AQ184">
        <f>COUNTIFS(tblReview[person_id],tblPeople[[#This Row],[person_id]],tblReview[status],"OPEN")</f>
        <v>0</v>
      </c>
    </row>
    <row r="185" spans="1:43">
      <c r="A185" s="6" t="s">
        <v>2148</v>
      </c>
      <c r="B185" t="s">
        <v>678</v>
      </c>
      <c r="D185" t="s">
        <v>2140</v>
      </c>
      <c r="F185" t="s">
        <v>2141</v>
      </c>
      <c r="H185" t="s">
        <v>2142</v>
      </c>
      <c r="I185" t="s">
        <v>38</v>
      </c>
      <c r="J185" s="6" t="s">
        <v>2143</v>
      </c>
      <c r="K185" t="s">
        <v>148</v>
      </c>
      <c r="L185" t="s">
        <v>205</v>
      </c>
      <c r="M185" s="3"/>
      <c r="N185" t="b">
        <v>0</v>
      </c>
      <c r="O185" t="b">
        <v>0</v>
      </c>
      <c r="P185" t="b">
        <v>0</v>
      </c>
      <c r="Q185" t="b">
        <v>0</v>
      </c>
      <c r="R185" t="b">
        <v>0</v>
      </c>
      <c r="S185" t="b">
        <v>0</v>
      </c>
      <c r="T185" t="b">
        <v>0</v>
      </c>
      <c r="U185" t="b">
        <v>0</v>
      </c>
      <c r="V185" t="b">
        <v>0</v>
      </c>
      <c r="W185" t="b">
        <v>0</v>
      </c>
      <c r="X185" t="b">
        <v>0</v>
      </c>
      <c r="Y185" t="b">
        <v>0</v>
      </c>
      <c r="Z185" t="b">
        <v>0</v>
      </c>
      <c r="AA185" t="b">
        <v>0</v>
      </c>
      <c r="AB185" t="b">
        <v>0</v>
      </c>
      <c r="AD185" t="b">
        <v>0</v>
      </c>
      <c r="AE185" t="b">
        <v>0</v>
      </c>
      <c r="AF185" t="b">
        <v>0</v>
      </c>
      <c r="AG185" t="b">
        <v>0</v>
      </c>
      <c r="AH185" t="b">
        <v>0</v>
      </c>
      <c r="AI185">
        <v>1</v>
      </c>
      <c r="AJ185" t="s">
        <v>2039</v>
      </c>
      <c r="AK185" t="s">
        <v>491</v>
      </c>
      <c r="AL185">
        <v>1</v>
      </c>
      <c r="AM185" t="b">
        <v>0</v>
      </c>
      <c r="AN185" t="b">
        <v>0</v>
      </c>
      <c r="AO185" t="b">
        <v>0</v>
      </c>
      <c r="AP185">
        <f>IF(ISNUMBER(tblPeople[[#This Row],[dob]]),DATEDIF(tblPeople[[#This Row],[dob]],RunDate,"y"),"")</f>
        <v>0</v>
      </c>
      <c r="AQ185">
        <f>COUNTIFS(tblReview[person_id],tblPeople[[#This Row],[person_id]],tblReview[status],"OPEN")</f>
        <v>0</v>
      </c>
    </row>
    <row r="186" spans="1:43">
      <c r="A186" s="6" t="s">
        <v>2153</v>
      </c>
      <c r="B186" t="s">
        <v>1603</v>
      </c>
      <c r="C186" t="s">
        <v>142</v>
      </c>
      <c r="D186" t="s">
        <v>2150</v>
      </c>
      <c r="F186" t="s">
        <v>301</v>
      </c>
      <c r="H186" t="s">
        <v>302</v>
      </c>
      <c r="I186" t="s">
        <v>35</v>
      </c>
      <c r="J186" s="6" t="s">
        <v>303</v>
      </c>
      <c r="K186" t="s">
        <v>148</v>
      </c>
      <c r="L186" t="s">
        <v>149</v>
      </c>
      <c r="M186" s="3">
        <v>41334</v>
      </c>
      <c r="N186" t="b">
        <v>1</v>
      </c>
      <c r="O186" t="b">
        <v>0</v>
      </c>
      <c r="P186" t="b">
        <v>0</v>
      </c>
      <c r="Q186" t="b">
        <v>0</v>
      </c>
      <c r="R186" t="b">
        <v>0</v>
      </c>
      <c r="S186" t="b">
        <v>0</v>
      </c>
      <c r="T186" t="b">
        <v>0</v>
      </c>
      <c r="U186" t="b">
        <v>0</v>
      </c>
      <c r="V186" t="b">
        <v>0</v>
      </c>
      <c r="W186" t="b">
        <v>0</v>
      </c>
      <c r="X186" t="b">
        <v>0</v>
      </c>
      <c r="Y186" t="b">
        <v>0</v>
      </c>
      <c r="Z186" t="b">
        <v>0</v>
      </c>
      <c r="AA186" t="b">
        <v>1</v>
      </c>
      <c r="AB186" t="b">
        <v>1</v>
      </c>
      <c r="AC186" t="s">
        <v>2882</v>
      </c>
      <c r="AD186" t="b">
        <v>0</v>
      </c>
      <c r="AE186" t="b">
        <v>0</v>
      </c>
      <c r="AF186" t="b">
        <v>0</v>
      </c>
      <c r="AG186" t="b">
        <v>0</v>
      </c>
      <c r="AH186" t="b">
        <v>1</v>
      </c>
      <c r="AI186">
        <v>1</v>
      </c>
      <c r="AJ186" t="s">
        <v>2039</v>
      </c>
      <c r="AK186" t="s">
        <v>491</v>
      </c>
      <c r="AL186">
        <v>1</v>
      </c>
      <c r="AM186" t="b">
        <v>1</v>
      </c>
      <c r="AN186" t="b">
        <v>0</v>
      </c>
      <c r="AO186" t="b">
        <v>0</v>
      </c>
      <c r="AP186">
        <f>IF(ISNUMBER(tblPeople[[#This Row],[dob]]),DATEDIF(tblPeople[[#This Row],[dob]],RunDate,"y"),"")</f>
        <v>0</v>
      </c>
      <c r="AQ186">
        <f>COUNTIFS(tblReview[person_id],tblPeople[[#This Row],[person_id]],tblReview[status],"OPEN")</f>
        <v>0</v>
      </c>
    </row>
    <row r="187" spans="1:43">
      <c r="A187" s="6" t="s">
        <v>2158</v>
      </c>
      <c r="B187" t="s">
        <v>2155</v>
      </c>
      <c r="D187" t="s">
        <v>2150</v>
      </c>
      <c r="F187" t="s">
        <v>301</v>
      </c>
      <c r="H187" t="s">
        <v>302</v>
      </c>
      <c r="I187" t="s">
        <v>35</v>
      </c>
      <c r="J187" s="6" t="s">
        <v>303</v>
      </c>
      <c r="K187" t="s">
        <v>148</v>
      </c>
      <c r="L187" t="s">
        <v>149</v>
      </c>
      <c r="M187" s="3"/>
      <c r="N187" t="b">
        <v>0</v>
      </c>
      <c r="O187" t="b">
        <v>0</v>
      </c>
      <c r="P187" t="b">
        <v>0</v>
      </c>
      <c r="Q187" t="b">
        <v>0</v>
      </c>
      <c r="R187" t="b">
        <v>0</v>
      </c>
      <c r="S187" t="b">
        <v>0</v>
      </c>
      <c r="T187" t="b">
        <v>0</v>
      </c>
      <c r="U187" t="b">
        <v>0</v>
      </c>
      <c r="V187" t="b">
        <v>0</v>
      </c>
      <c r="W187" t="b">
        <v>0</v>
      </c>
      <c r="X187" t="b">
        <v>0</v>
      </c>
      <c r="Y187" t="b">
        <v>0</v>
      </c>
      <c r="Z187" t="b">
        <v>0</v>
      </c>
      <c r="AA187" t="b">
        <v>0</v>
      </c>
      <c r="AB187" t="b">
        <v>0</v>
      </c>
      <c r="AD187" t="b">
        <v>0</v>
      </c>
      <c r="AE187" t="b">
        <v>0</v>
      </c>
      <c r="AF187" t="b">
        <v>0</v>
      </c>
      <c r="AG187" t="b">
        <v>0</v>
      </c>
      <c r="AH187" t="b">
        <v>0</v>
      </c>
      <c r="AI187">
        <v>1</v>
      </c>
      <c r="AJ187" t="s">
        <v>2039</v>
      </c>
      <c r="AK187" t="s">
        <v>491</v>
      </c>
      <c r="AL187">
        <v>1</v>
      </c>
      <c r="AM187" t="b">
        <v>0</v>
      </c>
      <c r="AN187" t="b">
        <v>0</v>
      </c>
      <c r="AO187" t="b">
        <v>0</v>
      </c>
      <c r="AP187">
        <f>IF(ISNUMBER(tblPeople[[#This Row],[dob]]),DATEDIF(tblPeople[[#This Row],[dob]],RunDate,"y"),"")</f>
        <v>0</v>
      </c>
      <c r="AQ187">
        <f>COUNTIFS(tblReview[person_id],tblPeople[[#This Row],[person_id]],tblReview[status],"OPEN")</f>
        <v>0</v>
      </c>
    </row>
    <row r="188" spans="1:43">
      <c r="A188" s="6" t="s">
        <v>2166</v>
      </c>
      <c r="B188" t="s">
        <v>2160</v>
      </c>
      <c r="C188" t="s">
        <v>212</v>
      </c>
      <c r="D188" t="s">
        <v>2161</v>
      </c>
      <c r="F188" t="s">
        <v>2162</v>
      </c>
      <c r="H188" t="s">
        <v>2163</v>
      </c>
      <c r="I188" t="s">
        <v>38</v>
      </c>
      <c r="J188" s="6" t="s">
        <v>2164</v>
      </c>
      <c r="K188" t="s">
        <v>148</v>
      </c>
      <c r="L188" t="s">
        <v>205</v>
      </c>
      <c r="M188" s="3">
        <v>40584</v>
      </c>
      <c r="N188" t="b">
        <v>1</v>
      </c>
      <c r="O188" t="b">
        <v>0</v>
      </c>
      <c r="P188" t="b">
        <v>0</v>
      </c>
      <c r="Q188" t="b">
        <v>0</v>
      </c>
      <c r="R188" t="b">
        <v>0</v>
      </c>
      <c r="S188" t="b">
        <v>0</v>
      </c>
      <c r="T188" t="b">
        <v>0</v>
      </c>
      <c r="U188" t="b">
        <v>0</v>
      </c>
      <c r="V188" t="b">
        <v>0</v>
      </c>
      <c r="W188" t="b">
        <v>0</v>
      </c>
      <c r="X188" t="b">
        <v>0</v>
      </c>
      <c r="Y188" t="b">
        <v>0</v>
      </c>
      <c r="Z188" t="b">
        <v>0</v>
      </c>
      <c r="AA188" t="b">
        <v>1</v>
      </c>
      <c r="AB188" t="b">
        <v>1</v>
      </c>
      <c r="AC188" t="s">
        <v>2882</v>
      </c>
      <c r="AD188" t="b">
        <v>0</v>
      </c>
      <c r="AE188" t="b">
        <v>0</v>
      </c>
      <c r="AF188" t="b">
        <v>0</v>
      </c>
      <c r="AG188" t="b">
        <v>0</v>
      </c>
      <c r="AH188" t="b">
        <v>1</v>
      </c>
      <c r="AI188">
        <v>1</v>
      </c>
      <c r="AJ188" t="s">
        <v>2039</v>
      </c>
      <c r="AK188" t="s">
        <v>491</v>
      </c>
      <c r="AL188">
        <v>1</v>
      </c>
      <c r="AM188" t="b">
        <v>1</v>
      </c>
      <c r="AN188" t="b">
        <v>0</v>
      </c>
      <c r="AO188" t="b">
        <v>0</v>
      </c>
      <c r="AP188">
        <f>IF(ISNUMBER(tblPeople[[#This Row],[dob]]),DATEDIF(tblPeople[[#This Row],[dob]],RunDate,"y"),"")</f>
        <v>0</v>
      </c>
      <c r="AQ188">
        <f>COUNTIFS(tblReview[person_id],tblPeople[[#This Row],[person_id]],tblReview[status],"OPEN")</f>
        <v>0</v>
      </c>
    </row>
    <row r="189" spans="1:43">
      <c r="A189" s="6" t="s">
        <v>2170</v>
      </c>
      <c r="B189" t="s">
        <v>517</v>
      </c>
      <c r="D189" t="s">
        <v>2161</v>
      </c>
      <c r="F189" t="s">
        <v>2162</v>
      </c>
      <c r="H189" t="s">
        <v>2163</v>
      </c>
      <c r="I189" t="s">
        <v>38</v>
      </c>
      <c r="J189" s="6" t="s">
        <v>2164</v>
      </c>
      <c r="K189" t="s">
        <v>148</v>
      </c>
      <c r="L189" t="s">
        <v>205</v>
      </c>
      <c r="M189" s="3"/>
      <c r="N189" t="b">
        <v>0</v>
      </c>
      <c r="O189" t="b">
        <v>0</v>
      </c>
      <c r="P189" t="b">
        <v>0</v>
      </c>
      <c r="Q189" t="b">
        <v>0</v>
      </c>
      <c r="R189" t="b">
        <v>0</v>
      </c>
      <c r="S189" t="b">
        <v>0</v>
      </c>
      <c r="T189" t="b">
        <v>0</v>
      </c>
      <c r="U189" t="b">
        <v>0</v>
      </c>
      <c r="V189" t="b">
        <v>0</v>
      </c>
      <c r="W189" t="b">
        <v>0</v>
      </c>
      <c r="X189" t="b">
        <v>0</v>
      </c>
      <c r="Y189" t="b">
        <v>0</v>
      </c>
      <c r="Z189" t="b">
        <v>0</v>
      </c>
      <c r="AA189" t="b">
        <v>0</v>
      </c>
      <c r="AB189" t="b">
        <v>0</v>
      </c>
      <c r="AD189" t="b">
        <v>0</v>
      </c>
      <c r="AE189" t="b">
        <v>0</v>
      </c>
      <c r="AF189" t="b">
        <v>0</v>
      </c>
      <c r="AG189" t="b">
        <v>0</v>
      </c>
      <c r="AH189" t="b">
        <v>0</v>
      </c>
      <c r="AI189">
        <v>1</v>
      </c>
      <c r="AJ189" t="s">
        <v>2039</v>
      </c>
      <c r="AK189" t="s">
        <v>491</v>
      </c>
      <c r="AL189">
        <v>1</v>
      </c>
      <c r="AM189" t="b">
        <v>0</v>
      </c>
      <c r="AN189" t="b">
        <v>0</v>
      </c>
      <c r="AO189" t="b">
        <v>0</v>
      </c>
      <c r="AP189">
        <f>IF(ISNUMBER(tblPeople[[#This Row],[dob]]),DATEDIF(tblPeople[[#This Row],[dob]],RunDate,"y"),"")</f>
        <v>0</v>
      </c>
      <c r="AQ189">
        <f>COUNTIFS(tblReview[person_id],tblPeople[[#This Row],[person_id]],tblReview[status],"OPEN")</f>
        <v>0</v>
      </c>
    </row>
    <row r="190" spans="1:43">
      <c r="A190" s="6" t="s">
        <v>2175</v>
      </c>
      <c r="B190" t="s">
        <v>2172</v>
      </c>
      <c r="C190" t="s">
        <v>434</v>
      </c>
      <c r="D190" t="s">
        <v>2173</v>
      </c>
      <c r="F190" t="s">
        <v>524</v>
      </c>
      <c r="H190" t="s">
        <v>525</v>
      </c>
      <c r="I190" t="s">
        <v>34</v>
      </c>
      <c r="J190" s="6" t="s">
        <v>526</v>
      </c>
      <c r="K190" t="s">
        <v>148</v>
      </c>
      <c r="L190" t="s">
        <v>149</v>
      </c>
      <c r="M190" s="3">
        <v>40613</v>
      </c>
      <c r="N190" t="b">
        <v>1</v>
      </c>
      <c r="O190" t="b">
        <v>0</v>
      </c>
      <c r="P190" t="b">
        <v>0</v>
      </c>
      <c r="Q190" t="b">
        <v>0</v>
      </c>
      <c r="R190" t="b">
        <v>0</v>
      </c>
      <c r="S190" t="b">
        <v>0</v>
      </c>
      <c r="T190" t="b">
        <v>0</v>
      </c>
      <c r="U190" t="b">
        <v>0</v>
      </c>
      <c r="V190" t="b">
        <v>0</v>
      </c>
      <c r="W190" t="b">
        <v>0</v>
      </c>
      <c r="X190" t="b">
        <v>0</v>
      </c>
      <c r="Y190" t="b">
        <v>0</v>
      </c>
      <c r="Z190" t="b">
        <v>0</v>
      </c>
      <c r="AA190" t="b">
        <v>1</v>
      </c>
      <c r="AB190" t="b">
        <v>1</v>
      </c>
      <c r="AC190" t="s">
        <v>2882</v>
      </c>
      <c r="AD190" t="b">
        <v>0</v>
      </c>
      <c r="AE190" t="b">
        <v>0</v>
      </c>
      <c r="AF190" t="b">
        <v>0</v>
      </c>
      <c r="AG190" t="b">
        <v>0</v>
      </c>
      <c r="AH190" t="b">
        <v>1</v>
      </c>
      <c r="AI190">
        <v>1</v>
      </c>
      <c r="AJ190" t="s">
        <v>2039</v>
      </c>
      <c r="AK190" t="s">
        <v>491</v>
      </c>
      <c r="AL190">
        <v>1</v>
      </c>
      <c r="AM190" t="b">
        <v>1</v>
      </c>
      <c r="AN190" t="b">
        <v>0</v>
      </c>
      <c r="AO190" t="b">
        <v>0</v>
      </c>
      <c r="AP190">
        <f>IF(ISNUMBER(tblPeople[[#This Row],[dob]]),DATEDIF(tblPeople[[#This Row],[dob]],RunDate,"y"),"")</f>
        <v>0</v>
      </c>
      <c r="AQ190">
        <f>COUNTIFS(tblReview[person_id],tblPeople[[#This Row],[person_id]],tblReview[status],"OPEN")</f>
        <v>0</v>
      </c>
    </row>
    <row r="191" spans="1:43">
      <c r="A191" s="6" t="s">
        <v>2179</v>
      </c>
      <c r="B191" t="s">
        <v>2177</v>
      </c>
      <c r="D191" t="s">
        <v>2173</v>
      </c>
      <c r="F191" t="s">
        <v>524</v>
      </c>
      <c r="H191" t="s">
        <v>525</v>
      </c>
      <c r="I191" t="s">
        <v>34</v>
      </c>
      <c r="J191" s="6" t="s">
        <v>526</v>
      </c>
      <c r="K191" t="s">
        <v>148</v>
      </c>
      <c r="L191" t="s">
        <v>149</v>
      </c>
      <c r="M191" s="3"/>
      <c r="N191" t="b">
        <v>0</v>
      </c>
      <c r="O191" t="b">
        <v>0</v>
      </c>
      <c r="P191" t="b">
        <v>0</v>
      </c>
      <c r="Q191" t="b">
        <v>0</v>
      </c>
      <c r="R191" t="b">
        <v>0</v>
      </c>
      <c r="S191" t="b">
        <v>0</v>
      </c>
      <c r="T191" t="b">
        <v>0</v>
      </c>
      <c r="U191" t="b">
        <v>0</v>
      </c>
      <c r="V191" t="b">
        <v>0</v>
      </c>
      <c r="W191" t="b">
        <v>0</v>
      </c>
      <c r="X191" t="b">
        <v>0</v>
      </c>
      <c r="Y191" t="b">
        <v>0</v>
      </c>
      <c r="Z191" t="b">
        <v>0</v>
      </c>
      <c r="AA191" t="b">
        <v>0</v>
      </c>
      <c r="AB191" t="b">
        <v>0</v>
      </c>
      <c r="AD191" t="b">
        <v>0</v>
      </c>
      <c r="AE191" t="b">
        <v>0</v>
      </c>
      <c r="AF191" t="b">
        <v>0</v>
      </c>
      <c r="AG191" t="b">
        <v>0</v>
      </c>
      <c r="AH191" t="b">
        <v>0</v>
      </c>
      <c r="AI191">
        <v>1</v>
      </c>
      <c r="AJ191" t="s">
        <v>2039</v>
      </c>
      <c r="AK191" t="s">
        <v>491</v>
      </c>
      <c r="AL191">
        <v>1</v>
      </c>
      <c r="AM191" t="b">
        <v>0</v>
      </c>
      <c r="AN191" t="b">
        <v>0</v>
      </c>
      <c r="AO191" t="b">
        <v>0</v>
      </c>
      <c r="AP191">
        <f>IF(ISNUMBER(tblPeople[[#This Row],[dob]]),DATEDIF(tblPeople[[#This Row],[dob]],RunDate,"y"),"")</f>
        <v>0</v>
      </c>
      <c r="AQ191">
        <f>COUNTIFS(tblReview[person_id],tblPeople[[#This Row],[person_id]],tblReview[status],"OPEN")</f>
        <v>0</v>
      </c>
    </row>
    <row r="192" spans="1:43">
      <c r="A192" s="6" t="s">
        <v>2187</v>
      </c>
      <c r="B192" t="s">
        <v>2181</v>
      </c>
      <c r="D192" t="s">
        <v>2182</v>
      </c>
      <c r="F192" t="s">
        <v>2183</v>
      </c>
      <c r="H192" t="s">
        <v>2184</v>
      </c>
      <c r="I192" t="s">
        <v>40</v>
      </c>
      <c r="J192" s="6" t="s">
        <v>2185</v>
      </c>
      <c r="K192" t="s">
        <v>148</v>
      </c>
      <c r="L192" t="s">
        <v>205</v>
      </c>
      <c r="M192" s="3">
        <v>41726</v>
      </c>
      <c r="N192" t="b">
        <v>1</v>
      </c>
      <c r="O192" t="b">
        <v>0</v>
      </c>
      <c r="P192" t="b">
        <v>0</v>
      </c>
      <c r="Q192" t="b">
        <v>0</v>
      </c>
      <c r="R192" t="b">
        <v>0</v>
      </c>
      <c r="S192" t="b">
        <v>0</v>
      </c>
      <c r="T192" t="b">
        <v>0</v>
      </c>
      <c r="U192" t="b">
        <v>0</v>
      </c>
      <c r="V192" t="b">
        <v>0</v>
      </c>
      <c r="W192" t="b">
        <v>0</v>
      </c>
      <c r="X192" t="b">
        <v>0</v>
      </c>
      <c r="Y192" t="b">
        <v>0</v>
      </c>
      <c r="Z192" t="b">
        <v>0</v>
      </c>
      <c r="AA192" t="b">
        <v>1</v>
      </c>
      <c r="AB192" t="b">
        <v>1</v>
      </c>
      <c r="AC192" t="s">
        <v>2882</v>
      </c>
      <c r="AD192" t="b">
        <v>0</v>
      </c>
      <c r="AE192" t="b">
        <v>0</v>
      </c>
      <c r="AF192" t="b">
        <v>0</v>
      </c>
      <c r="AG192" t="b">
        <v>0</v>
      </c>
      <c r="AH192" t="b">
        <v>1</v>
      </c>
      <c r="AI192">
        <v>1</v>
      </c>
      <c r="AJ192" t="s">
        <v>2039</v>
      </c>
      <c r="AK192" t="s">
        <v>491</v>
      </c>
      <c r="AL192">
        <v>1</v>
      </c>
      <c r="AM192" t="b">
        <v>1</v>
      </c>
      <c r="AN192" t="b">
        <v>0</v>
      </c>
      <c r="AO192" t="b">
        <v>0</v>
      </c>
      <c r="AP192">
        <f>IF(ISNUMBER(tblPeople[[#This Row],[dob]]),DATEDIF(tblPeople[[#This Row],[dob]],RunDate,"y"),"")</f>
        <v>0</v>
      </c>
      <c r="AQ192">
        <f>COUNTIFS(tblReview[person_id],tblPeople[[#This Row],[person_id]],tblReview[status],"OPEN")</f>
        <v>0</v>
      </c>
    </row>
    <row r="193" spans="1:43">
      <c r="A193" s="6" t="s">
        <v>2190</v>
      </c>
      <c r="B193" t="s">
        <v>517</v>
      </c>
      <c r="D193" t="s">
        <v>2182</v>
      </c>
      <c r="F193" t="s">
        <v>2183</v>
      </c>
      <c r="H193" t="s">
        <v>2184</v>
      </c>
      <c r="I193" t="s">
        <v>40</v>
      </c>
      <c r="J193" s="6" t="s">
        <v>2185</v>
      </c>
      <c r="K193" t="s">
        <v>148</v>
      </c>
      <c r="L193" t="s">
        <v>205</v>
      </c>
      <c r="M193" s="3"/>
      <c r="N193" t="b">
        <v>0</v>
      </c>
      <c r="O193" t="b">
        <v>0</v>
      </c>
      <c r="P193" t="b">
        <v>0</v>
      </c>
      <c r="Q193" t="b">
        <v>0</v>
      </c>
      <c r="R193" t="b">
        <v>0</v>
      </c>
      <c r="S193" t="b">
        <v>0</v>
      </c>
      <c r="T193" t="b">
        <v>0</v>
      </c>
      <c r="U193" t="b">
        <v>0</v>
      </c>
      <c r="V193" t="b">
        <v>0</v>
      </c>
      <c r="W193" t="b">
        <v>0</v>
      </c>
      <c r="X193" t="b">
        <v>0</v>
      </c>
      <c r="Y193" t="b">
        <v>0</v>
      </c>
      <c r="Z193" t="b">
        <v>0</v>
      </c>
      <c r="AA193" t="b">
        <v>0</v>
      </c>
      <c r="AB193" t="b">
        <v>0</v>
      </c>
      <c r="AD193" t="b">
        <v>0</v>
      </c>
      <c r="AE193" t="b">
        <v>0</v>
      </c>
      <c r="AF193" t="b">
        <v>0</v>
      </c>
      <c r="AG193" t="b">
        <v>0</v>
      </c>
      <c r="AH193" t="b">
        <v>0</v>
      </c>
      <c r="AI193">
        <v>1</v>
      </c>
      <c r="AJ193" t="s">
        <v>2039</v>
      </c>
      <c r="AK193" t="s">
        <v>491</v>
      </c>
      <c r="AL193">
        <v>1</v>
      </c>
      <c r="AM193" t="b">
        <v>0</v>
      </c>
      <c r="AN193" t="b">
        <v>0</v>
      </c>
      <c r="AO193" t="b">
        <v>0</v>
      </c>
      <c r="AP193">
        <f>IF(ISNUMBER(tblPeople[[#This Row],[dob]]),DATEDIF(tblPeople[[#This Row],[dob]],RunDate,"y"),"")</f>
        <v>0</v>
      </c>
      <c r="AQ193">
        <f>COUNTIFS(tblReview[person_id],tblPeople[[#This Row],[person_id]],tblReview[status],"OPEN")</f>
        <v>0</v>
      </c>
    </row>
    <row r="194" spans="1:43">
      <c r="A194" s="6" t="s">
        <v>2195</v>
      </c>
      <c r="B194" t="s">
        <v>2192</v>
      </c>
      <c r="C194" t="s">
        <v>212</v>
      </c>
      <c r="D194" t="s">
        <v>2193</v>
      </c>
      <c r="F194" t="s">
        <v>436</v>
      </c>
      <c r="H194" t="s">
        <v>437</v>
      </c>
      <c r="I194" t="s">
        <v>40</v>
      </c>
      <c r="J194" s="6" t="s">
        <v>438</v>
      </c>
      <c r="K194" t="s">
        <v>148</v>
      </c>
      <c r="L194" t="s">
        <v>149</v>
      </c>
      <c r="M194" s="3">
        <v>40601</v>
      </c>
      <c r="N194" t="b">
        <v>1</v>
      </c>
      <c r="O194" t="b">
        <v>0</v>
      </c>
      <c r="P194" t="b">
        <v>0</v>
      </c>
      <c r="Q194" t="b">
        <v>0</v>
      </c>
      <c r="R194" t="b">
        <v>0</v>
      </c>
      <c r="S194" t="b">
        <v>0</v>
      </c>
      <c r="T194" t="b">
        <v>0</v>
      </c>
      <c r="U194" t="b">
        <v>0</v>
      </c>
      <c r="V194" t="b">
        <v>0</v>
      </c>
      <c r="W194" t="b">
        <v>0</v>
      </c>
      <c r="X194" t="b">
        <v>0</v>
      </c>
      <c r="Y194" t="b">
        <v>0</v>
      </c>
      <c r="Z194" t="b">
        <v>0</v>
      </c>
      <c r="AA194" t="b">
        <v>1</v>
      </c>
      <c r="AB194" t="b">
        <v>1</v>
      </c>
      <c r="AC194" t="s">
        <v>2882</v>
      </c>
      <c r="AD194" t="b">
        <v>0</v>
      </c>
      <c r="AE194" t="b">
        <v>0</v>
      </c>
      <c r="AF194" t="b">
        <v>0</v>
      </c>
      <c r="AG194" t="b">
        <v>0</v>
      </c>
      <c r="AH194" t="b">
        <v>1</v>
      </c>
      <c r="AI194">
        <v>1</v>
      </c>
      <c r="AJ194" t="s">
        <v>2039</v>
      </c>
      <c r="AK194" t="s">
        <v>491</v>
      </c>
      <c r="AL194">
        <v>1</v>
      </c>
      <c r="AM194" t="b">
        <v>1</v>
      </c>
      <c r="AN194" t="b">
        <v>0</v>
      </c>
      <c r="AO194" t="b">
        <v>0</v>
      </c>
      <c r="AP194">
        <f>IF(ISNUMBER(tblPeople[[#This Row],[dob]]),DATEDIF(tblPeople[[#This Row],[dob]],RunDate,"y"),"")</f>
        <v>0</v>
      </c>
      <c r="AQ194">
        <f>COUNTIFS(tblReview[person_id],tblPeople[[#This Row],[person_id]],tblReview[status],"OPEN")</f>
        <v>0</v>
      </c>
    </row>
    <row r="195" spans="1:43">
      <c r="A195" s="6" t="s">
        <v>2199</v>
      </c>
      <c r="B195" t="s">
        <v>2197</v>
      </c>
      <c r="D195" t="s">
        <v>2193</v>
      </c>
      <c r="F195" t="s">
        <v>436</v>
      </c>
      <c r="H195" t="s">
        <v>437</v>
      </c>
      <c r="I195" t="s">
        <v>40</v>
      </c>
      <c r="J195" s="6" t="s">
        <v>438</v>
      </c>
      <c r="K195" t="s">
        <v>148</v>
      </c>
      <c r="L195" t="s">
        <v>149</v>
      </c>
      <c r="M195" s="3"/>
      <c r="N195" t="b">
        <v>0</v>
      </c>
      <c r="O195" t="b">
        <v>0</v>
      </c>
      <c r="P195" t="b">
        <v>0</v>
      </c>
      <c r="Q195" t="b">
        <v>0</v>
      </c>
      <c r="R195" t="b">
        <v>0</v>
      </c>
      <c r="S195" t="b">
        <v>0</v>
      </c>
      <c r="T195" t="b">
        <v>0</v>
      </c>
      <c r="U195" t="b">
        <v>0</v>
      </c>
      <c r="V195" t="b">
        <v>0</v>
      </c>
      <c r="W195" t="b">
        <v>0</v>
      </c>
      <c r="X195" t="b">
        <v>0</v>
      </c>
      <c r="Y195" t="b">
        <v>0</v>
      </c>
      <c r="Z195" t="b">
        <v>0</v>
      </c>
      <c r="AA195" t="b">
        <v>0</v>
      </c>
      <c r="AB195" t="b">
        <v>0</v>
      </c>
      <c r="AD195" t="b">
        <v>0</v>
      </c>
      <c r="AE195" t="b">
        <v>0</v>
      </c>
      <c r="AF195" t="b">
        <v>0</v>
      </c>
      <c r="AG195" t="b">
        <v>0</v>
      </c>
      <c r="AH195" t="b">
        <v>0</v>
      </c>
      <c r="AI195">
        <v>1</v>
      </c>
      <c r="AJ195" t="s">
        <v>2039</v>
      </c>
      <c r="AK195" t="s">
        <v>491</v>
      </c>
      <c r="AL195">
        <v>1</v>
      </c>
      <c r="AM195" t="b">
        <v>0</v>
      </c>
      <c r="AN195" t="b">
        <v>0</v>
      </c>
      <c r="AO195" t="b">
        <v>0</v>
      </c>
      <c r="AP195">
        <f>IF(ISNUMBER(tblPeople[[#This Row],[dob]]),DATEDIF(tblPeople[[#This Row],[dob]],RunDate,"y"),"")</f>
        <v>0</v>
      </c>
      <c r="AQ195">
        <f>COUNTIFS(tblReview[person_id],tblPeople[[#This Row],[person_id]],tblReview[status],"OPEN")</f>
        <v>0</v>
      </c>
    </row>
    <row r="196" spans="1:43">
      <c r="A196" s="6" t="s">
        <v>2204</v>
      </c>
      <c r="B196" t="s">
        <v>247</v>
      </c>
      <c r="D196" t="s">
        <v>248</v>
      </c>
      <c r="F196" t="s">
        <v>250</v>
      </c>
      <c r="H196" t="s">
        <v>251</v>
      </c>
      <c r="I196" t="s">
        <v>39</v>
      </c>
      <c r="J196" s="6" t="s">
        <v>252</v>
      </c>
      <c r="K196" t="s">
        <v>148</v>
      </c>
      <c r="L196" t="s">
        <v>149</v>
      </c>
      <c r="M196" s="3"/>
      <c r="N196" t="b">
        <v>0</v>
      </c>
      <c r="O196" t="b">
        <v>0</v>
      </c>
      <c r="P196" t="b">
        <v>0</v>
      </c>
      <c r="Q196" t="b">
        <v>0</v>
      </c>
      <c r="R196" t="b">
        <v>0</v>
      </c>
      <c r="S196" t="b">
        <v>0</v>
      </c>
      <c r="T196" t="b">
        <v>0</v>
      </c>
      <c r="U196" t="b">
        <v>0</v>
      </c>
      <c r="V196" t="b">
        <v>0</v>
      </c>
      <c r="W196" t="b">
        <v>0</v>
      </c>
      <c r="X196" t="b">
        <v>0</v>
      </c>
      <c r="Y196" t="b">
        <v>0</v>
      </c>
      <c r="Z196" t="b">
        <v>0</v>
      </c>
      <c r="AA196" t="b">
        <v>0</v>
      </c>
      <c r="AB196" t="b">
        <v>0</v>
      </c>
      <c r="AD196" t="b">
        <v>0</v>
      </c>
      <c r="AE196" t="b">
        <v>0</v>
      </c>
      <c r="AF196" t="b">
        <v>0</v>
      </c>
      <c r="AG196" t="b">
        <v>0</v>
      </c>
      <c r="AH196" t="b">
        <v>0</v>
      </c>
      <c r="AI196">
        <v>1</v>
      </c>
      <c r="AJ196" t="s">
        <v>2039</v>
      </c>
      <c r="AK196" t="s">
        <v>491</v>
      </c>
      <c r="AL196">
        <v>1</v>
      </c>
      <c r="AM196" t="b">
        <v>0</v>
      </c>
      <c r="AN196" t="b">
        <v>1</v>
      </c>
      <c r="AO196" t="b">
        <v>0</v>
      </c>
      <c r="AP196">
        <f>IF(ISNUMBER(tblPeople[[#This Row],[dob]]),DATEDIF(tblPeople[[#This Row],[dob]],RunDate,"y"),"")</f>
        <v>0</v>
      </c>
      <c r="AQ196">
        <f>COUNTIFS(tblReview[person_id],tblPeople[[#This Row],[person_id]],tblReview[status],"OPEN")</f>
        <v>0</v>
      </c>
    </row>
    <row r="197" spans="1:43">
      <c r="A197" s="6" t="s">
        <v>2209</v>
      </c>
      <c r="B197" t="s">
        <v>2206</v>
      </c>
      <c r="C197" t="s">
        <v>142</v>
      </c>
      <c r="D197" t="s">
        <v>2207</v>
      </c>
      <c r="F197" t="s">
        <v>470</v>
      </c>
      <c r="H197" t="s">
        <v>471</v>
      </c>
      <c r="I197" t="s">
        <v>38</v>
      </c>
      <c r="J197" s="6" t="s">
        <v>472</v>
      </c>
      <c r="K197" t="s">
        <v>148</v>
      </c>
      <c r="L197" t="s">
        <v>149</v>
      </c>
      <c r="M197" s="3">
        <v>40753</v>
      </c>
      <c r="N197" t="b">
        <v>1</v>
      </c>
      <c r="O197" t="b">
        <v>0</v>
      </c>
      <c r="P197" t="b">
        <v>0</v>
      </c>
      <c r="Q197" t="b">
        <v>0</v>
      </c>
      <c r="R197" t="b">
        <v>0</v>
      </c>
      <c r="S197" t="b">
        <v>0</v>
      </c>
      <c r="T197" t="b">
        <v>0</v>
      </c>
      <c r="U197" t="b">
        <v>0</v>
      </c>
      <c r="V197" t="b">
        <v>0</v>
      </c>
      <c r="W197" t="b">
        <v>0</v>
      </c>
      <c r="X197" t="b">
        <v>0</v>
      </c>
      <c r="Y197" t="b">
        <v>0</v>
      </c>
      <c r="Z197" t="b">
        <v>0</v>
      </c>
      <c r="AA197" t="b">
        <v>1</v>
      </c>
      <c r="AB197" t="b">
        <v>1</v>
      </c>
      <c r="AC197" t="s">
        <v>2882</v>
      </c>
      <c r="AD197" t="b">
        <v>0</v>
      </c>
      <c r="AE197" t="b">
        <v>0</v>
      </c>
      <c r="AF197" t="b">
        <v>0</v>
      </c>
      <c r="AG197" t="b">
        <v>0</v>
      </c>
      <c r="AH197" t="b">
        <v>1</v>
      </c>
      <c r="AI197">
        <v>1</v>
      </c>
      <c r="AJ197" t="s">
        <v>2039</v>
      </c>
      <c r="AK197" t="s">
        <v>491</v>
      </c>
      <c r="AL197">
        <v>1</v>
      </c>
      <c r="AM197" t="b">
        <v>1</v>
      </c>
      <c r="AN197" t="b">
        <v>0</v>
      </c>
      <c r="AO197" t="b">
        <v>0</v>
      </c>
      <c r="AP197">
        <f>IF(ISNUMBER(tblPeople[[#This Row],[dob]]),DATEDIF(tblPeople[[#This Row],[dob]],RunDate,"y"),"")</f>
        <v>0</v>
      </c>
      <c r="AQ197">
        <f>COUNTIFS(tblReview[person_id],tblPeople[[#This Row],[person_id]],tblReview[status],"OPEN")</f>
        <v>0</v>
      </c>
    </row>
    <row r="198" spans="1:43">
      <c r="A198" s="6" t="s">
        <v>2211</v>
      </c>
      <c r="B198" t="s">
        <v>1126</v>
      </c>
      <c r="D198" t="s">
        <v>2207</v>
      </c>
      <c r="F198" t="s">
        <v>470</v>
      </c>
      <c r="H198" t="s">
        <v>471</v>
      </c>
      <c r="I198" t="s">
        <v>38</v>
      </c>
      <c r="J198" s="6" t="s">
        <v>472</v>
      </c>
      <c r="K198" t="s">
        <v>148</v>
      </c>
      <c r="L198" t="s">
        <v>149</v>
      </c>
      <c r="M198" s="3"/>
      <c r="N198" t="b">
        <v>0</v>
      </c>
      <c r="O198" t="b">
        <v>0</v>
      </c>
      <c r="P198" t="b">
        <v>0</v>
      </c>
      <c r="Q198" t="b">
        <v>0</v>
      </c>
      <c r="R198" t="b">
        <v>0</v>
      </c>
      <c r="S198" t="b">
        <v>0</v>
      </c>
      <c r="T198" t="b">
        <v>0</v>
      </c>
      <c r="U198" t="b">
        <v>0</v>
      </c>
      <c r="V198" t="b">
        <v>0</v>
      </c>
      <c r="W198" t="b">
        <v>0</v>
      </c>
      <c r="X198" t="b">
        <v>0</v>
      </c>
      <c r="Y198" t="b">
        <v>0</v>
      </c>
      <c r="Z198" t="b">
        <v>0</v>
      </c>
      <c r="AA198" t="b">
        <v>0</v>
      </c>
      <c r="AB198" t="b">
        <v>0</v>
      </c>
      <c r="AD198" t="b">
        <v>0</v>
      </c>
      <c r="AE198" t="b">
        <v>0</v>
      </c>
      <c r="AF198" t="b">
        <v>0</v>
      </c>
      <c r="AG198" t="b">
        <v>0</v>
      </c>
      <c r="AH198" t="b">
        <v>0</v>
      </c>
      <c r="AI198">
        <v>1</v>
      </c>
      <c r="AJ198" t="s">
        <v>2039</v>
      </c>
      <c r="AK198" t="s">
        <v>491</v>
      </c>
      <c r="AL198">
        <v>1</v>
      </c>
      <c r="AM198" t="b">
        <v>0</v>
      </c>
      <c r="AN198" t="b">
        <v>0</v>
      </c>
      <c r="AO198" t="b">
        <v>0</v>
      </c>
      <c r="AP198">
        <f>IF(ISNUMBER(tblPeople[[#This Row],[dob]]),DATEDIF(tblPeople[[#This Row],[dob]],RunDate,"y"),"")</f>
        <v>0</v>
      </c>
      <c r="AQ198">
        <f>COUNTIFS(tblReview[person_id],tblPeople[[#This Row],[person_id]],tblReview[status],"OPEN")</f>
        <v>0</v>
      </c>
    </row>
    <row r="199" spans="1:43">
      <c r="A199" s="6" t="s">
        <v>2218</v>
      </c>
      <c r="B199" t="s">
        <v>1140</v>
      </c>
      <c r="C199" t="s">
        <v>1180</v>
      </c>
      <c r="D199" t="s">
        <v>2213</v>
      </c>
      <c r="F199" t="s">
        <v>2214</v>
      </c>
      <c r="H199" t="s">
        <v>2215</v>
      </c>
      <c r="I199" t="s">
        <v>37</v>
      </c>
      <c r="J199" s="6" t="s">
        <v>2216</v>
      </c>
      <c r="K199" t="s">
        <v>148</v>
      </c>
      <c r="L199" t="s">
        <v>205</v>
      </c>
      <c r="M199" s="3">
        <v>41331</v>
      </c>
      <c r="N199" t="b">
        <v>1</v>
      </c>
      <c r="O199" t="b">
        <v>0</v>
      </c>
      <c r="P199" t="b">
        <v>0</v>
      </c>
      <c r="Q199" t="b">
        <v>0</v>
      </c>
      <c r="R199" t="b">
        <v>0</v>
      </c>
      <c r="S199" t="b">
        <v>0</v>
      </c>
      <c r="T199" t="b">
        <v>0</v>
      </c>
      <c r="U199" t="b">
        <v>0</v>
      </c>
      <c r="V199" t="b">
        <v>0</v>
      </c>
      <c r="W199" t="b">
        <v>0</v>
      </c>
      <c r="X199" t="b">
        <v>0</v>
      </c>
      <c r="Y199" t="b">
        <v>0</v>
      </c>
      <c r="Z199" t="b">
        <v>0</v>
      </c>
      <c r="AA199" t="b">
        <v>1</v>
      </c>
      <c r="AB199" t="b">
        <v>1</v>
      </c>
      <c r="AC199" t="s">
        <v>2882</v>
      </c>
      <c r="AD199" t="b">
        <v>0</v>
      </c>
      <c r="AE199" t="b">
        <v>0</v>
      </c>
      <c r="AF199" t="b">
        <v>0</v>
      </c>
      <c r="AG199" t="b">
        <v>0</v>
      </c>
      <c r="AH199" t="b">
        <v>1</v>
      </c>
      <c r="AI199">
        <v>1</v>
      </c>
      <c r="AJ199" t="s">
        <v>2039</v>
      </c>
      <c r="AK199" t="s">
        <v>491</v>
      </c>
      <c r="AL199">
        <v>1</v>
      </c>
      <c r="AM199" t="b">
        <v>1</v>
      </c>
      <c r="AN199" t="b">
        <v>0</v>
      </c>
      <c r="AO199" t="b">
        <v>0</v>
      </c>
      <c r="AP199">
        <f>IF(ISNUMBER(tblPeople[[#This Row],[dob]]),DATEDIF(tblPeople[[#This Row],[dob]],RunDate,"y"),"")</f>
        <v>0</v>
      </c>
      <c r="AQ199">
        <f>COUNTIFS(tblReview[person_id],tblPeople[[#This Row],[person_id]],tblReview[status],"OPEN")</f>
        <v>0</v>
      </c>
    </row>
    <row r="200" spans="1:43">
      <c r="A200" s="6" t="s">
        <v>2222</v>
      </c>
      <c r="B200" t="s">
        <v>2220</v>
      </c>
      <c r="D200" t="s">
        <v>2213</v>
      </c>
      <c r="F200" t="s">
        <v>2214</v>
      </c>
      <c r="H200" t="s">
        <v>2215</v>
      </c>
      <c r="I200" t="s">
        <v>37</v>
      </c>
      <c r="J200" s="6" t="s">
        <v>2216</v>
      </c>
      <c r="K200" t="s">
        <v>148</v>
      </c>
      <c r="L200" t="s">
        <v>205</v>
      </c>
      <c r="M200" s="3"/>
      <c r="N200" t="b">
        <v>0</v>
      </c>
      <c r="O200" t="b">
        <v>0</v>
      </c>
      <c r="P200" t="b">
        <v>0</v>
      </c>
      <c r="Q200" t="b">
        <v>0</v>
      </c>
      <c r="R200" t="b">
        <v>0</v>
      </c>
      <c r="S200" t="b">
        <v>0</v>
      </c>
      <c r="T200" t="b">
        <v>0</v>
      </c>
      <c r="U200" t="b">
        <v>0</v>
      </c>
      <c r="V200" t="b">
        <v>0</v>
      </c>
      <c r="W200" t="b">
        <v>0</v>
      </c>
      <c r="X200" t="b">
        <v>0</v>
      </c>
      <c r="Y200" t="b">
        <v>0</v>
      </c>
      <c r="Z200" t="b">
        <v>0</v>
      </c>
      <c r="AA200" t="b">
        <v>0</v>
      </c>
      <c r="AB200" t="b">
        <v>0</v>
      </c>
      <c r="AD200" t="b">
        <v>0</v>
      </c>
      <c r="AE200" t="b">
        <v>0</v>
      </c>
      <c r="AF200" t="b">
        <v>0</v>
      </c>
      <c r="AG200" t="b">
        <v>0</v>
      </c>
      <c r="AH200" t="b">
        <v>0</v>
      </c>
      <c r="AI200">
        <v>1</v>
      </c>
      <c r="AJ200" t="s">
        <v>2039</v>
      </c>
      <c r="AK200" t="s">
        <v>491</v>
      </c>
      <c r="AL200">
        <v>1</v>
      </c>
      <c r="AM200" t="b">
        <v>0</v>
      </c>
      <c r="AN200" t="b">
        <v>0</v>
      </c>
      <c r="AO200" t="b">
        <v>0</v>
      </c>
      <c r="AP200">
        <f>IF(ISNUMBER(tblPeople[[#This Row],[dob]]),DATEDIF(tblPeople[[#This Row],[dob]],RunDate,"y"),"")</f>
        <v>0</v>
      </c>
      <c r="AQ200">
        <f>COUNTIFS(tblReview[person_id],tblPeople[[#This Row],[person_id]],tblReview[status],"OPEN")</f>
        <v>0</v>
      </c>
    </row>
    <row r="201" spans="1:43">
      <c r="A201" s="6" t="s">
        <v>2226</v>
      </c>
      <c r="B201" t="s">
        <v>433</v>
      </c>
      <c r="D201" t="s">
        <v>435</v>
      </c>
      <c r="F201" t="s">
        <v>436</v>
      </c>
      <c r="H201" t="s">
        <v>437</v>
      </c>
      <c r="I201" t="s">
        <v>40</v>
      </c>
      <c r="J201" s="6" t="s">
        <v>438</v>
      </c>
      <c r="K201" t="s">
        <v>148</v>
      </c>
      <c r="L201" t="s">
        <v>149</v>
      </c>
      <c r="M201" s="3"/>
      <c r="N201" t="b">
        <v>0</v>
      </c>
      <c r="O201" t="b">
        <v>0</v>
      </c>
      <c r="P201" t="b">
        <v>0</v>
      </c>
      <c r="Q201" t="b">
        <v>0</v>
      </c>
      <c r="R201" t="b">
        <v>0</v>
      </c>
      <c r="S201" t="b">
        <v>0</v>
      </c>
      <c r="T201" t="b">
        <v>0</v>
      </c>
      <c r="U201" t="b">
        <v>0</v>
      </c>
      <c r="V201" t="b">
        <v>0</v>
      </c>
      <c r="W201" t="b">
        <v>0</v>
      </c>
      <c r="X201" t="b">
        <v>0</v>
      </c>
      <c r="Y201" t="b">
        <v>0</v>
      </c>
      <c r="Z201" t="b">
        <v>0</v>
      </c>
      <c r="AA201" t="b">
        <v>0</v>
      </c>
      <c r="AB201" t="b">
        <v>0</v>
      </c>
      <c r="AD201" t="b">
        <v>0</v>
      </c>
      <c r="AE201" t="b">
        <v>0</v>
      </c>
      <c r="AF201" t="b">
        <v>0</v>
      </c>
      <c r="AG201" t="b">
        <v>0</v>
      </c>
      <c r="AH201" t="b">
        <v>0</v>
      </c>
      <c r="AI201">
        <v>1</v>
      </c>
      <c r="AJ201" t="s">
        <v>2039</v>
      </c>
      <c r="AK201" t="s">
        <v>491</v>
      </c>
      <c r="AL201">
        <v>1</v>
      </c>
      <c r="AM201" t="b">
        <v>0</v>
      </c>
      <c r="AN201" t="b">
        <v>1</v>
      </c>
      <c r="AO201" t="b">
        <v>0</v>
      </c>
      <c r="AP201">
        <f>IF(ISNUMBER(tblPeople[[#This Row],[dob]]),DATEDIF(tblPeople[[#This Row],[dob]],RunDate,"y"),"")</f>
        <v>0</v>
      </c>
      <c r="AQ201">
        <f>COUNTIFS(tblReview[person_id],tblPeople[[#This Row],[person_id]],tblReview[status],"OPEN")</f>
        <v>0</v>
      </c>
    </row>
    <row r="202" spans="1:43">
      <c r="A202" s="6" t="s">
        <v>2230</v>
      </c>
      <c r="B202" t="s">
        <v>1204</v>
      </c>
      <c r="C202" t="s">
        <v>324</v>
      </c>
      <c r="D202" t="s">
        <v>2228</v>
      </c>
      <c r="F202" t="s">
        <v>669</v>
      </c>
      <c r="H202" t="s">
        <v>671</v>
      </c>
      <c r="I202" t="s">
        <v>39</v>
      </c>
      <c r="J202" s="6" t="s">
        <v>672</v>
      </c>
      <c r="K202" t="s">
        <v>148</v>
      </c>
      <c r="L202" t="s">
        <v>149</v>
      </c>
      <c r="M202" s="3">
        <v>39876</v>
      </c>
      <c r="N202" t="b">
        <v>1</v>
      </c>
      <c r="O202" t="b">
        <v>0</v>
      </c>
      <c r="P202" t="b">
        <v>0</v>
      </c>
      <c r="Q202" t="b">
        <v>0</v>
      </c>
      <c r="R202" t="b">
        <v>0</v>
      </c>
      <c r="S202" t="b">
        <v>0</v>
      </c>
      <c r="T202" t="b">
        <v>0</v>
      </c>
      <c r="U202" t="b">
        <v>0</v>
      </c>
      <c r="V202" t="b">
        <v>0</v>
      </c>
      <c r="W202" t="b">
        <v>0</v>
      </c>
      <c r="X202" t="b">
        <v>0</v>
      </c>
      <c r="Y202" t="b">
        <v>0</v>
      </c>
      <c r="Z202" t="b">
        <v>0</v>
      </c>
      <c r="AA202" t="b">
        <v>1</v>
      </c>
      <c r="AB202" t="b">
        <v>1</v>
      </c>
      <c r="AC202" t="s">
        <v>2882</v>
      </c>
      <c r="AD202" t="b">
        <v>0</v>
      </c>
      <c r="AE202" t="b">
        <v>0</v>
      </c>
      <c r="AF202" t="b">
        <v>0</v>
      </c>
      <c r="AG202" t="b">
        <v>0</v>
      </c>
      <c r="AH202" t="b">
        <v>1</v>
      </c>
      <c r="AI202">
        <v>1</v>
      </c>
      <c r="AJ202" t="s">
        <v>2039</v>
      </c>
      <c r="AK202" t="s">
        <v>491</v>
      </c>
      <c r="AL202">
        <v>1</v>
      </c>
      <c r="AM202" t="b">
        <v>1</v>
      </c>
      <c r="AN202" t="b">
        <v>0</v>
      </c>
      <c r="AO202" t="b">
        <v>0</v>
      </c>
      <c r="AP202">
        <f>IF(ISNUMBER(tblPeople[[#This Row],[dob]]),DATEDIF(tblPeople[[#This Row],[dob]],RunDate,"y"),"")</f>
        <v>0</v>
      </c>
      <c r="AQ202">
        <f>COUNTIFS(tblReview[person_id],tblPeople[[#This Row],[person_id]],tblReview[status],"OPEN")</f>
        <v>0</v>
      </c>
    </row>
    <row r="203" spans="1:43">
      <c r="A203" s="6" t="s">
        <v>2233</v>
      </c>
      <c r="B203" t="s">
        <v>1413</v>
      </c>
      <c r="D203" t="s">
        <v>2228</v>
      </c>
      <c r="F203" t="s">
        <v>669</v>
      </c>
      <c r="H203" t="s">
        <v>671</v>
      </c>
      <c r="I203" t="s">
        <v>39</v>
      </c>
      <c r="J203" s="6" t="s">
        <v>672</v>
      </c>
      <c r="K203" t="s">
        <v>148</v>
      </c>
      <c r="L203" t="s">
        <v>149</v>
      </c>
      <c r="M203" s="3"/>
      <c r="N203" t="b">
        <v>0</v>
      </c>
      <c r="O203" t="b">
        <v>0</v>
      </c>
      <c r="P203" t="b">
        <v>0</v>
      </c>
      <c r="Q203" t="b">
        <v>0</v>
      </c>
      <c r="R203" t="b">
        <v>0</v>
      </c>
      <c r="S203" t="b">
        <v>0</v>
      </c>
      <c r="T203" t="b">
        <v>0</v>
      </c>
      <c r="U203" t="b">
        <v>0</v>
      </c>
      <c r="V203" t="b">
        <v>0</v>
      </c>
      <c r="W203" t="b">
        <v>0</v>
      </c>
      <c r="X203" t="b">
        <v>0</v>
      </c>
      <c r="Y203" t="b">
        <v>0</v>
      </c>
      <c r="Z203" t="b">
        <v>0</v>
      </c>
      <c r="AA203" t="b">
        <v>0</v>
      </c>
      <c r="AB203" t="b">
        <v>0</v>
      </c>
      <c r="AD203" t="b">
        <v>0</v>
      </c>
      <c r="AE203" t="b">
        <v>0</v>
      </c>
      <c r="AF203" t="b">
        <v>0</v>
      </c>
      <c r="AG203" t="b">
        <v>0</v>
      </c>
      <c r="AH203" t="b">
        <v>0</v>
      </c>
      <c r="AI203">
        <v>1</v>
      </c>
      <c r="AJ203" t="s">
        <v>2039</v>
      </c>
      <c r="AK203" t="s">
        <v>491</v>
      </c>
      <c r="AL203">
        <v>1</v>
      </c>
      <c r="AM203" t="b">
        <v>0</v>
      </c>
      <c r="AN203" t="b">
        <v>0</v>
      </c>
      <c r="AO203" t="b">
        <v>0</v>
      </c>
      <c r="AP203">
        <f>IF(ISNUMBER(tblPeople[[#This Row],[dob]]),DATEDIF(tblPeople[[#This Row],[dob]],RunDate,"y"),"")</f>
        <v>0</v>
      </c>
      <c r="AQ203">
        <f>COUNTIFS(tblReview[person_id],tblPeople[[#This Row],[person_id]],tblReview[status],"OPEN")</f>
        <v>0</v>
      </c>
    </row>
    <row r="204" spans="1:43">
      <c r="A204" s="6" t="s">
        <v>2237</v>
      </c>
      <c r="B204" t="s">
        <v>234</v>
      </c>
      <c r="D204" t="s">
        <v>236</v>
      </c>
      <c r="F204" t="s">
        <v>237</v>
      </c>
      <c r="H204" t="s">
        <v>238</v>
      </c>
      <c r="I204" t="s">
        <v>37</v>
      </c>
      <c r="J204" s="6" t="s">
        <v>239</v>
      </c>
      <c r="K204" t="s">
        <v>148</v>
      </c>
      <c r="L204" t="s">
        <v>149</v>
      </c>
      <c r="M204" s="3"/>
      <c r="N204" t="b">
        <v>0</v>
      </c>
      <c r="O204" t="b">
        <v>0</v>
      </c>
      <c r="P204" t="b">
        <v>0</v>
      </c>
      <c r="Q204" t="b">
        <v>0</v>
      </c>
      <c r="R204" t="b">
        <v>0</v>
      </c>
      <c r="S204" t="b">
        <v>0</v>
      </c>
      <c r="T204" t="b">
        <v>0</v>
      </c>
      <c r="U204" t="b">
        <v>0</v>
      </c>
      <c r="V204" t="b">
        <v>0</v>
      </c>
      <c r="W204" t="b">
        <v>0</v>
      </c>
      <c r="X204" t="b">
        <v>0</v>
      </c>
      <c r="Y204" t="b">
        <v>0</v>
      </c>
      <c r="Z204" t="b">
        <v>0</v>
      </c>
      <c r="AA204" t="b">
        <v>0</v>
      </c>
      <c r="AB204" t="b">
        <v>0</v>
      </c>
      <c r="AD204" t="b">
        <v>0</v>
      </c>
      <c r="AE204" t="b">
        <v>0</v>
      </c>
      <c r="AF204" t="b">
        <v>0</v>
      </c>
      <c r="AG204" t="b">
        <v>0</v>
      </c>
      <c r="AH204" t="b">
        <v>0</v>
      </c>
      <c r="AI204">
        <v>1</v>
      </c>
      <c r="AJ204" t="s">
        <v>2039</v>
      </c>
      <c r="AK204" t="s">
        <v>491</v>
      </c>
      <c r="AL204">
        <v>1</v>
      </c>
      <c r="AM204" t="b">
        <v>0</v>
      </c>
      <c r="AN204" t="b">
        <v>1</v>
      </c>
      <c r="AO204" t="b">
        <v>0</v>
      </c>
      <c r="AP204">
        <f>IF(ISNUMBER(tblPeople[[#This Row],[dob]]),DATEDIF(tblPeople[[#This Row],[dob]],RunDate,"y"),"")</f>
        <v>0</v>
      </c>
      <c r="AQ204">
        <f>COUNTIFS(tblReview[person_id],tblPeople[[#This Row],[person_id]],tblReview[status],"OPEN")</f>
        <v>0</v>
      </c>
    </row>
    <row r="205" spans="1:43">
      <c r="A205" s="6" t="s">
        <v>2241</v>
      </c>
      <c r="B205" t="s">
        <v>1473</v>
      </c>
      <c r="C205" t="s">
        <v>189</v>
      </c>
      <c r="D205" t="s">
        <v>2239</v>
      </c>
      <c r="F205" t="s">
        <v>226</v>
      </c>
      <c r="H205" t="s">
        <v>227</v>
      </c>
      <c r="I205" t="s">
        <v>37</v>
      </c>
      <c r="J205" s="6" t="s">
        <v>228</v>
      </c>
      <c r="K205" t="s">
        <v>148</v>
      </c>
      <c r="L205" t="s">
        <v>149</v>
      </c>
      <c r="M205" s="3">
        <v>40234</v>
      </c>
      <c r="N205" t="b">
        <v>1</v>
      </c>
      <c r="O205" t="b">
        <v>0</v>
      </c>
      <c r="P205" t="b">
        <v>0</v>
      </c>
      <c r="Q205" t="b">
        <v>0</v>
      </c>
      <c r="R205" t="b">
        <v>0</v>
      </c>
      <c r="S205" t="b">
        <v>0</v>
      </c>
      <c r="T205" t="b">
        <v>0</v>
      </c>
      <c r="U205" t="b">
        <v>0</v>
      </c>
      <c r="V205" t="b">
        <v>0</v>
      </c>
      <c r="W205" t="b">
        <v>0</v>
      </c>
      <c r="X205" t="b">
        <v>0</v>
      </c>
      <c r="Y205" t="b">
        <v>0</v>
      </c>
      <c r="Z205" t="b">
        <v>0</v>
      </c>
      <c r="AA205" t="b">
        <v>1</v>
      </c>
      <c r="AB205" t="b">
        <v>1</v>
      </c>
      <c r="AC205" t="s">
        <v>2882</v>
      </c>
      <c r="AD205" t="b">
        <v>0</v>
      </c>
      <c r="AE205" t="b">
        <v>0</v>
      </c>
      <c r="AF205" t="b">
        <v>0</v>
      </c>
      <c r="AG205" t="b">
        <v>0</v>
      </c>
      <c r="AH205" t="b">
        <v>1</v>
      </c>
      <c r="AI205">
        <v>1</v>
      </c>
      <c r="AJ205" t="s">
        <v>2039</v>
      </c>
      <c r="AK205" t="s">
        <v>491</v>
      </c>
      <c r="AL205">
        <v>1</v>
      </c>
      <c r="AM205" t="b">
        <v>1</v>
      </c>
      <c r="AN205" t="b">
        <v>0</v>
      </c>
      <c r="AO205" t="b">
        <v>0</v>
      </c>
      <c r="AP205">
        <f>IF(ISNUMBER(tblPeople[[#This Row],[dob]]),DATEDIF(tblPeople[[#This Row],[dob]],RunDate,"y"),"")</f>
        <v>0</v>
      </c>
      <c r="AQ205">
        <f>COUNTIFS(tblReview[person_id],tblPeople[[#This Row],[person_id]],tblReview[status],"OPEN")</f>
        <v>0</v>
      </c>
    </row>
    <row r="206" spans="1:43">
      <c r="A206" s="6" t="s">
        <v>2244</v>
      </c>
      <c r="B206" t="s">
        <v>562</v>
      </c>
      <c r="D206" t="s">
        <v>2239</v>
      </c>
      <c r="F206" t="s">
        <v>226</v>
      </c>
      <c r="H206" t="s">
        <v>227</v>
      </c>
      <c r="I206" t="s">
        <v>37</v>
      </c>
      <c r="J206" s="6" t="s">
        <v>228</v>
      </c>
      <c r="K206" t="s">
        <v>148</v>
      </c>
      <c r="L206" t="s">
        <v>149</v>
      </c>
      <c r="M206" s="3"/>
      <c r="N206" t="b">
        <v>0</v>
      </c>
      <c r="O206" t="b">
        <v>0</v>
      </c>
      <c r="P206" t="b">
        <v>0</v>
      </c>
      <c r="Q206" t="b">
        <v>0</v>
      </c>
      <c r="R206" t="b">
        <v>0</v>
      </c>
      <c r="S206" t="b">
        <v>0</v>
      </c>
      <c r="T206" t="b">
        <v>0</v>
      </c>
      <c r="U206" t="b">
        <v>0</v>
      </c>
      <c r="V206" t="b">
        <v>0</v>
      </c>
      <c r="W206" t="b">
        <v>0</v>
      </c>
      <c r="X206" t="b">
        <v>0</v>
      </c>
      <c r="Y206" t="b">
        <v>0</v>
      </c>
      <c r="Z206" t="b">
        <v>0</v>
      </c>
      <c r="AA206" t="b">
        <v>0</v>
      </c>
      <c r="AB206" t="b">
        <v>0</v>
      </c>
      <c r="AD206" t="b">
        <v>0</v>
      </c>
      <c r="AE206" t="b">
        <v>0</v>
      </c>
      <c r="AF206" t="b">
        <v>0</v>
      </c>
      <c r="AG206" t="b">
        <v>0</v>
      </c>
      <c r="AH206" t="b">
        <v>0</v>
      </c>
      <c r="AI206">
        <v>1</v>
      </c>
      <c r="AJ206" t="s">
        <v>2039</v>
      </c>
      <c r="AK206" t="s">
        <v>491</v>
      </c>
      <c r="AL206">
        <v>1</v>
      </c>
      <c r="AM206" t="b">
        <v>0</v>
      </c>
      <c r="AN206" t="b">
        <v>0</v>
      </c>
      <c r="AO206" t="b">
        <v>0</v>
      </c>
      <c r="AP206">
        <f>IF(ISNUMBER(tblPeople[[#This Row],[dob]]),DATEDIF(tblPeople[[#This Row],[dob]],RunDate,"y"),"")</f>
        <v>0</v>
      </c>
      <c r="AQ206">
        <f>COUNTIFS(tblReview[person_id],tblPeople[[#This Row],[person_id]],tblReview[status],"OPEN")</f>
        <v>0</v>
      </c>
    </row>
    <row r="207" spans="1:43">
      <c r="A207" s="6" t="s">
        <v>2248</v>
      </c>
      <c r="B207" t="s">
        <v>776</v>
      </c>
      <c r="D207" t="s">
        <v>2246</v>
      </c>
      <c r="F207" t="s">
        <v>250</v>
      </c>
      <c r="H207" t="s">
        <v>251</v>
      </c>
      <c r="I207" t="s">
        <v>39</v>
      </c>
      <c r="J207" s="6" t="s">
        <v>252</v>
      </c>
      <c r="K207" t="s">
        <v>148</v>
      </c>
      <c r="L207" t="s">
        <v>149</v>
      </c>
      <c r="M207" s="3">
        <v>40135</v>
      </c>
      <c r="N207" t="b">
        <v>1</v>
      </c>
      <c r="O207" t="b">
        <v>0</v>
      </c>
      <c r="P207" t="b">
        <v>0</v>
      </c>
      <c r="Q207" t="b">
        <v>0</v>
      </c>
      <c r="R207" t="b">
        <v>0</v>
      </c>
      <c r="S207" t="b">
        <v>0</v>
      </c>
      <c r="T207" t="b">
        <v>0</v>
      </c>
      <c r="U207" t="b">
        <v>0</v>
      </c>
      <c r="V207" t="b">
        <v>0</v>
      </c>
      <c r="W207" t="b">
        <v>0</v>
      </c>
      <c r="X207" t="b">
        <v>0</v>
      </c>
      <c r="Y207" t="b">
        <v>0</v>
      </c>
      <c r="Z207" t="b">
        <v>0</v>
      </c>
      <c r="AA207" t="b">
        <v>1</v>
      </c>
      <c r="AB207" t="b">
        <v>1</v>
      </c>
      <c r="AC207" t="s">
        <v>2882</v>
      </c>
      <c r="AD207" t="b">
        <v>0</v>
      </c>
      <c r="AE207" t="b">
        <v>0</v>
      </c>
      <c r="AF207" t="b">
        <v>0</v>
      </c>
      <c r="AG207" t="b">
        <v>0</v>
      </c>
      <c r="AH207" t="b">
        <v>1</v>
      </c>
      <c r="AI207">
        <v>1</v>
      </c>
      <c r="AJ207" t="s">
        <v>2039</v>
      </c>
      <c r="AK207" t="s">
        <v>491</v>
      </c>
      <c r="AL207">
        <v>1</v>
      </c>
      <c r="AM207" t="b">
        <v>1</v>
      </c>
      <c r="AN207" t="b">
        <v>0</v>
      </c>
      <c r="AO207" t="b">
        <v>0</v>
      </c>
      <c r="AP207">
        <f>IF(ISNUMBER(tblPeople[[#This Row],[dob]]),DATEDIF(tblPeople[[#This Row],[dob]],RunDate,"y"),"")</f>
        <v>0</v>
      </c>
      <c r="AQ207">
        <f>COUNTIFS(tblReview[person_id],tblPeople[[#This Row],[person_id]],tblReview[status],"OPEN")</f>
        <v>0</v>
      </c>
    </row>
    <row r="208" spans="1:43">
      <c r="A208" s="6" t="s">
        <v>2251</v>
      </c>
      <c r="B208" t="s">
        <v>507</v>
      </c>
      <c r="D208" t="s">
        <v>2246</v>
      </c>
      <c r="F208" t="s">
        <v>250</v>
      </c>
      <c r="H208" t="s">
        <v>251</v>
      </c>
      <c r="I208" t="s">
        <v>39</v>
      </c>
      <c r="J208" s="6" t="s">
        <v>252</v>
      </c>
      <c r="K208" t="s">
        <v>148</v>
      </c>
      <c r="L208" t="s">
        <v>149</v>
      </c>
      <c r="M208" s="3"/>
      <c r="N208" t="b">
        <v>0</v>
      </c>
      <c r="O208" t="b">
        <v>0</v>
      </c>
      <c r="P208" t="b">
        <v>0</v>
      </c>
      <c r="Q208" t="b">
        <v>0</v>
      </c>
      <c r="R208" t="b">
        <v>0</v>
      </c>
      <c r="S208" t="b">
        <v>0</v>
      </c>
      <c r="T208" t="b">
        <v>0</v>
      </c>
      <c r="U208" t="b">
        <v>0</v>
      </c>
      <c r="V208" t="b">
        <v>0</v>
      </c>
      <c r="W208" t="b">
        <v>0</v>
      </c>
      <c r="X208" t="b">
        <v>0</v>
      </c>
      <c r="Y208" t="b">
        <v>0</v>
      </c>
      <c r="Z208" t="b">
        <v>0</v>
      </c>
      <c r="AA208" t="b">
        <v>0</v>
      </c>
      <c r="AB208" t="b">
        <v>0</v>
      </c>
      <c r="AD208" t="b">
        <v>0</v>
      </c>
      <c r="AE208" t="b">
        <v>0</v>
      </c>
      <c r="AF208" t="b">
        <v>0</v>
      </c>
      <c r="AG208" t="b">
        <v>0</v>
      </c>
      <c r="AH208" t="b">
        <v>0</v>
      </c>
      <c r="AI208">
        <v>1</v>
      </c>
      <c r="AJ208" t="s">
        <v>2039</v>
      </c>
      <c r="AK208" t="s">
        <v>491</v>
      </c>
      <c r="AL208">
        <v>1</v>
      </c>
      <c r="AM208" t="b">
        <v>0</v>
      </c>
      <c r="AN208" t="b">
        <v>0</v>
      </c>
      <c r="AO208" t="b">
        <v>0</v>
      </c>
      <c r="AP208">
        <f>IF(ISNUMBER(tblPeople[[#This Row],[dob]]),DATEDIF(tblPeople[[#This Row],[dob]],RunDate,"y"),"")</f>
        <v>0</v>
      </c>
      <c r="AQ208">
        <f>COUNTIFS(tblReview[person_id],tblPeople[[#This Row],[person_id]],tblReview[status],"OPEN")</f>
        <v>0</v>
      </c>
    </row>
    <row r="209" spans="1:43">
      <c r="A209" s="6" t="s">
        <v>2256</v>
      </c>
      <c r="B209" t="s">
        <v>2253</v>
      </c>
      <c r="C209" t="s">
        <v>224</v>
      </c>
      <c r="D209" t="s">
        <v>2254</v>
      </c>
      <c r="F209" t="s">
        <v>1149</v>
      </c>
      <c r="H209" t="s">
        <v>1150</v>
      </c>
      <c r="I209" t="s">
        <v>38</v>
      </c>
      <c r="J209" s="6" t="s">
        <v>1151</v>
      </c>
      <c r="K209" t="s">
        <v>148</v>
      </c>
      <c r="L209" t="s">
        <v>149</v>
      </c>
      <c r="M209" s="3">
        <v>41620</v>
      </c>
      <c r="N209" t="b">
        <v>1</v>
      </c>
      <c r="O209" t="b">
        <v>0</v>
      </c>
      <c r="P209" t="b">
        <v>0</v>
      </c>
      <c r="Q209" t="b">
        <v>0</v>
      </c>
      <c r="R209" t="b">
        <v>0</v>
      </c>
      <c r="S209" t="b">
        <v>0</v>
      </c>
      <c r="T209" t="b">
        <v>0</v>
      </c>
      <c r="U209" t="b">
        <v>0</v>
      </c>
      <c r="V209" t="b">
        <v>0</v>
      </c>
      <c r="W209" t="b">
        <v>0</v>
      </c>
      <c r="X209" t="b">
        <v>0</v>
      </c>
      <c r="Y209" t="b">
        <v>0</v>
      </c>
      <c r="Z209" t="b">
        <v>0</v>
      </c>
      <c r="AA209" t="b">
        <v>1</v>
      </c>
      <c r="AB209" t="b">
        <v>1</v>
      </c>
      <c r="AC209" t="s">
        <v>2882</v>
      </c>
      <c r="AD209" t="b">
        <v>0</v>
      </c>
      <c r="AE209" t="b">
        <v>0</v>
      </c>
      <c r="AF209" t="b">
        <v>0</v>
      </c>
      <c r="AG209" t="b">
        <v>0</v>
      </c>
      <c r="AH209" t="b">
        <v>1</v>
      </c>
      <c r="AI209">
        <v>1</v>
      </c>
      <c r="AJ209" t="s">
        <v>2039</v>
      </c>
      <c r="AK209" t="s">
        <v>491</v>
      </c>
      <c r="AL209">
        <v>1</v>
      </c>
      <c r="AM209" t="b">
        <v>1</v>
      </c>
      <c r="AN209" t="b">
        <v>0</v>
      </c>
      <c r="AO209" t="b">
        <v>0</v>
      </c>
      <c r="AP209">
        <f>IF(ISNUMBER(tblPeople[[#This Row],[dob]]),DATEDIF(tblPeople[[#This Row],[dob]],RunDate,"y"),"")</f>
        <v>0</v>
      </c>
      <c r="AQ209">
        <f>COUNTIFS(tblReview[person_id],tblPeople[[#This Row],[person_id]],tblReview[status],"OPEN")</f>
        <v>0</v>
      </c>
    </row>
    <row r="210" spans="1:43">
      <c r="A210" s="6" t="s">
        <v>2259</v>
      </c>
      <c r="B210" t="s">
        <v>179</v>
      </c>
      <c r="D210" t="s">
        <v>2254</v>
      </c>
      <c r="F210" t="s">
        <v>1149</v>
      </c>
      <c r="H210" t="s">
        <v>1150</v>
      </c>
      <c r="I210" t="s">
        <v>38</v>
      </c>
      <c r="J210" s="6" t="s">
        <v>1151</v>
      </c>
      <c r="K210" t="s">
        <v>148</v>
      </c>
      <c r="L210" t="s">
        <v>149</v>
      </c>
      <c r="M210" s="3"/>
      <c r="N210" t="b">
        <v>0</v>
      </c>
      <c r="O210" t="b">
        <v>0</v>
      </c>
      <c r="P210" t="b">
        <v>0</v>
      </c>
      <c r="Q210" t="b">
        <v>0</v>
      </c>
      <c r="R210" t="b">
        <v>0</v>
      </c>
      <c r="S210" t="b">
        <v>0</v>
      </c>
      <c r="T210" t="b">
        <v>0</v>
      </c>
      <c r="U210" t="b">
        <v>0</v>
      </c>
      <c r="V210" t="b">
        <v>0</v>
      </c>
      <c r="W210" t="b">
        <v>0</v>
      </c>
      <c r="X210" t="b">
        <v>0</v>
      </c>
      <c r="Y210" t="b">
        <v>0</v>
      </c>
      <c r="Z210" t="b">
        <v>0</v>
      </c>
      <c r="AA210" t="b">
        <v>0</v>
      </c>
      <c r="AB210" t="b">
        <v>0</v>
      </c>
      <c r="AD210" t="b">
        <v>0</v>
      </c>
      <c r="AE210" t="b">
        <v>0</v>
      </c>
      <c r="AF210" t="b">
        <v>0</v>
      </c>
      <c r="AG210" t="b">
        <v>0</v>
      </c>
      <c r="AH210" t="b">
        <v>0</v>
      </c>
      <c r="AI210">
        <v>1</v>
      </c>
      <c r="AJ210" t="s">
        <v>2039</v>
      </c>
      <c r="AK210" t="s">
        <v>491</v>
      </c>
      <c r="AL210">
        <v>1</v>
      </c>
      <c r="AM210" t="b">
        <v>0</v>
      </c>
      <c r="AN210" t="b">
        <v>0</v>
      </c>
      <c r="AO210" t="b">
        <v>0</v>
      </c>
      <c r="AP210">
        <f>IF(ISNUMBER(tblPeople[[#This Row],[dob]]),DATEDIF(tblPeople[[#This Row],[dob]],RunDate,"y"),"")</f>
        <v>0</v>
      </c>
      <c r="AQ210">
        <f>COUNTIFS(tblReview[person_id],tblPeople[[#This Row],[person_id]],tblReview[status],"OPEN")</f>
        <v>0</v>
      </c>
    </row>
    <row r="211" spans="1:43">
      <c r="A211" s="6" t="s">
        <v>2262</v>
      </c>
      <c r="B211" t="s">
        <v>188</v>
      </c>
      <c r="C211" t="s">
        <v>1200</v>
      </c>
      <c r="D211" t="s">
        <v>1310</v>
      </c>
      <c r="F211" t="s">
        <v>269</v>
      </c>
      <c r="H211" t="s">
        <v>636</v>
      </c>
      <c r="I211" t="s">
        <v>33</v>
      </c>
      <c r="J211" s="6" t="s">
        <v>271</v>
      </c>
      <c r="K211" t="s">
        <v>148</v>
      </c>
      <c r="L211" t="s">
        <v>149</v>
      </c>
      <c r="M211" s="3">
        <v>39820</v>
      </c>
      <c r="N211" t="b">
        <v>1</v>
      </c>
      <c r="O211" t="b">
        <v>0</v>
      </c>
      <c r="P211" t="b">
        <v>0</v>
      </c>
      <c r="Q211" t="b">
        <v>0</v>
      </c>
      <c r="R211" t="b">
        <v>0</v>
      </c>
      <c r="S211" t="b">
        <v>0</v>
      </c>
      <c r="T211" t="b">
        <v>0</v>
      </c>
      <c r="U211" t="b">
        <v>0</v>
      </c>
      <c r="V211" t="b">
        <v>0</v>
      </c>
      <c r="W211" t="b">
        <v>0</v>
      </c>
      <c r="X211" t="b">
        <v>0</v>
      </c>
      <c r="Y211" t="b">
        <v>0</v>
      </c>
      <c r="Z211" t="b">
        <v>0</v>
      </c>
      <c r="AA211" t="b">
        <v>1</v>
      </c>
      <c r="AB211" t="b">
        <v>1</v>
      </c>
      <c r="AC211" t="s">
        <v>2882</v>
      </c>
      <c r="AD211" t="b">
        <v>0</v>
      </c>
      <c r="AE211" t="b">
        <v>0</v>
      </c>
      <c r="AF211" t="b">
        <v>0</v>
      </c>
      <c r="AG211" t="b">
        <v>0</v>
      </c>
      <c r="AH211" t="b">
        <v>1</v>
      </c>
      <c r="AI211">
        <v>1</v>
      </c>
      <c r="AJ211" t="s">
        <v>2039</v>
      </c>
      <c r="AK211" t="s">
        <v>491</v>
      </c>
      <c r="AL211">
        <v>1</v>
      </c>
      <c r="AM211" t="b">
        <v>1</v>
      </c>
      <c r="AN211" t="b">
        <v>0</v>
      </c>
      <c r="AO211" t="b">
        <v>0</v>
      </c>
      <c r="AP211">
        <f>IF(ISNUMBER(tblPeople[[#This Row],[dob]]),DATEDIF(tblPeople[[#This Row],[dob]],RunDate,"y"),"")</f>
        <v>0</v>
      </c>
      <c r="AQ211">
        <f>COUNTIFS(tblReview[person_id],tblPeople[[#This Row],[person_id]],tblReview[status],"OPEN")</f>
        <v>0</v>
      </c>
    </row>
    <row r="212" spans="1:43">
      <c r="A212" s="6" t="s">
        <v>2265</v>
      </c>
      <c r="B212" t="s">
        <v>1204</v>
      </c>
      <c r="D212" t="s">
        <v>1310</v>
      </c>
      <c r="F212" t="s">
        <v>269</v>
      </c>
      <c r="H212" t="s">
        <v>636</v>
      </c>
      <c r="I212" t="s">
        <v>33</v>
      </c>
      <c r="J212" s="6" t="s">
        <v>271</v>
      </c>
      <c r="K212" t="s">
        <v>148</v>
      </c>
      <c r="L212" t="s">
        <v>149</v>
      </c>
      <c r="M212" s="3"/>
      <c r="N212" t="b">
        <v>0</v>
      </c>
      <c r="O212" t="b">
        <v>0</v>
      </c>
      <c r="P212" t="b">
        <v>0</v>
      </c>
      <c r="Q212" t="b">
        <v>0</v>
      </c>
      <c r="R212" t="b">
        <v>0</v>
      </c>
      <c r="S212" t="b">
        <v>0</v>
      </c>
      <c r="T212" t="b">
        <v>0</v>
      </c>
      <c r="U212" t="b">
        <v>0</v>
      </c>
      <c r="V212" t="b">
        <v>0</v>
      </c>
      <c r="W212" t="b">
        <v>0</v>
      </c>
      <c r="X212" t="b">
        <v>0</v>
      </c>
      <c r="Y212" t="b">
        <v>0</v>
      </c>
      <c r="Z212" t="b">
        <v>0</v>
      </c>
      <c r="AA212" t="b">
        <v>0</v>
      </c>
      <c r="AB212" t="b">
        <v>0</v>
      </c>
      <c r="AD212" t="b">
        <v>0</v>
      </c>
      <c r="AE212" t="b">
        <v>0</v>
      </c>
      <c r="AF212" t="b">
        <v>0</v>
      </c>
      <c r="AG212" t="b">
        <v>0</v>
      </c>
      <c r="AH212" t="b">
        <v>0</v>
      </c>
      <c r="AI212">
        <v>1</v>
      </c>
      <c r="AJ212" t="s">
        <v>2039</v>
      </c>
      <c r="AK212" t="s">
        <v>491</v>
      </c>
      <c r="AL212">
        <v>1</v>
      </c>
      <c r="AM212" t="b">
        <v>0</v>
      </c>
      <c r="AN212" t="b">
        <v>1</v>
      </c>
      <c r="AO212" t="b">
        <v>0</v>
      </c>
      <c r="AP212">
        <f>IF(ISNUMBER(tblPeople[[#This Row],[dob]]),DATEDIF(tblPeople[[#This Row],[dob]],RunDate,"y"),"")</f>
        <v>0</v>
      </c>
      <c r="AQ212">
        <f>COUNTIFS(tblReview[person_id],tblPeople[[#This Row],[person_id]],tblReview[status],"OPEN")</f>
        <v>0</v>
      </c>
    </row>
    <row r="213" spans="1:43">
      <c r="A213" s="6" t="s">
        <v>2269</v>
      </c>
      <c r="B213" t="s">
        <v>546</v>
      </c>
      <c r="D213" t="s">
        <v>547</v>
      </c>
      <c r="F213" t="s">
        <v>548</v>
      </c>
      <c r="H213" t="s">
        <v>549</v>
      </c>
      <c r="I213" t="s">
        <v>33</v>
      </c>
      <c r="J213" s="6" t="s">
        <v>550</v>
      </c>
      <c r="K213" t="s">
        <v>148</v>
      </c>
      <c r="L213" t="s">
        <v>149</v>
      </c>
      <c r="M213" s="3"/>
      <c r="N213" t="b">
        <v>0</v>
      </c>
      <c r="O213" t="b">
        <v>0</v>
      </c>
      <c r="P213" t="b">
        <v>0</v>
      </c>
      <c r="Q213" t="b">
        <v>0</v>
      </c>
      <c r="R213" t="b">
        <v>0</v>
      </c>
      <c r="S213" t="b">
        <v>0</v>
      </c>
      <c r="T213" t="b">
        <v>0</v>
      </c>
      <c r="U213" t="b">
        <v>0</v>
      </c>
      <c r="V213" t="b">
        <v>0</v>
      </c>
      <c r="W213" t="b">
        <v>0</v>
      </c>
      <c r="X213" t="b">
        <v>0</v>
      </c>
      <c r="Y213" t="b">
        <v>0</v>
      </c>
      <c r="Z213" t="b">
        <v>0</v>
      </c>
      <c r="AA213" t="b">
        <v>0</v>
      </c>
      <c r="AB213" t="b">
        <v>0</v>
      </c>
      <c r="AD213" t="b">
        <v>0</v>
      </c>
      <c r="AE213" t="b">
        <v>0</v>
      </c>
      <c r="AF213" t="b">
        <v>0</v>
      </c>
      <c r="AG213" t="b">
        <v>0</v>
      </c>
      <c r="AH213" t="b">
        <v>0</v>
      </c>
      <c r="AI213">
        <v>1</v>
      </c>
      <c r="AJ213" t="s">
        <v>2039</v>
      </c>
      <c r="AK213" t="s">
        <v>491</v>
      </c>
      <c r="AL213">
        <v>1</v>
      </c>
      <c r="AM213" t="b">
        <v>0</v>
      </c>
      <c r="AN213" t="b">
        <v>1</v>
      </c>
      <c r="AO213" t="b">
        <v>0</v>
      </c>
      <c r="AP213">
        <f>IF(ISNUMBER(tblPeople[[#This Row],[dob]]),DATEDIF(tblPeople[[#This Row],[dob]],RunDate,"y"),"")</f>
        <v>0</v>
      </c>
      <c r="AQ213">
        <f>COUNTIFS(tblReview[person_id],tblPeople[[#This Row],[person_id]],tblReview[status],"OPEN")</f>
        <v>0</v>
      </c>
    </row>
    <row r="214" spans="1:43">
      <c r="A214" s="6" t="s">
        <v>2277</v>
      </c>
      <c r="B214" t="s">
        <v>2271</v>
      </c>
      <c r="C214" t="s">
        <v>163</v>
      </c>
      <c r="D214" t="s">
        <v>2272</v>
      </c>
      <c r="F214" t="s">
        <v>2273</v>
      </c>
      <c r="H214" t="s">
        <v>2274</v>
      </c>
      <c r="I214" t="s">
        <v>40</v>
      </c>
      <c r="J214" s="6" t="s">
        <v>2275</v>
      </c>
      <c r="K214" t="s">
        <v>148</v>
      </c>
      <c r="L214" t="s">
        <v>205</v>
      </c>
      <c r="M214" s="3">
        <v>41635</v>
      </c>
      <c r="N214" t="b">
        <v>1</v>
      </c>
      <c r="O214" t="b">
        <v>0</v>
      </c>
      <c r="P214" t="b">
        <v>0</v>
      </c>
      <c r="Q214" t="b">
        <v>0</v>
      </c>
      <c r="R214" t="b">
        <v>0</v>
      </c>
      <c r="S214" t="b">
        <v>0</v>
      </c>
      <c r="T214" t="b">
        <v>0</v>
      </c>
      <c r="U214" t="b">
        <v>0</v>
      </c>
      <c r="V214" t="b">
        <v>0</v>
      </c>
      <c r="W214" t="b">
        <v>0</v>
      </c>
      <c r="X214" t="b">
        <v>0</v>
      </c>
      <c r="Y214" t="b">
        <v>0</v>
      </c>
      <c r="Z214" t="b">
        <v>0</v>
      </c>
      <c r="AA214" t="b">
        <v>1</v>
      </c>
      <c r="AB214" t="b">
        <v>1</v>
      </c>
      <c r="AC214" t="s">
        <v>2882</v>
      </c>
      <c r="AD214" t="b">
        <v>0</v>
      </c>
      <c r="AE214" t="b">
        <v>0</v>
      </c>
      <c r="AF214" t="b">
        <v>0</v>
      </c>
      <c r="AG214" t="b">
        <v>0</v>
      </c>
      <c r="AH214" t="b">
        <v>1</v>
      </c>
      <c r="AI214">
        <v>1</v>
      </c>
      <c r="AJ214" t="s">
        <v>2039</v>
      </c>
      <c r="AK214" t="s">
        <v>491</v>
      </c>
      <c r="AL214">
        <v>1</v>
      </c>
      <c r="AM214" t="b">
        <v>1</v>
      </c>
      <c r="AN214" t="b">
        <v>0</v>
      </c>
      <c r="AO214" t="b">
        <v>0</v>
      </c>
      <c r="AP214">
        <f>IF(ISNUMBER(tblPeople[[#This Row],[dob]]),DATEDIF(tblPeople[[#This Row],[dob]],RunDate,"y"),"")</f>
        <v>0</v>
      </c>
      <c r="AQ214">
        <f>COUNTIFS(tblReview[person_id],tblPeople[[#This Row],[person_id]],tblReview[status],"OPEN")</f>
        <v>0</v>
      </c>
    </row>
    <row r="215" spans="1:43">
      <c r="A215" s="6" t="s">
        <v>2280</v>
      </c>
      <c r="B215" t="s">
        <v>188</v>
      </c>
      <c r="D215" t="s">
        <v>2272</v>
      </c>
      <c r="F215" t="s">
        <v>2273</v>
      </c>
      <c r="H215" t="s">
        <v>2274</v>
      </c>
      <c r="I215" t="s">
        <v>40</v>
      </c>
      <c r="J215" s="6" t="s">
        <v>2275</v>
      </c>
      <c r="K215" t="s">
        <v>148</v>
      </c>
      <c r="L215" t="s">
        <v>205</v>
      </c>
      <c r="M215" s="3"/>
      <c r="N215" t="b">
        <v>0</v>
      </c>
      <c r="O215" t="b">
        <v>0</v>
      </c>
      <c r="P215" t="b">
        <v>0</v>
      </c>
      <c r="Q215" t="b">
        <v>0</v>
      </c>
      <c r="R215" t="b">
        <v>0</v>
      </c>
      <c r="S215" t="b">
        <v>0</v>
      </c>
      <c r="T215" t="b">
        <v>0</v>
      </c>
      <c r="U215" t="b">
        <v>0</v>
      </c>
      <c r="V215" t="b">
        <v>0</v>
      </c>
      <c r="W215" t="b">
        <v>0</v>
      </c>
      <c r="X215" t="b">
        <v>0</v>
      </c>
      <c r="Y215" t="b">
        <v>0</v>
      </c>
      <c r="Z215" t="b">
        <v>0</v>
      </c>
      <c r="AA215" t="b">
        <v>0</v>
      </c>
      <c r="AB215" t="b">
        <v>0</v>
      </c>
      <c r="AD215" t="b">
        <v>0</v>
      </c>
      <c r="AE215" t="b">
        <v>0</v>
      </c>
      <c r="AF215" t="b">
        <v>0</v>
      </c>
      <c r="AG215" t="b">
        <v>0</v>
      </c>
      <c r="AH215" t="b">
        <v>0</v>
      </c>
      <c r="AI215">
        <v>1</v>
      </c>
      <c r="AJ215" t="s">
        <v>2039</v>
      </c>
      <c r="AK215" t="s">
        <v>491</v>
      </c>
      <c r="AL215">
        <v>1</v>
      </c>
      <c r="AM215" t="b">
        <v>0</v>
      </c>
      <c r="AN215" t="b">
        <v>0</v>
      </c>
      <c r="AO215" t="b">
        <v>0</v>
      </c>
      <c r="AP215">
        <f>IF(ISNUMBER(tblPeople[[#This Row],[dob]]),DATEDIF(tblPeople[[#This Row],[dob]],RunDate,"y"),"")</f>
        <v>0</v>
      </c>
      <c r="AQ215">
        <f>COUNTIFS(tblReview[person_id],tblPeople[[#This Row],[person_id]],tblReview[status],"OPEN")</f>
        <v>0</v>
      </c>
    </row>
    <row r="216" spans="1:43">
      <c r="A216" s="6" t="s">
        <v>2284</v>
      </c>
      <c r="B216" t="s">
        <v>298</v>
      </c>
      <c r="D216" t="s">
        <v>300</v>
      </c>
      <c r="F216" t="s">
        <v>301</v>
      </c>
      <c r="H216" t="s">
        <v>302</v>
      </c>
      <c r="I216" t="s">
        <v>35</v>
      </c>
      <c r="J216" s="6" t="s">
        <v>303</v>
      </c>
      <c r="K216" t="s">
        <v>148</v>
      </c>
      <c r="L216" t="s">
        <v>149</v>
      </c>
      <c r="M216" s="3"/>
      <c r="N216" t="b">
        <v>0</v>
      </c>
      <c r="O216" t="b">
        <v>0</v>
      </c>
      <c r="P216" t="b">
        <v>0</v>
      </c>
      <c r="Q216" t="b">
        <v>0</v>
      </c>
      <c r="R216" t="b">
        <v>0</v>
      </c>
      <c r="S216" t="b">
        <v>0</v>
      </c>
      <c r="T216" t="b">
        <v>0</v>
      </c>
      <c r="U216" t="b">
        <v>0</v>
      </c>
      <c r="V216" t="b">
        <v>0</v>
      </c>
      <c r="W216" t="b">
        <v>0</v>
      </c>
      <c r="X216" t="b">
        <v>0</v>
      </c>
      <c r="Y216" t="b">
        <v>0</v>
      </c>
      <c r="Z216" t="b">
        <v>0</v>
      </c>
      <c r="AA216" t="b">
        <v>0</v>
      </c>
      <c r="AB216" t="b">
        <v>0</v>
      </c>
      <c r="AD216" t="b">
        <v>0</v>
      </c>
      <c r="AE216" t="b">
        <v>0</v>
      </c>
      <c r="AF216" t="b">
        <v>0</v>
      </c>
      <c r="AG216" t="b">
        <v>0</v>
      </c>
      <c r="AH216" t="b">
        <v>0</v>
      </c>
      <c r="AI216">
        <v>1</v>
      </c>
      <c r="AJ216" t="s">
        <v>2039</v>
      </c>
      <c r="AK216" t="s">
        <v>491</v>
      </c>
      <c r="AL216">
        <v>1</v>
      </c>
      <c r="AM216" t="b">
        <v>0</v>
      </c>
      <c r="AN216" t="b">
        <v>1</v>
      </c>
      <c r="AO216" t="b">
        <v>0</v>
      </c>
      <c r="AP216">
        <f>IF(ISNUMBER(tblPeople[[#This Row],[dob]]),DATEDIF(tblPeople[[#This Row],[dob]],RunDate,"y"),"")</f>
        <v>0</v>
      </c>
      <c r="AQ216">
        <f>COUNTIFS(tblReview[person_id],tblPeople[[#This Row],[person_id]],tblReview[status],"OPEN")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X2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/>
  <cols>
    <col min="1" max="1" width="11.7109375" customWidth="1"/>
    <col min="2" max="2" width="14.7109375" customWidth="1"/>
    <col min="3" max="3" width="11.7109375" customWidth="1"/>
    <col min="4" max="4" width="12.7109375" customWidth="1"/>
    <col min="5" max="5" width="16.7109375" customWidth="1"/>
    <col min="6" max="6" width="13.7109375" customWidth="1"/>
    <col min="7" max="8" width="15.7109375" customWidth="1"/>
    <col min="9" max="12" width="10.7109375" customWidth="1"/>
    <col min="13" max="13" width="18.7109375" customWidth="1"/>
    <col min="14" max="14" width="17.7109375" customWidth="1"/>
    <col min="15" max="15" width="15.7109375" customWidth="1"/>
    <col min="16" max="16" width="13.7109375" customWidth="1"/>
    <col min="17" max="17" width="12.7109375" customWidth="1"/>
    <col min="18" max="18" width="16.7109375" customWidth="1"/>
    <col min="19" max="19" width="15.7109375" customWidth="1"/>
    <col min="20" max="20" width="18.7109375" customWidth="1"/>
    <col min="21" max="21" width="22.7109375" customWidth="1"/>
    <col min="22" max="22" width="14.7109375" customWidth="1"/>
    <col min="23" max="23" width="11.7109375" customWidth="1"/>
    <col min="24" max="24" width="15.7109375" customWidth="1"/>
  </cols>
  <sheetData>
    <row r="1" spans="1:24">
      <c r="A1" t="s">
        <v>129</v>
      </c>
      <c r="B1" t="s">
        <v>2883</v>
      </c>
      <c r="C1" t="s">
        <v>69</v>
      </c>
      <c r="D1" t="s">
        <v>66</v>
      </c>
      <c r="E1" t="s">
        <v>68</v>
      </c>
      <c r="F1" t="s">
        <v>70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78</v>
      </c>
      <c r="M1" t="s">
        <v>2813</v>
      </c>
      <c r="N1" t="s">
        <v>2823</v>
      </c>
      <c r="O1" t="s">
        <v>2884</v>
      </c>
      <c r="P1" t="s">
        <v>2885</v>
      </c>
      <c r="Q1" t="s">
        <v>124</v>
      </c>
      <c r="R1" t="s">
        <v>79</v>
      </c>
      <c r="S1" t="s">
        <v>2886</v>
      </c>
      <c r="T1" t="s">
        <v>2887</v>
      </c>
      <c r="U1" t="s">
        <v>2888</v>
      </c>
      <c r="V1" t="s">
        <v>2889</v>
      </c>
      <c r="W1" t="s">
        <v>2890</v>
      </c>
      <c r="X1" t="s">
        <v>2891</v>
      </c>
    </row>
    <row r="2" spans="1:24">
      <c r="A2" s="6" t="s">
        <v>156</v>
      </c>
      <c r="B2" t="s">
        <v>33</v>
      </c>
      <c r="C2" t="s">
        <v>143</v>
      </c>
      <c r="D2" t="s">
        <v>141</v>
      </c>
      <c r="E2" t="s">
        <v>142</v>
      </c>
      <c r="G2" t="s">
        <v>145</v>
      </c>
      <c r="I2" t="s">
        <v>146</v>
      </c>
      <c r="J2" t="s">
        <v>33</v>
      </c>
      <c r="K2" s="6" t="s">
        <v>147</v>
      </c>
      <c r="L2" t="s">
        <v>148</v>
      </c>
      <c r="M2" t="s">
        <v>2826</v>
      </c>
      <c r="N2" t="b">
        <v>1</v>
      </c>
      <c r="O2" t="s">
        <v>2892</v>
      </c>
      <c r="Q2" t="b">
        <v>0</v>
      </c>
      <c r="R2" t="s">
        <v>149</v>
      </c>
      <c r="S2" t="s">
        <v>2893</v>
      </c>
      <c r="T2" cm="1">
        <f t="array" ref="T2">_xlfn.XLOOKUP(tblNotify[[#This Row],[person_id]],tblPeople[person_id],tblPeople[elements_exposed],"NOT FOUND")&amp;""</f>
        <v>0</v>
      </c>
      <c r="U2">
        <f>INDEX(tblPeople[elements_exposed],MATCH(tblNotify[[#This Row],[person_id]],tblPeople[person_id],0))&amp;""</f>
        <v>0</v>
      </c>
      <c r="V2">
        <f>_xlfn.TEXTJOIN(" ",TRUE,tblNotify[[#This Row],[first_name]],tblNotify[[#This Row],[middle_initial]],tblNotify[[#This Row],[last_name]],tblNotify[[#This Row],[name_suffix]])</f>
        <v>0</v>
      </c>
      <c r="W2" cm="1">
        <f t="array" ref="W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">
        <f>tblNotify[[#This Row],[status_xl]]=tblNotify[[#This Row],[notify_status]]</f>
        <v>0</v>
      </c>
    </row>
    <row r="3" spans="1:24">
      <c r="A3" s="6" t="s">
        <v>173</v>
      </c>
      <c r="B3" t="s">
        <v>38</v>
      </c>
      <c r="C3" t="s">
        <v>164</v>
      </c>
      <c r="D3" t="s">
        <v>162</v>
      </c>
      <c r="E3" t="s">
        <v>163</v>
      </c>
      <c r="G3" t="s">
        <v>165</v>
      </c>
      <c r="I3" t="s">
        <v>166</v>
      </c>
      <c r="J3" t="s">
        <v>38</v>
      </c>
      <c r="K3" s="6" t="s">
        <v>167</v>
      </c>
      <c r="L3" t="s">
        <v>148</v>
      </c>
      <c r="M3" t="s">
        <v>2829</v>
      </c>
      <c r="N3" t="b">
        <v>1</v>
      </c>
      <c r="O3" t="s">
        <v>2894</v>
      </c>
      <c r="Q3" t="b">
        <v>0</v>
      </c>
      <c r="R3" t="s">
        <v>149</v>
      </c>
      <c r="S3" t="s">
        <v>2893</v>
      </c>
      <c r="T3" cm="1">
        <f t="array" ref="T3">_xlfn.XLOOKUP(tblNotify[[#This Row],[person_id]],tblPeople[person_id],tblPeople[elements_exposed],"NOT FOUND")&amp;""</f>
        <v>0</v>
      </c>
      <c r="U3">
        <f>INDEX(tblPeople[elements_exposed],MATCH(tblNotify[[#This Row],[person_id]],tblPeople[person_id],0))&amp;""</f>
        <v>0</v>
      </c>
      <c r="V3">
        <f>_xlfn.TEXTJOIN(" ",TRUE,tblNotify[[#This Row],[first_name]],tblNotify[[#This Row],[middle_initial]],tblNotify[[#This Row],[last_name]],tblNotify[[#This Row],[name_suffix]])</f>
        <v>0</v>
      </c>
      <c r="W3" cm="1">
        <f t="array" ref="W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3">
        <f>tblNotify[[#This Row],[status_xl]]=tblNotify[[#This Row],[notify_status]]</f>
        <v>0</v>
      </c>
    </row>
    <row r="4" spans="1:24">
      <c r="A4" s="6" t="s">
        <v>184</v>
      </c>
      <c r="B4" t="s">
        <v>40</v>
      </c>
      <c r="C4" t="s">
        <v>179</v>
      </c>
      <c r="D4" t="s">
        <v>177</v>
      </c>
      <c r="E4" t="s">
        <v>178</v>
      </c>
      <c r="G4" t="s">
        <v>180</v>
      </c>
      <c r="I4" t="s">
        <v>181</v>
      </c>
      <c r="J4" t="s">
        <v>40</v>
      </c>
      <c r="K4" s="6" t="s">
        <v>182</v>
      </c>
      <c r="L4" t="s">
        <v>148</v>
      </c>
      <c r="M4" t="s">
        <v>2831</v>
      </c>
      <c r="N4" t="b">
        <v>1</v>
      </c>
      <c r="O4" t="s">
        <v>2895</v>
      </c>
      <c r="Q4" t="b">
        <v>0</v>
      </c>
      <c r="R4" t="s">
        <v>149</v>
      </c>
      <c r="S4" t="s">
        <v>2896</v>
      </c>
      <c r="T4" cm="1">
        <f t="array" ref="T4">_xlfn.XLOOKUP(tblNotify[[#This Row],[person_id]],tblPeople[person_id],tblPeople[elements_exposed],"NOT FOUND")&amp;""</f>
        <v>0</v>
      </c>
      <c r="U4">
        <f>INDEX(tblPeople[elements_exposed],MATCH(tblNotify[[#This Row],[person_id]],tblPeople[person_id],0))&amp;""</f>
        <v>0</v>
      </c>
      <c r="V4">
        <f>_xlfn.TEXTJOIN(" ",TRUE,tblNotify[[#This Row],[first_name]],tblNotify[[#This Row],[middle_initial]],tblNotify[[#This Row],[last_name]],tblNotify[[#This Row],[name_suffix]])</f>
        <v>0</v>
      </c>
      <c r="W4" cm="1">
        <f t="array" ref="W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4">
        <f>tblNotify[[#This Row],[status_xl]]=tblNotify[[#This Row],[notify_status]]</f>
        <v>0</v>
      </c>
    </row>
    <row r="5" spans="1:24">
      <c r="A5" s="6" t="s">
        <v>195</v>
      </c>
      <c r="B5" t="s">
        <v>38</v>
      </c>
      <c r="C5" t="s">
        <v>190</v>
      </c>
      <c r="D5" t="s">
        <v>188</v>
      </c>
      <c r="E5" t="s">
        <v>189</v>
      </c>
      <c r="G5" t="s">
        <v>191</v>
      </c>
      <c r="I5" t="s">
        <v>192</v>
      </c>
      <c r="J5" t="s">
        <v>38</v>
      </c>
      <c r="K5" s="6" t="s">
        <v>193</v>
      </c>
      <c r="L5" t="s">
        <v>148</v>
      </c>
      <c r="M5" t="s">
        <v>2826</v>
      </c>
      <c r="N5" t="b">
        <v>1</v>
      </c>
      <c r="O5" t="s">
        <v>2892</v>
      </c>
      <c r="Q5" t="b">
        <v>0</v>
      </c>
      <c r="R5" t="s">
        <v>149</v>
      </c>
      <c r="S5" t="s">
        <v>2896</v>
      </c>
      <c r="T5" cm="1">
        <f t="array" ref="T5">_xlfn.XLOOKUP(tblNotify[[#This Row],[person_id]],tblPeople[person_id],tblPeople[elements_exposed],"NOT FOUND")&amp;""</f>
        <v>0</v>
      </c>
      <c r="U5">
        <f>INDEX(tblPeople[elements_exposed],MATCH(tblNotify[[#This Row],[person_id]],tblPeople[person_id],0))&amp;""</f>
        <v>0</v>
      </c>
      <c r="V5">
        <f>_xlfn.TEXTJOIN(" ",TRUE,tblNotify[[#This Row],[first_name]],tblNotify[[#This Row],[middle_initial]],tblNotify[[#This Row],[last_name]],tblNotify[[#This Row],[name_suffix]])</f>
        <v>0</v>
      </c>
      <c r="W5" cm="1">
        <f t="array" ref="W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5">
        <f>tblNotify[[#This Row],[status_xl]]=tblNotify[[#This Row],[notify_status]]</f>
        <v>0</v>
      </c>
    </row>
    <row r="6" spans="1:24">
      <c r="A6" s="6" t="s">
        <v>207</v>
      </c>
      <c r="B6" t="s">
        <v>34</v>
      </c>
      <c r="C6" t="s">
        <v>200</v>
      </c>
      <c r="D6" t="s">
        <v>199</v>
      </c>
      <c r="F6" t="s">
        <v>201</v>
      </c>
      <c r="G6" t="s">
        <v>202</v>
      </c>
      <c r="I6" t="s">
        <v>203</v>
      </c>
      <c r="J6" t="s">
        <v>34</v>
      </c>
      <c r="K6" s="6" t="s">
        <v>204</v>
      </c>
      <c r="L6" t="s">
        <v>148</v>
      </c>
      <c r="M6" t="s">
        <v>2826</v>
      </c>
      <c r="N6" t="b">
        <v>1</v>
      </c>
      <c r="O6" t="s">
        <v>2897</v>
      </c>
      <c r="Q6" t="b">
        <v>0</v>
      </c>
      <c r="R6" t="s">
        <v>205</v>
      </c>
      <c r="S6" t="s">
        <v>2896</v>
      </c>
      <c r="T6" cm="1">
        <f t="array" ref="T6">_xlfn.XLOOKUP(tblNotify[[#This Row],[person_id]],tblPeople[person_id],tblPeople[elements_exposed],"NOT FOUND")&amp;""</f>
        <v>0</v>
      </c>
      <c r="U6">
        <f>INDEX(tblPeople[elements_exposed],MATCH(tblNotify[[#This Row],[person_id]],tblPeople[person_id],0))&amp;""</f>
        <v>0</v>
      </c>
      <c r="V6">
        <f>_xlfn.TEXTJOIN(" ",TRUE,tblNotify[[#This Row],[first_name]],tblNotify[[#This Row],[middle_initial]],tblNotify[[#This Row],[last_name]],tblNotify[[#This Row],[name_suffix]])</f>
        <v>0</v>
      </c>
      <c r="W6" cm="1">
        <f t="array" ref="W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6">
        <f>tblNotify[[#This Row],[status_xl]]=tblNotify[[#This Row],[notify_status]]</f>
        <v>0</v>
      </c>
    </row>
    <row r="7" spans="1:24">
      <c r="A7" s="6" t="s">
        <v>219</v>
      </c>
      <c r="B7" t="s">
        <v>37</v>
      </c>
      <c r="C7" t="s">
        <v>213</v>
      </c>
      <c r="D7" t="s">
        <v>211</v>
      </c>
      <c r="E7" t="s">
        <v>212</v>
      </c>
      <c r="F7" t="s">
        <v>214</v>
      </c>
      <c r="G7" t="s">
        <v>215</v>
      </c>
      <c r="I7" t="s">
        <v>216</v>
      </c>
      <c r="J7" t="s">
        <v>37</v>
      </c>
      <c r="K7" s="6" t="s">
        <v>217</v>
      </c>
      <c r="L7" t="s">
        <v>148</v>
      </c>
      <c r="M7" t="s">
        <v>2835</v>
      </c>
      <c r="N7" t="b">
        <v>1</v>
      </c>
      <c r="O7" t="s">
        <v>2898</v>
      </c>
      <c r="Q7" t="b">
        <v>0</v>
      </c>
      <c r="R7" t="s">
        <v>149</v>
      </c>
      <c r="S7" t="s">
        <v>2896</v>
      </c>
      <c r="T7" cm="1">
        <f t="array" ref="T7">_xlfn.XLOOKUP(tblNotify[[#This Row],[person_id]],tblPeople[person_id],tblPeople[elements_exposed],"NOT FOUND")&amp;""</f>
        <v>0</v>
      </c>
      <c r="U7">
        <f>INDEX(tblPeople[elements_exposed],MATCH(tblNotify[[#This Row],[person_id]],tblPeople[person_id],0))&amp;""</f>
        <v>0</v>
      </c>
      <c r="V7">
        <f>_xlfn.TEXTJOIN(" ",TRUE,tblNotify[[#This Row],[first_name]],tblNotify[[#This Row],[middle_initial]],tblNotify[[#This Row],[last_name]],tblNotify[[#This Row],[name_suffix]])</f>
        <v>0</v>
      </c>
      <c r="W7" cm="1">
        <f t="array" ref="W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7">
        <f>tblNotify[[#This Row],[status_xl]]=tblNotify[[#This Row],[notify_status]]</f>
        <v>0</v>
      </c>
    </row>
    <row r="8" spans="1:24">
      <c r="A8" s="6" t="s">
        <v>230</v>
      </c>
      <c r="B8" t="s">
        <v>37</v>
      </c>
      <c r="C8" t="s">
        <v>225</v>
      </c>
      <c r="D8" t="s">
        <v>223</v>
      </c>
      <c r="E8" t="s">
        <v>224</v>
      </c>
      <c r="G8" t="s">
        <v>226</v>
      </c>
      <c r="I8" t="s">
        <v>227</v>
      </c>
      <c r="J8" t="s">
        <v>37</v>
      </c>
      <c r="K8" s="6" t="s">
        <v>228</v>
      </c>
      <c r="L8" t="s">
        <v>148</v>
      </c>
      <c r="M8" t="s">
        <v>2835</v>
      </c>
      <c r="N8" t="b">
        <v>1</v>
      </c>
      <c r="O8" t="s">
        <v>2899</v>
      </c>
      <c r="Q8" t="b">
        <v>0</v>
      </c>
      <c r="R8" t="s">
        <v>149</v>
      </c>
      <c r="S8" t="s">
        <v>2896</v>
      </c>
      <c r="T8" cm="1">
        <f t="array" ref="T8">_xlfn.XLOOKUP(tblNotify[[#This Row],[person_id]],tblPeople[person_id],tblPeople[elements_exposed],"NOT FOUND")&amp;""</f>
        <v>0</v>
      </c>
      <c r="U8">
        <f>INDEX(tblPeople[elements_exposed],MATCH(tblNotify[[#This Row],[person_id]],tblPeople[person_id],0))&amp;""</f>
        <v>0</v>
      </c>
      <c r="V8">
        <f>_xlfn.TEXTJOIN(" ",TRUE,tblNotify[[#This Row],[first_name]],tblNotify[[#This Row],[middle_initial]],tblNotify[[#This Row],[last_name]],tblNotify[[#This Row],[name_suffix]])</f>
        <v>0</v>
      </c>
      <c r="W8" cm="1">
        <f t="array" ref="W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8">
        <f>tblNotify[[#This Row],[status_xl]]=tblNotify[[#This Row],[notify_status]]</f>
        <v>0</v>
      </c>
    </row>
    <row r="9" spans="1:24">
      <c r="A9" s="6" t="s">
        <v>241</v>
      </c>
      <c r="B9" t="s">
        <v>37</v>
      </c>
      <c r="C9" t="s">
        <v>236</v>
      </c>
      <c r="D9" t="s">
        <v>234</v>
      </c>
      <c r="E9" t="s">
        <v>235</v>
      </c>
      <c r="G9" t="s">
        <v>237</v>
      </c>
      <c r="I9" t="s">
        <v>238</v>
      </c>
      <c r="J9" t="s">
        <v>37</v>
      </c>
      <c r="K9" s="6" t="s">
        <v>239</v>
      </c>
      <c r="L9" t="s">
        <v>148</v>
      </c>
      <c r="M9" t="s">
        <v>2835</v>
      </c>
      <c r="N9" t="b">
        <v>1</v>
      </c>
      <c r="O9" t="s">
        <v>2898</v>
      </c>
      <c r="Q9" t="b">
        <v>0</v>
      </c>
      <c r="R9" t="s">
        <v>149</v>
      </c>
      <c r="S9" t="s">
        <v>2893</v>
      </c>
      <c r="T9" cm="1">
        <f t="array" ref="T9">_xlfn.XLOOKUP(tblNotify[[#This Row],[person_id]],tblPeople[person_id],tblPeople[elements_exposed],"NOT FOUND")&amp;""</f>
        <v>0</v>
      </c>
      <c r="U9">
        <f>INDEX(tblPeople[elements_exposed],MATCH(tblNotify[[#This Row],[person_id]],tblPeople[person_id],0))&amp;""</f>
        <v>0</v>
      </c>
      <c r="V9">
        <f>_xlfn.TEXTJOIN(" ",TRUE,tblNotify[[#This Row],[first_name]],tblNotify[[#This Row],[middle_initial]],tblNotify[[#This Row],[last_name]],tblNotify[[#This Row],[name_suffix]])</f>
        <v>0</v>
      </c>
      <c r="W9" cm="1">
        <f t="array" ref="W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9">
        <f>tblNotify[[#This Row],[status_xl]]=tblNotify[[#This Row],[notify_status]]</f>
        <v>0</v>
      </c>
    </row>
    <row r="10" spans="1:24">
      <c r="A10" s="6" t="s">
        <v>256</v>
      </c>
      <c r="B10" t="s">
        <v>39</v>
      </c>
      <c r="C10" t="s">
        <v>248</v>
      </c>
      <c r="D10" t="s">
        <v>247</v>
      </c>
      <c r="E10" t="s">
        <v>224</v>
      </c>
      <c r="G10" t="s">
        <v>250</v>
      </c>
      <c r="I10" t="s">
        <v>251</v>
      </c>
      <c r="J10" t="s">
        <v>39</v>
      </c>
      <c r="K10" s="6" t="s">
        <v>252</v>
      </c>
      <c r="L10" t="s">
        <v>148</v>
      </c>
      <c r="M10" t="s">
        <v>2835</v>
      </c>
      <c r="N10" t="b">
        <v>1</v>
      </c>
      <c r="O10" t="s">
        <v>2900</v>
      </c>
      <c r="Q10" t="b">
        <v>0</v>
      </c>
      <c r="R10" t="s">
        <v>149</v>
      </c>
      <c r="S10" t="s">
        <v>2893</v>
      </c>
      <c r="T10" cm="1">
        <f t="array" ref="T10">_xlfn.XLOOKUP(tblNotify[[#This Row],[person_id]],tblPeople[person_id],tblPeople[elements_exposed],"NOT FOUND")&amp;""</f>
        <v>0</v>
      </c>
      <c r="U10">
        <f>INDEX(tblPeople[elements_exposed],MATCH(tblNotify[[#This Row],[person_id]],tblPeople[person_id],0))&amp;""</f>
        <v>0</v>
      </c>
      <c r="V10">
        <f>_xlfn.TEXTJOIN(" ",TRUE,tblNotify[[#This Row],[first_name]],tblNotify[[#This Row],[middle_initial]],tblNotify[[#This Row],[last_name]],tblNotify[[#This Row],[name_suffix]])</f>
        <v>0</v>
      </c>
      <c r="W10" cm="1">
        <f t="array" ref="W1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0">
        <f>tblNotify[[#This Row],[status_xl]]=tblNotify[[#This Row],[notify_status]]</f>
        <v>0</v>
      </c>
    </row>
    <row r="11" spans="1:24">
      <c r="A11" s="6" t="s">
        <v>262</v>
      </c>
      <c r="B11" t="s">
        <v>39</v>
      </c>
      <c r="C11" t="s">
        <v>248</v>
      </c>
      <c r="D11" t="s">
        <v>258</v>
      </c>
      <c r="E11" t="s">
        <v>259</v>
      </c>
      <c r="G11" t="s">
        <v>250</v>
      </c>
      <c r="I11" t="s">
        <v>251</v>
      </c>
      <c r="J11" t="s">
        <v>39</v>
      </c>
      <c r="K11" s="6" t="s">
        <v>252</v>
      </c>
      <c r="L11" t="s">
        <v>148</v>
      </c>
      <c r="M11" t="s">
        <v>2826</v>
      </c>
      <c r="N11" t="b">
        <v>1</v>
      </c>
      <c r="O11" t="s">
        <v>2901</v>
      </c>
      <c r="P11" t="s">
        <v>2902</v>
      </c>
      <c r="Q11" t="b">
        <v>0</v>
      </c>
      <c r="R11" t="s">
        <v>149</v>
      </c>
      <c r="S11" t="s">
        <v>2893</v>
      </c>
      <c r="T11" cm="1">
        <f t="array" ref="T11">_xlfn.XLOOKUP(tblNotify[[#This Row],[person_id]],tblPeople[person_id],tblPeople[elements_exposed],"NOT FOUND")&amp;""</f>
        <v>0</v>
      </c>
      <c r="U11">
        <f>INDEX(tblPeople[elements_exposed],MATCH(tblNotify[[#This Row],[person_id]],tblPeople[person_id],0))&amp;""</f>
        <v>0</v>
      </c>
      <c r="V11">
        <f>_xlfn.TEXTJOIN(" ",TRUE,tblNotify[[#This Row],[first_name]],tblNotify[[#This Row],[middle_initial]],tblNotify[[#This Row],[last_name]],tblNotify[[#This Row],[name_suffix]])</f>
        <v>0</v>
      </c>
      <c r="W11" cm="1">
        <f t="array" ref="W1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1">
        <f>tblNotify[[#This Row],[status_xl]]=tblNotify[[#This Row],[notify_status]]</f>
        <v>0</v>
      </c>
    </row>
    <row r="12" spans="1:24">
      <c r="A12" s="6" t="s">
        <v>277</v>
      </c>
      <c r="B12" t="s">
        <v>33</v>
      </c>
      <c r="C12" t="s">
        <v>268</v>
      </c>
      <c r="D12" t="s">
        <v>266</v>
      </c>
      <c r="E12" t="s">
        <v>267</v>
      </c>
      <c r="G12" t="s">
        <v>269</v>
      </c>
      <c r="I12" t="s">
        <v>636</v>
      </c>
      <c r="J12" t="s">
        <v>33</v>
      </c>
      <c r="K12" s="6" t="s">
        <v>271</v>
      </c>
      <c r="L12" t="s">
        <v>148</v>
      </c>
      <c r="M12" t="s">
        <v>2826</v>
      </c>
      <c r="N12" t="b">
        <v>1</v>
      </c>
      <c r="O12" t="s">
        <v>2903</v>
      </c>
      <c r="Q12" t="b">
        <v>0</v>
      </c>
      <c r="R12" t="s">
        <v>149</v>
      </c>
      <c r="S12" t="s">
        <v>2893</v>
      </c>
      <c r="T12" cm="1">
        <f t="array" ref="T12">_xlfn.XLOOKUP(tblNotify[[#This Row],[person_id]],tblPeople[person_id],tblPeople[elements_exposed],"NOT FOUND")&amp;""</f>
        <v>0</v>
      </c>
      <c r="U12">
        <f>INDEX(tblPeople[elements_exposed],MATCH(tblNotify[[#This Row],[person_id]],tblPeople[person_id],0))&amp;""</f>
        <v>0</v>
      </c>
      <c r="V12">
        <f>_xlfn.TEXTJOIN(" ",TRUE,tblNotify[[#This Row],[first_name]],tblNotify[[#This Row],[middle_initial]],tblNotify[[#This Row],[last_name]],tblNotify[[#This Row],[name_suffix]])</f>
        <v>0</v>
      </c>
      <c r="W12" cm="1">
        <f t="array" ref="W1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2">
        <f>tblNotify[[#This Row],[status_xl]]=tblNotify[[#This Row],[notify_status]]</f>
        <v>0</v>
      </c>
    </row>
    <row r="13" spans="1:24">
      <c r="A13" s="6" t="s">
        <v>291</v>
      </c>
      <c r="B13" t="s">
        <v>39</v>
      </c>
      <c r="C13" t="s">
        <v>282</v>
      </c>
      <c r="D13" t="s">
        <v>281</v>
      </c>
      <c r="E13" t="s">
        <v>142</v>
      </c>
      <c r="G13" t="s">
        <v>283</v>
      </c>
      <c r="I13" t="s">
        <v>284</v>
      </c>
      <c r="J13" t="s">
        <v>39</v>
      </c>
      <c r="K13" s="6" t="s">
        <v>627</v>
      </c>
      <c r="L13" t="s">
        <v>148</v>
      </c>
      <c r="M13" t="s">
        <v>2826</v>
      </c>
      <c r="N13" t="b">
        <v>1</v>
      </c>
      <c r="O13" t="s">
        <v>2903</v>
      </c>
      <c r="Q13" t="b">
        <v>0</v>
      </c>
      <c r="R13" t="s">
        <v>149</v>
      </c>
      <c r="S13" t="s">
        <v>2896</v>
      </c>
      <c r="T13" cm="1">
        <f t="array" ref="T13">_xlfn.XLOOKUP(tblNotify[[#This Row],[person_id]],tblPeople[person_id],tblPeople[elements_exposed],"NOT FOUND")&amp;""</f>
        <v>0</v>
      </c>
      <c r="U13">
        <f>INDEX(tblPeople[elements_exposed],MATCH(tblNotify[[#This Row],[person_id]],tblPeople[person_id],0))&amp;""</f>
        <v>0</v>
      </c>
      <c r="V13">
        <f>_xlfn.TEXTJOIN(" ",TRUE,tblNotify[[#This Row],[first_name]],tblNotify[[#This Row],[middle_initial]],tblNotify[[#This Row],[last_name]],tblNotify[[#This Row],[name_suffix]])</f>
        <v>0</v>
      </c>
      <c r="W13" cm="1">
        <f t="array" ref="W1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3">
        <f>tblNotify[[#This Row],[status_xl]]=tblNotify[[#This Row],[notify_status]]</f>
        <v>0</v>
      </c>
    </row>
    <row r="14" spans="1:24">
      <c r="A14" s="6" t="s">
        <v>306</v>
      </c>
      <c r="B14" t="s">
        <v>35</v>
      </c>
      <c r="C14" t="s">
        <v>300</v>
      </c>
      <c r="D14" t="s">
        <v>298</v>
      </c>
      <c r="E14" t="s">
        <v>299</v>
      </c>
      <c r="G14" t="s">
        <v>301</v>
      </c>
      <c r="I14" t="s">
        <v>302</v>
      </c>
      <c r="J14" t="s">
        <v>35</v>
      </c>
      <c r="K14" s="6" t="s">
        <v>303</v>
      </c>
      <c r="L14" t="s">
        <v>148</v>
      </c>
      <c r="M14" t="s">
        <v>2826</v>
      </c>
      <c r="N14" t="b">
        <v>1</v>
      </c>
      <c r="O14" t="s">
        <v>2904</v>
      </c>
      <c r="Q14" t="b">
        <v>0</v>
      </c>
      <c r="R14" t="s">
        <v>149</v>
      </c>
      <c r="S14" t="s">
        <v>2893</v>
      </c>
      <c r="T14" cm="1">
        <f t="array" ref="T14">_xlfn.XLOOKUP(tblNotify[[#This Row],[person_id]],tblPeople[person_id],tblPeople[elements_exposed],"NOT FOUND")&amp;""</f>
        <v>0</v>
      </c>
      <c r="U14">
        <f>INDEX(tblPeople[elements_exposed],MATCH(tblNotify[[#This Row],[person_id]],tblPeople[person_id],0))&amp;""</f>
        <v>0</v>
      </c>
      <c r="V14">
        <f>_xlfn.TEXTJOIN(" ",TRUE,tblNotify[[#This Row],[first_name]],tblNotify[[#This Row],[middle_initial]],tblNotify[[#This Row],[last_name]],tblNotify[[#This Row],[name_suffix]])</f>
        <v>0</v>
      </c>
      <c r="W14" cm="1">
        <f t="array" ref="W1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4">
        <f>tblNotify[[#This Row],[status_xl]]=tblNotify[[#This Row],[notify_status]]</f>
        <v>0</v>
      </c>
    </row>
    <row r="15" spans="1:24">
      <c r="A15" s="6" t="s">
        <v>310</v>
      </c>
      <c r="B15" t="s">
        <v>35</v>
      </c>
      <c r="C15" t="s">
        <v>300</v>
      </c>
      <c r="D15" t="s">
        <v>308</v>
      </c>
      <c r="E15" t="s">
        <v>224</v>
      </c>
      <c r="G15" t="s">
        <v>301</v>
      </c>
      <c r="I15" t="s">
        <v>302</v>
      </c>
      <c r="J15" t="s">
        <v>35</v>
      </c>
      <c r="K15" s="6" t="s">
        <v>303</v>
      </c>
      <c r="L15" t="s">
        <v>148</v>
      </c>
      <c r="M15" t="s">
        <v>2844</v>
      </c>
      <c r="N15" t="b">
        <v>1</v>
      </c>
      <c r="O15" t="s">
        <v>2904</v>
      </c>
      <c r="P15" t="s">
        <v>2905</v>
      </c>
      <c r="Q15" t="b">
        <v>1</v>
      </c>
      <c r="R15" t="s">
        <v>149</v>
      </c>
      <c r="S15" t="s">
        <v>2893</v>
      </c>
      <c r="T15" cm="1">
        <f t="array" ref="T15">_xlfn.XLOOKUP(tblNotify[[#This Row],[person_id]],tblPeople[person_id],tblPeople[elements_exposed],"NOT FOUND")&amp;""</f>
        <v>0</v>
      </c>
      <c r="U15">
        <f>INDEX(tblPeople[elements_exposed],MATCH(tblNotify[[#This Row],[person_id]],tblPeople[person_id],0))&amp;""</f>
        <v>0</v>
      </c>
      <c r="V15">
        <f>_xlfn.TEXTJOIN(" ",TRUE,tblNotify[[#This Row],[first_name]],tblNotify[[#This Row],[middle_initial]],tblNotify[[#This Row],[last_name]],tblNotify[[#This Row],[name_suffix]])</f>
        <v>0</v>
      </c>
      <c r="W15" cm="1">
        <f t="array" ref="W1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5">
        <f>tblNotify[[#This Row],[status_xl]]=tblNotify[[#This Row],[notify_status]]</f>
        <v>0</v>
      </c>
    </row>
    <row r="16" spans="1:24">
      <c r="A16" s="6" t="s">
        <v>321</v>
      </c>
      <c r="B16" t="s">
        <v>34</v>
      </c>
      <c r="C16" t="s">
        <v>315</v>
      </c>
      <c r="D16" t="s">
        <v>314</v>
      </c>
      <c r="E16" t="s">
        <v>163</v>
      </c>
      <c r="G16" t="s">
        <v>316</v>
      </c>
      <c r="I16" t="s">
        <v>317</v>
      </c>
      <c r="J16" t="s">
        <v>34</v>
      </c>
      <c r="K16" s="6" t="s">
        <v>318</v>
      </c>
      <c r="L16" t="s">
        <v>148</v>
      </c>
      <c r="M16" t="s">
        <v>2846</v>
      </c>
      <c r="N16" t="b">
        <v>1</v>
      </c>
      <c r="O16" t="s">
        <v>2906</v>
      </c>
      <c r="Q16" t="b">
        <v>0</v>
      </c>
      <c r="R16" t="s">
        <v>149</v>
      </c>
      <c r="S16" t="s">
        <v>2893</v>
      </c>
      <c r="T16" cm="1">
        <f t="array" ref="T16">_xlfn.XLOOKUP(tblNotify[[#This Row],[person_id]],tblPeople[person_id],tblPeople[elements_exposed],"NOT FOUND")&amp;""</f>
        <v>0</v>
      </c>
      <c r="U16">
        <f>INDEX(tblPeople[elements_exposed],MATCH(tblNotify[[#This Row],[person_id]],tblPeople[person_id],0))&amp;""</f>
        <v>0</v>
      </c>
      <c r="V16">
        <f>_xlfn.TEXTJOIN(" ",TRUE,tblNotify[[#This Row],[first_name]],tblNotify[[#This Row],[middle_initial]],tblNotify[[#This Row],[last_name]],tblNotify[[#This Row],[name_suffix]])</f>
        <v>0</v>
      </c>
      <c r="W16" cm="1">
        <f t="array" ref="W1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6">
        <f>tblNotify[[#This Row],[status_xl]]=tblNotify[[#This Row],[notify_status]]</f>
        <v>0</v>
      </c>
    </row>
    <row r="17" spans="1:24">
      <c r="A17" s="6" t="s">
        <v>327</v>
      </c>
      <c r="B17" t="s">
        <v>34</v>
      </c>
      <c r="C17" t="s">
        <v>315</v>
      </c>
      <c r="D17" t="s">
        <v>323</v>
      </c>
      <c r="E17" t="s">
        <v>324</v>
      </c>
      <c r="G17" t="s">
        <v>316</v>
      </c>
      <c r="I17" t="s">
        <v>317</v>
      </c>
      <c r="J17" t="s">
        <v>34</v>
      </c>
      <c r="K17" s="6" t="s">
        <v>318</v>
      </c>
      <c r="L17" t="s">
        <v>148</v>
      </c>
      <c r="M17" t="s">
        <v>2826</v>
      </c>
      <c r="N17" t="b">
        <v>1</v>
      </c>
      <c r="O17" t="s">
        <v>2901</v>
      </c>
      <c r="Q17" t="b">
        <v>0</v>
      </c>
      <c r="R17" t="s">
        <v>149</v>
      </c>
      <c r="S17" t="s">
        <v>2893</v>
      </c>
      <c r="T17" cm="1">
        <f t="array" ref="T17">_xlfn.XLOOKUP(tblNotify[[#This Row],[person_id]],tblPeople[person_id],tblPeople[elements_exposed],"NOT FOUND")&amp;""</f>
        <v>0</v>
      </c>
      <c r="U17">
        <f>INDEX(tblPeople[elements_exposed],MATCH(tblNotify[[#This Row],[person_id]],tblPeople[person_id],0))&amp;""</f>
        <v>0</v>
      </c>
      <c r="V17">
        <f>_xlfn.TEXTJOIN(" ",TRUE,tblNotify[[#This Row],[first_name]],tblNotify[[#This Row],[middle_initial]],tblNotify[[#This Row],[last_name]],tblNotify[[#This Row],[name_suffix]])</f>
        <v>0</v>
      </c>
      <c r="W17" cm="1">
        <f t="array" ref="W1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7">
        <f>tblNotify[[#This Row],[status_xl]]=tblNotify[[#This Row],[notify_status]]</f>
        <v>0</v>
      </c>
    </row>
    <row r="18" spans="1:24">
      <c r="A18" s="6" t="s">
        <v>336</v>
      </c>
      <c r="B18" t="s">
        <v>33</v>
      </c>
      <c r="C18" t="s">
        <v>332</v>
      </c>
      <c r="D18" t="s">
        <v>331</v>
      </c>
      <c r="E18" t="s">
        <v>142</v>
      </c>
      <c r="G18" t="s">
        <v>333</v>
      </c>
      <c r="I18" t="s">
        <v>334</v>
      </c>
      <c r="J18" t="s">
        <v>33</v>
      </c>
      <c r="K18" s="6" t="s">
        <v>335</v>
      </c>
      <c r="L18" t="s">
        <v>148</v>
      </c>
      <c r="M18" t="s">
        <v>2831</v>
      </c>
      <c r="N18" t="b">
        <v>1</v>
      </c>
      <c r="O18" t="s">
        <v>2907</v>
      </c>
      <c r="Q18" t="b">
        <v>0</v>
      </c>
      <c r="R18" t="s">
        <v>149</v>
      </c>
      <c r="S18" t="s">
        <v>2896</v>
      </c>
      <c r="T18" cm="1">
        <f t="array" ref="T18">_xlfn.XLOOKUP(tblNotify[[#This Row],[person_id]],tblPeople[person_id],tblPeople[elements_exposed],"NOT FOUND")&amp;""</f>
        <v>0</v>
      </c>
      <c r="U18">
        <f>INDEX(tblPeople[elements_exposed],MATCH(tblNotify[[#This Row],[person_id]],tblPeople[person_id],0))&amp;""</f>
        <v>0</v>
      </c>
      <c r="V18">
        <f>_xlfn.TEXTJOIN(" ",TRUE,tblNotify[[#This Row],[first_name]],tblNotify[[#This Row],[middle_initial]],tblNotify[[#This Row],[last_name]],tblNotify[[#This Row],[name_suffix]])</f>
        <v>0</v>
      </c>
      <c r="W18" cm="1">
        <f t="array" ref="W1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8">
        <f>tblNotify[[#This Row],[status_xl]]=tblNotify[[#This Row],[notify_status]]</f>
        <v>0</v>
      </c>
    </row>
    <row r="19" spans="1:24">
      <c r="A19" s="6" t="s">
        <v>367</v>
      </c>
      <c r="B19" t="s">
        <v>33</v>
      </c>
      <c r="C19" t="s">
        <v>357</v>
      </c>
      <c r="D19" t="s">
        <v>356</v>
      </c>
      <c r="G19" t="s">
        <v>358</v>
      </c>
      <c r="I19" t="s">
        <v>359</v>
      </c>
      <c r="J19" t="s">
        <v>33</v>
      </c>
      <c r="K19" s="6" t="s">
        <v>360</v>
      </c>
      <c r="L19" t="s">
        <v>148</v>
      </c>
      <c r="M19" t="s">
        <v>2850</v>
      </c>
      <c r="N19" t="b">
        <v>1</v>
      </c>
      <c r="O19" t="s">
        <v>2908</v>
      </c>
      <c r="Q19" t="b">
        <v>0</v>
      </c>
      <c r="R19" t="s">
        <v>205</v>
      </c>
      <c r="S19" t="s">
        <v>2896</v>
      </c>
      <c r="T19" cm="1">
        <f t="array" ref="T19">_xlfn.XLOOKUP(tblNotify[[#This Row],[person_id]],tblPeople[person_id],tblPeople[elements_exposed],"NOT FOUND")&amp;""</f>
        <v>0</v>
      </c>
      <c r="U19">
        <f>INDEX(tblPeople[elements_exposed],MATCH(tblNotify[[#This Row],[person_id]],tblPeople[person_id],0))&amp;""</f>
        <v>0</v>
      </c>
      <c r="V19">
        <f>_xlfn.TEXTJOIN(" ",TRUE,tblNotify[[#This Row],[first_name]],tblNotify[[#This Row],[middle_initial]],tblNotify[[#This Row],[last_name]],tblNotify[[#This Row],[name_suffix]])</f>
        <v>0</v>
      </c>
      <c r="W19" cm="1">
        <f t="array" ref="W1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9">
        <f>tblNotify[[#This Row],[status_xl]]=tblNotify[[#This Row],[notify_status]]</f>
        <v>0</v>
      </c>
    </row>
    <row r="20" spans="1:24">
      <c r="A20" s="6" t="s">
        <v>382</v>
      </c>
      <c r="B20" t="s">
        <v>33</v>
      </c>
      <c r="C20" t="s">
        <v>372</v>
      </c>
      <c r="D20" t="s">
        <v>371</v>
      </c>
      <c r="G20" t="s">
        <v>373</v>
      </c>
      <c r="H20" t="s">
        <v>374</v>
      </c>
      <c r="I20" t="s">
        <v>375</v>
      </c>
      <c r="J20" t="s">
        <v>33</v>
      </c>
      <c r="K20" s="6" t="s">
        <v>376</v>
      </c>
      <c r="L20" t="s">
        <v>148</v>
      </c>
      <c r="M20" t="s">
        <v>2852</v>
      </c>
      <c r="N20" t="b">
        <v>1</v>
      </c>
      <c r="O20" t="s">
        <v>2909</v>
      </c>
      <c r="Q20" t="b">
        <v>0</v>
      </c>
      <c r="R20" t="s">
        <v>149</v>
      </c>
      <c r="S20" t="s">
        <v>2896</v>
      </c>
      <c r="T20" cm="1">
        <f t="array" ref="T20">_xlfn.XLOOKUP(tblNotify[[#This Row],[person_id]],tblPeople[person_id],tblPeople[elements_exposed],"NOT FOUND")&amp;""</f>
        <v>0</v>
      </c>
      <c r="U20">
        <f>INDEX(tblPeople[elements_exposed],MATCH(tblNotify[[#This Row],[person_id]],tblPeople[person_id],0))&amp;""</f>
        <v>0</v>
      </c>
      <c r="V20">
        <f>_xlfn.TEXTJOIN(" ",TRUE,tblNotify[[#This Row],[first_name]],tblNotify[[#This Row],[middle_initial]],tblNotify[[#This Row],[last_name]],tblNotify[[#This Row],[name_suffix]])</f>
        <v>0</v>
      </c>
      <c r="W20" cm="1">
        <f t="array" ref="W2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0">
        <f>tblNotify[[#This Row],[status_xl]]=tblNotify[[#This Row],[notify_status]]</f>
        <v>0</v>
      </c>
    </row>
    <row r="21" spans="1:24">
      <c r="A21" s="6" t="s">
        <v>403</v>
      </c>
      <c r="B21" t="s">
        <v>38</v>
      </c>
      <c r="C21" t="s">
        <v>394</v>
      </c>
      <c r="D21" t="s">
        <v>393</v>
      </c>
      <c r="E21" t="s">
        <v>299</v>
      </c>
      <c r="G21" t="s">
        <v>395</v>
      </c>
      <c r="I21" t="s">
        <v>396</v>
      </c>
      <c r="J21" t="s">
        <v>38</v>
      </c>
      <c r="K21" s="6" t="s">
        <v>397</v>
      </c>
      <c r="L21" t="s">
        <v>148</v>
      </c>
      <c r="M21" t="s">
        <v>2854</v>
      </c>
      <c r="N21" t="b">
        <v>1</v>
      </c>
      <c r="O21" t="s">
        <v>2904</v>
      </c>
      <c r="Q21" t="b">
        <v>0</v>
      </c>
      <c r="R21" t="s">
        <v>149</v>
      </c>
      <c r="S21" t="s">
        <v>2896</v>
      </c>
      <c r="T21" cm="1">
        <f t="array" ref="T21">_xlfn.XLOOKUP(tblNotify[[#This Row],[person_id]],tblPeople[person_id],tblPeople[elements_exposed],"NOT FOUND")&amp;""</f>
        <v>0</v>
      </c>
      <c r="U21">
        <f>INDEX(tblPeople[elements_exposed],MATCH(tblNotify[[#This Row],[person_id]],tblPeople[person_id],0))&amp;""</f>
        <v>0</v>
      </c>
      <c r="V21">
        <f>_xlfn.TEXTJOIN(" ",TRUE,tblNotify[[#This Row],[first_name]],tblNotify[[#This Row],[middle_initial]],tblNotify[[#This Row],[last_name]],tblNotify[[#This Row],[name_suffix]])</f>
        <v>0</v>
      </c>
      <c r="W21" cm="1">
        <f t="array" ref="W2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1">
        <f>tblNotify[[#This Row],[status_xl]]=tblNotify[[#This Row],[notify_status]]</f>
        <v>0</v>
      </c>
    </row>
    <row r="22" spans="1:24">
      <c r="A22" s="6" t="s">
        <v>416</v>
      </c>
      <c r="B22" t="s">
        <v>39</v>
      </c>
      <c r="C22" t="s">
        <v>408</v>
      </c>
      <c r="D22" t="s">
        <v>407</v>
      </c>
      <c r="G22" t="s">
        <v>409</v>
      </c>
      <c r="I22" t="s">
        <v>410</v>
      </c>
      <c r="J22" t="s">
        <v>39</v>
      </c>
      <c r="K22" s="6" t="s">
        <v>411</v>
      </c>
      <c r="L22" t="s">
        <v>148</v>
      </c>
      <c r="M22" t="s">
        <v>2856</v>
      </c>
      <c r="N22" t="b">
        <v>1</v>
      </c>
      <c r="O22" t="s">
        <v>2910</v>
      </c>
      <c r="Q22" t="b">
        <v>0</v>
      </c>
      <c r="R22" t="s">
        <v>149</v>
      </c>
      <c r="S22" t="s">
        <v>2896</v>
      </c>
      <c r="T22" cm="1">
        <f t="array" ref="T22">_xlfn.XLOOKUP(tblNotify[[#This Row],[person_id]],tblPeople[person_id],tblPeople[elements_exposed],"NOT FOUND")&amp;""</f>
        <v>0</v>
      </c>
      <c r="U22">
        <f>INDEX(tblPeople[elements_exposed],MATCH(tblNotify[[#This Row],[person_id]],tblPeople[person_id],0))&amp;""</f>
        <v>0</v>
      </c>
      <c r="V22">
        <f>_xlfn.TEXTJOIN(" ",TRUE,tblNotify[[#This Row],[first_name]],tblNotify[[#This Row],[middle_initial]],tblNotify[[#This Row],[last_name]],tblNotify[[#This Row],[name_suffix]])</f>
        <v>0</v>
      </c>
      <c r="W22" cm="1">
        <f t="array" ref="W2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2">
        <f>tblNotify[[#This Row],[status_xl]]=tblNotify[[#This Row],[notify_status]]</f>
        <v>0</v>
      </c>
    </row>
    <row r="23" spans="1:24">
      <c r="A23" s="6" t="s">
        <v>429</v>
      </c>
      <c r="B23" t="s">
        <v>40</v>
      </c>
      <c r="C23" t="s">
        <v>423</v>
      </c>
      <c r="D23" t="s">
        <v>422</v>
      </c>
      <c r="E23" t="s">
        <v>163</v>
      </c>
      <c r="G23" t="s">
        <v>645</v>
      </c>
      <c r="I23" t="s">
        <v>646</v>
      </c>
      <c r="J23" t="s">
        <v>40</v>
      </c>
      <c r="K23" s="6" t="s">
        <v>647</v>
      </c>
      <c r="L23" t="s">
        <v>148</v>
      </c>
      <c r="M23" t="s">
        <v>2835</v>
      </c>
      <c r="N23" t="b">
        <v>1</v>
      </c>
      <c r="O23" t="s">
        <v>2911</v>
      </c>
      <c r="Q23" t="b">
        <v>0</v>
      </c>
      <c r="R23" t="s">
        <v>149</v>
      </c>
      <c r="S23" t="s">
        <v>2896</v>
      </c>
      <c r="T23" cm="1">
        <f t="array" ref="T23">_xlfn.XLOOKUP(tblNotify[[#This Row],[person_id]],tblPeople[person_id],tblPeople[elements_exposed],"NOT FOUND")&amp;""</f>
        <v>0</v>
      </c>
      <c r="U23">
        <f>INDEX(tblPeople[elements_exposed],MATCH(tblNotify[[#This Row],[person_id]],tblPeople[person_id],0))&amp;""</f>
        <v>0</v>
      </c>
      <c r="V23">
        <f>_xlfn.TEXTJOIN(" ",TRUE,tblNotify[[#This Row],[first_name]],tblNotify[[#This Row],[middle_initial]],tblNotify[[#This Row],[last_name]],tblNotify[[#This Row],[name_suffix]])</f>
        <v>0</v>
      </c>
      <c r="W23" cm="1">
        <f t="array" ref="W2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3">
        <f>tblNotify[[#This Row],[status_xl]]=tblNotify[[#This Row],[notify_status]]</f>
        <v>0</v>
      </c>
    </row>
    <row r="24" spans="1:24">
      <c r="A24" s="6" t="s">
        <v>440</v>
      </c>
      <c r="B24" t="s">
        <v>40</v>
      </c>
      <c r="C24" t="s">
        <v>435</v>
      </c>
      <c r="D24" t="s">
        <v>433</v>
      </c>
      <c r="E24" t="s">
        <v>434</v>
      </c>
      <c r="G24" t="s">
        <v>436</v>
      </c>
      <c r="I24" t="s">
        <v>437</v>
      </c>
      <c r="J24" t="s">
        <v>40</v>
      </c>
      <c r="K24" s="6" t="s">
        <v>438</v>
      </c>
      <c r="L24" t="s">
        <v>148</v>
      </c>
      <c r="M24" t="s">
        <v>2829</v>
      </c>
      <c r="N24" t="b">
        <v>1</v>
      </c>
      <c r="O24" t="s">
        <v>2912</v>
      </c>
      <c r="Q24" t="b">
        <v>0</v>
      </c>
      <c r="R24" t="s">
        <v>149</v>
      </c>
      <c r="S24" t="s">
        <v>2893</v>
      </c>
      <c r="T24" cm="1">
        <f t="array" ref="T24">_xlfn.XLOOKUP(tblNotify[[#This Row],[person_id]],tblPeople[person_id],tblPeople[elements_exposed],"NOT FOUND")&amp;""</f>
        <v>0</v>
      </c>
      <c r="U24">
        <f>INDEX(tblPeople[elements_exposed],MATCH(tblNotify[[#This Row],[person_id]],tblPeople[person_id],0))&amp;""</f>
        <v>0</v>
      </c>
      <c r="V24">
        <f>_xlfn.TEXTJOIN(" ",TRUE,tblNotify[[#This Row],[first_name]],tblNotify[[#This Row],[middle_initial]],tblNotify[[#This Row],[last_name]],tblNotify[[#This Row],[name_suffix]])</f>
        <v>0</v>
      </c>
      <c r="W24" cm="1">
        <f t="array" ref="W2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4">
        <f>tblNotify[[#This Row],[status_xl]]=tblNotify[[#This Row],[notify_status]]</f>
        <v>0</v>
      </c>
    </row>
    <row r="25" spans="1:24">
      <c r="A25" s="6" t="s">
        <v>451</v>
      </c>
      <c r="B25" t="s">
        <v>34</v>
      </c>
      <c r="C25" t="s">
        <v>445</v>
      </c>
      <c r="D25" t="s">
        <v>444</v>
      </c>
      <c r="F25" t="s">
        <v>446</v>
      </c>
      <c r="G25" t="s">
        <v>447</v>
      </c>
      <c r="I25" t="s">
        <v>203</v>
      </c>
      <c r="J25" t="s">
        <v>34</v>
      </c>
      <c r="K25" s="6" t="s">
        <v>448</v>
      </c>
      <c r="L25" t="s">
        <v>148</v>
      </c>
      <c r="M25" t="s">
        <v>2860</v>
      </c>
      <c r="N25" t="b">
        <v>1</v>
      </c>
      <c r="O25" t="s">
        <v>2897</v>
      </c>
      <c r="Q25" t="b">
        <v>0</v>
      </c>
      <c r="R25" t="s">
        <v>149</v>
      </c>
      <c r="S25" t="s">
        <v>2896</v>
      </c>
      <c r="T25" cm="1">
        <f t="array" ref="T25">_xlfn.XLOOKUP(tblNotify[[#This Row],[person_id]],tblPeople[person_id],tblPeople[elements_exposed],"NOT FOUND")&amp;""</f>
        <v>0</v>
      </c>
      <c r="U25">
        <f>INDEX(tblPeople[elements_exposed],MATCH(tblNotify[[#This Row],[person_id]],tblPeople[person_id],0))&amp;""</f>
        <v>0</v>
      </c>
      <c r="V25">
        <f>_xlfn.TEXTJOIN(" ",TRUE,tblNotify[[#This Row],[first_name]],tblNotify[[#This Row],[middle_initial]],tblNotify[[#This Row],[last_name]],tblNotify[[#This Row],[name_suffix]])</f>
        <v>0</v>
      </c>
      <c r="W25" cm="1">
        <f t="array" ref="W2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5">
        <f>tblNotify[[#This Row],[status_xl]]=tblNotify[[#This Row],[notify_status]]</f>
        <v>0</v>
      </c>
    </row>
    <row r="26" spans="1:24">
      <c r="A26" s="6" t="s">
        <v>464</v>
      </c>
      <c r="B26" t="s">
        <v>37</v>
      </c>
      <c r="C26" t="s">
        <v>459</v>
      </c>
      <c r="D26" t="s">
        <v>458</v>
      </c>
      <c r="E26" t="s">
        <v>163</v>
      </c>
      <c r="G26" t="s">
        <v>460</v>
      </c>
      <c r="I26" t="s">
        <v>461</v>
      </c>
      <c r="J26" t="s">
        <v>37</v>
      </c>
      <c r="K26" s="6" t="s">
        <v>462</v>
      </c>
      <c r="L26" t="s">
        <v>148</v>
      </c>
      <c r="M26" t="s">
        <v>2860</v>
      </c>
      <c r="N26" t="b">
        <v>1</v>
      </c>
      <c r="O26" t="s">
        <v>2897</v>
      </c>
      <c r="Q26" t="b">
        <v>0</v>
      </c>
      <c r="R26" t="s">
        <v>149</v>
      </c>
      <c r="S26" t="s">
        <v>2896</v>
      </c>
      <c r="T26" cm="1">
        <f t="array" ref="T26">_xlfn.XLOOKUP(tblNotify[[#This Row],[person_id]],tblPeople[person_id],tblPeople[elements_exposed],"NOT FOUND")&amp;""</f>
        <v>0</v>
      </c>
      <c r="U26">
        <f>INDEX(tblPeople[elements_exposed],MATCH(tblNotify[[#This Row],[person_id]],tblPeople[person_id],0))&amp;""</f>
        <v>0</v>
      </c>
      <c r="V26">
        <f>_xlfn.TEXTJOIN(" ",TRUE,tblNotify[[#This Row],[first_name]],tblNotify[[#This Row],[middle_initial]],tblNotify[[#This Row],[last_name]],tblNotify[[#This Row],[name_suffix]])</f>
        <v>0</v>
      </c>
      <c r="W26" cm="1">
        <f t="array" ref="W2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6">
        <f>tblNotify[[#This Row],[status_xl]]=tblNotify[[#This Row],[notify_status]]</f>
        <v>0</v>
      </c>
    </row>
    <row r="27" spans="1:24">
      <c r="A27" s="6" t="s">
        <v>475</v>
      </c>
      <c r="B27" t="s">
        <v>38</v>
      </c>
      <c r="C27" t="s">
        <v>469</v>
      </c>
      <c r="D27" t="s">
        <v>468</v>
      </c>
      <c r="E27" t="s">
        <v>163</v>
      </c>
      <c r="G27" t="s">
        <v>470</v>
      </c>
      <c r="I27" t="s">
        <v>471</v>
      </c>
      <c r="J27" t="s">
        <v>38</v>
      </c>
      <c r="K27" s="6" t="s">
        <v>472</v>
      </c>
      <c r="L27" t="s">
        <v>148</v>
      </c>
      <c r="M27" t="s">
        <v>2863</v>
      </c>
      <c r="N27" t="b">
        <v>1</v>
      </c>
      <c r="O27" t="s">
        <v>2894</v>
      </c>
      <c r="Q27" t="b">
        <v>0</v>
      </c>
      <c r="R27" t="s">
        <v>149</v>
      </c>
      <c r="S27" t="s">
        <v>2893</v>
      </c>
      <c r="T27" cm="1">
        <f t="array" ref="T27">_xlfn.XLOOKUP(tblNotify[[#This Row],[person_id]],tblPeople[person_id],tblPeople[elements_exposed],"NOT FOUND")&amp;""</f>
        <v>0</v>
      </c>
      <c r="U27">
        <f>INDEX(tblPeople[elements_exposed],MATCH(tblNotify[[#This Row],[person_id]],tblPeople[person_id],0))&amp;""</f>
        <v>0</v>
      </c>
      <c r="V27">
        <f>_xlfn.TEXTJOIN(" ",TRUE,tblNotify[[#This Row],[first_name]],tblNotify[[#This Row],[middle_initial]],tblNotify[[#This Row],[last_name]],tblNotify[[#This Row],[name_suffix]])</f>
        <v>0</v>
      </c>
      <c r="W27" cm="1">
        <f t="array" ref="W2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7">
        <f>tblNotify[[#This Row],[status_xl]]=tblNotify[[#This Row],[notify_status]]</f>
        <v>0</v>
      </c>
    </row>
    <row r="28" spans="1:24">
      <c r="A28" s="6" t="s">
        <v>485</v>
      </c>
      <c r="B28" t="s">
        <v>39</v>
      </c>
      <c r="C28" t="s">
        <v>423</v>
      </c>
      <c r="D28" t="s">
        <v>479</v>
      </c>
      <c r="G28" t="s">
        <v>480</v>
      </c>
      <c r="I28" t="s">
        <v>481</v>
      </c>
      <c r="J28" t="s">
        <v>39</v>
      </c>
      <c r="K28" s="6" t="s">
        <v>482</v>
      </c>
      <c r="L28" t="s">
        <v>148</v>
      </c>
      <c r="M28" t="s">
        <v>2846</v>
      </c>
      <c r="N28" t="b">
        <v>1</v>
      </c>
      <c r="O28" t="s">
        <v>2906</v>
      </c>
      <c r="Q28" t="b">
        <v>0</v>
      </c>
      <c r="R28" t="s">
        <v>149</v>
      </c>
      <c r="S28" t="s">
        <v>2896</v>
      </c>
      <c r="T28" cm="1">
        <f t="array" ref="T28">_xlfn.XLOOKUP(tblNotify[[#This Row],[person_id]],tblPeople[person_id],tblPeople[elements_exposed],"NOT FOUND")&amp;""</f>
        <v>0</v>
      </c>
      <c r="U28">
        <f>INDEX(tblPeople[elements_exposed],MATCH(tblNotify[[#This Row],[person_id]],tblPeople[person_id],0))&amp;""</f>
        <v>0</v>
      </c>
      <c r="V28">
        <f>_xlfn.TEXTJOIN(" ",TRUE,tblNotify[[#This Row],[first_name]],tblNotify[[#This Row],[middle_initial]],tblNotify[[#This Row],[last_name]],tblNotify[[#This Row],[name_suffix]])</f>
        <v>0</v>
      </c>
      <c r="W28" cm="1">
        <f t="array" ref="W2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8">
        <f>tblNotify[[#This Row],[status_xl]]=tblNotify[[#This Row],[notify_status]]</f>
        <v>0</v>
      </c>
    </row>
    <row r="29" spans="1:24">
      <c r="A29" s="6" t="s">
        <v>505</v>
      </c>
      <c r="B29" t="s">
        <v>35</v>
      </c>
      <c r="C29" t="s">
        <v>497</v>
      </c>
      <c r="D29" t="s">
        <v>496</v>
      </c>
      <c r="E29" t="s">
        <v>324</v>
      </c>
      <c r="G29" t="s">
        <v>498</v>
      </c>
      <c r="I29" t="s">
        <v>499</v>
      </c>
      <c r="J29" t="s">
        <v>35</v>
      </c>
      <c r="K29" s="6" t="s">
        <v>500</v>
      </c>
      <c r="L29" t="s">
        <v>148</v>
      </c>
      <c r="M29" t="s">
        <v>2860</v>
      </c>
      <c r="N29" t="b">
        <v>1</v>
      </c>
      <c r="O29" t="s">
        <v>2904</v>
      </c>
      <c r="Q29" t="b">
        <v>0</v>
      </c>
      <c r="R29" t="s">
        <v>149</v>
      </c>
      <c r="S29" t="s">
        <v>2896</v>
      </c>
      <c r="T29" cm="1">
        <f t="array" ref="T29">_xlfn.XLOOKUP(tblNotify[[#This Row],[person_id]],tblPeople[person_id],tblPeople[elements_exposed],"NOT FOUND")&amp;""</f>
        <v>0</v>
      </c>
      <c r="U29">
        <f>INDEX(tblPeople[elements_exposed],MATCH(tblNotify[[#This Row],[person_id]],tblPeople[person_id],0))&amp;""</f>
        <v>0</v>
      </c>
      <c r="V29">
        <f>_xlfn.TEXTJOIN(" ",TRUE,tblNotify[[#This Row],[first_name]],tblNotify[[#This Row],[middle_initial]],tblNotify[[#This Row],[last_name]],tblNotify[[#This Row],[name_suffix]])</f>
        <v>0</v>
      </c>
      <c r="W29" cm="1">
        <f t="array" ref="W2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9">
        <f>tblNotify[[#This Row],[status_xl]]=tblNotify[[#This Row],[notify_status]]</f>
        <v>0</v>
      </c>
    </row>
    <row r="30" spans="1:24">
      <c r="A30" s="6" t="s">
        <v>514</v>
      </c>
      <c r="B30" t="s">
        <v>37</v>
      </c>
      <c r="C30" t="s">
        <v>508</v>
      </c>
      <c r="D30" t="s">
        <v>507</v>
      </c>
      <c r="E30" t="s">
        <v>1180</v>
      </c>
      <c r="G30" t="s">
        <v>509</v>
      </c>
      <c r="I30" t="s">
        <v>510</v>
      </c>
      <c r="J30" t="s">
        <v>37</v>
      </c>
      <c r="K30" s="6" t="s">
        <v>511</v>
      </c>
      <c r="L30" t="s">
        <v>148</v>
      </c>
      <c r="M30" t="s">
        <v>2826</v>
      </c>
      <c r="N30" t="b">
        <v>1</v>
      </c>
      <c r="O30" t="s">
        <v>2892</v>
      </c>
      <c r="Q30" t="b">
        <v>0</v>
      </c>
      <c r="R30" t="s">
        <v>149</v>
      </c>
      <c r="S30" t="s">
        <v>2893</v>
      </c>
      <c r="T30" cm="1">
        <f t="array" ref="T30">_xlfn.XLOOKUP(tblNotify[[#This Row],[person_id]],tblPeople[person_id],tblPeople[elements_exposed],"NOT FOUND")&amp;""</f>
        <v>0</v>
      </c>
      <c r="U30">
        <f>INDEX(tblPeople[elements_exposed],MATCH(tblNotify[[#This Row],[person_id]],tblPeople[person_id],0))&amp;""</f>
        <v>0</v>
      </c>
      <c r="V30">
        <f>_xlfn.TEXTJOIN(" ",TRUE,tblNotify[[#This Row],[first_name]],tblNotify[[#This Row],[middle_initial]],tblNotify[[#This Row],[last_name]],tblNotify[[#This Row],[name_suffix]])</f>
        <v>0</v>
      </c>
      <c r="W30" cm="1">
        <f t="array" ref="W3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30">
        <f>tblNotify[[#This Row],[status_xl]]=tblNotify[[#This Row],[notify_status]]</f>
        <v>0</v>
      </c>
    </row>
    <row r="31" spans="1:24">
      <c r="A31" s="6" t="s">
        <v>518</v>
      </c>
      <c r="B31" t="s">
        <v>37</v>
      </c>
      <c r="C31" t="s">
        <v>508</v>
      </c>
      <c r="D31" t="s">
        <v>517</v>
      </c>
      <c r="G31" t="s">
        <v>509</v>
      </c>
      <c r="I31" t="s">
        <v>510</v>
      </c>
      <c r="J31" t="s">
        <v>37</v>
      </c>
      <c r="K31" s="6" t="s">
        <v>511</v>
      </c>
      <c r="L31" t="s">
        <v>148</v>
      </c>
      <c r="M31" t="s">
        <v>2826</v>
      </c>
      <c r="N31" t="b">
        <v>1</v>
      </c>
      <c r="O31" t="s">
        <v>2892</v>
      </c>
      <c r="P31" t="s">
        <v>2913</v>
      </c>
      <c r="Q31" t="b">
        <v>0</v>
      </c>
      <c r="R31" t="s">
        <v>149</v>
      </c>
      <c r="S31" t="s">
        <v>2893</v>
      </c>
      <c r="T31" cm="1">
        <f t="array" ref="T31">_xlfn.XLOOKUP(tblNotify[[#This Row],[person_id]],tblPeople[person_id],tblPeople[elements_exposed],"NOT FOUND")&amp;""</f>
        <v>0</v>
      </c>
      <c r="U31">
        <f>INDEX(tblPeople[elements_exposed],MATCH(tblNotify[[#This Row],[person_id]],tblPeople[person_id],0))&amp;""</f>
        <v>0</v>
      </c>
      <c r="V31">
        <f>_xlfn.TEXTJOIN(" ",TRUE,tblNotify[[#This Row],[first_name]],tblNotify[[#This Row],[middle_initial]],tblNotify[[#This Row],[last_name]],tblNotify[[#This Row],[name_suffix]])</f>
        <v>0</v>
      </c>
      <c r="W31" cm="1">
        <f t="array" ref="W3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31">
        <f>tblNotify[[#This Row],[status_xl]]=tblNotify[[#This Row],[notify_status]]</f>
        <v>0</v>
      </c>
    </row>
    <row r="32" spans="1:24">
      <c r="A32" s="6" t="s">
        <v>521</v>
      </c>
      <c r="B32" t="s">
        <v>37</v>
      </c>
      <c r="C32" t="s">
        <v>508</v>
      </c>
      <c r="D32" t="s">
        <v>520</v>
      </c>
      <c r="E32" t="s">
        <v>163</v>
      </c>
      <c r="G32" t="s">
        <v>509</v>
      </c>
      <c r="I32" t="s">
        <v>510</v>
      </c>
      <c r="J32" t="s">
        <v>37</v>
      </c>
      <c r="K32" s="6" t="s">
        <v>511</v>
      </c>
      <c r="L32" t="s">
        <v>148</v>
      </c>
      <c r="M32" t="s">
        <v>2826</v>
      </c>
      <c r="N32" t="b">
        <v>1</v>
      </c>
      <c r="O32" t="s">
        <v>2892</v>
      </c>
      <c r="P32" t="s">
        <v>2913</v>
      </c>
      <c r="Q32" t="b">
        <v>0</v>
      </c>
      <c r="R32" t="s">
        <v>149</v>
      </c>
      <c r="S32" t="s">
        <v>2896</v>
      </c>
      <c r="T32" cm="1">
        <f t="array" ref="T32">_xlfn.XLOOKUP(tblNotify[[#This Row],[person_id]],tblPeople[person_id],tblPeople[elements_exposed],"NOT FOUND")&amp;""</f>
        <v>0</v>
      </c>
      <c r="U32">
        <f>INDEX(tblPeople[elements_exposed],MATCH(tblNotify[[#This Row],[person_id]],tblPeople[person_id],0))&amp;""</f>
        <v>0</v>
      </c>
      <c r="V32">
        <f>_xlfn.TEXTJOIN(" ",TRUE,tblNotify[[#This Row],[first_name]],tblNotify[[#This Row],[middle_initial]],tblNotify[[#This Row],[last_name]],tblNotify[[#This Row],[name_suffix]])</f>
        <v>0</v>
      </c>
      <c r="W32" cm="1">
        <f t="array" ref="W3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32">
        <f>tblNotify[[#This Row],[status_xl]]=tblNotify[[#This Row],[notify_status]]</f>
        <v>0</v>
      </c>
    </row>
    <row r="33" spans="1:24">
      <c r="A33" s="6" t="s">
        <v>529</v>
      </c>
      <c r="B33" t="s">
        <v>34</v>
      </c>
      <c r="C33" t="s">
        <v>523</v>
      </c>
      <c r="D33" t="s">
        <v>444</v>
      </c>
      <c r="G33" t="s">
        <v>524</v>
      </c>
      <c r="I33" t="s">
        <v>525</v>
      </c>
      <c r="J33" t="s">
        <v>34</v>
      </c>
      <c r="K33" s="6" t="s">
        <v>526</v>
      </c>
      <c r="L33" t="s">
        <v>148</v>
      </c>
      <c r="M33" t="s">
        <v>2863</v>
      </c>
      <c r="N33" t="b">
        <v>1</v>
      </c>
      <c r="O33" t="s">
        <v>2897</v>
      </c>
      <c r="Q33" t="b">
        <v>0</v>
      </c>
      <c r="R33" t="s">
        <v>149</v>
      </c>
      <c r="S33" t="s">
        <v>2896</v>
      </c>
      <c r="T33" cm="1">
        <f t="array" ref="T33">_xlfn.XLOOKUP(tblNotify[[#This Row],[person_id]],tblPeople[person_id],tblPeople[elements_exposed],"NOT FOUND")&amp;""</f>
        <v>0</v>
      </c>
      <c r="U33">
        <f>INDEX(tblPeople[elements_exposed],MATCH(tblNotify[[#This Row],[person_id]],tblPeople[person_id],0))&amp;""</f>
        <v>0</v>
      </c>
      <c r="V33">
        <f>_xlfn.TEXTJOIN(" ",TRUE,tblNotify[[#This Row],[first_name]],tblNotify[[#This Row],[middle_initial]],tblNotify[[#This Row],[last_name]],tblNotify[[#This Row],[name_suffix]])</f>
        <v>0</v>
      </c>
      <c r="W33" cm="1">
        <f t="array" ref="W3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33">
        <f>tblNotify[[#This Row],[status_xl]]=tblNotify[[#This Row],[notify_status]]</f>
        <v>0</v>
      </c>
    </row>
    <row r="34" spans="1:24">
      <c r="A34" s="6" t="s">
        <v>542</v>
      </c>
      <c r="B34" t="s">
        <v>40</v>
      </c>
      <c r="C34" t="s">
        <v>536</v>
      </c>
      <c r="D34" t="s">
        <v>535</v>
      </c>
      <c r="E34" t="s">
        <v>1180</v>
      </c>
      <c r="G34" t="s">
        <v>537</v>
      </c>
      <c r="I34" t="s">
        <v>538</v>
      </c>
      <c r="J34" t="s">
        <v>40</v>
      </c>
      <c r="K34" s="6" t="s">
        <v>539</v>
      </c>
      <c r="L34" t="s">
        <v>148</v>
      </c>
      <c r="M34" t="s">
        <v>2826</v>
      </c>
      <c r="N34" t="b">
        <v>1</v>
      </c>
      <c r="O34" t="s">
        <v>2904</v>
      </c>
      <c r="Q34" t="b">
        <v>0</v>
      </c>
      <c r="R34" t="s">
        <v>205</v>
      </c>
      <c r="S34" t="s">
        <v>2896</v>
      </c>
      <c r="T34" cm="1">
        <f t="array" ref="T34">_xlfn.XLOOKUP(tblNotify[[#This Row],[person_id]],tblPeople[person_id],tblPeople[elements_exposed],"NOT FOUND")&amp;""</f>
        <v>0</v>
      </c>
      <c r="U34">
        <f>INDEX(tblPeople[elements_exposed],MATCH(tblNotify[[#This Row],[person_id]],tblPeople[person_id],0))&amp;""</f>
        <v>0</v>
      </c>
      <c r="V34">
        <f>_xlfn.TEXTJOIN(" ",TRUE,tblNotify[[#This Row],[first_name]],tblNotify[[#This Row],[middle_initial]],tblNotify[[#This Row],[last_name]],tblNotify[[#This Row],[name_suffix]])</f>
        <v>0</v>
      </c>
      <c r="W34" cm="1">
        <f t="array" ref="W3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34">
        <f>tblNotify[[#This Row],[status_xl]]=tblNotify[[#This Row],[notify_status]]</f>
        <v>0</v>
      </c>
    </row>
    <row r="35" spans="1:24">
      <c r="A35" s="6" t="s">
        <v>553</v>
      </c>
      <c r="B35" t="s">
        <v>33</v>
      </c>
      <c r="C35" t="s">
        <v>547</v>
      </c>
      <c r="D35" t="s">
        <v>546</v>
      </c>
      <c r="E35" t="s">
        <v>1173</v>
      </c>
      <c r="G35" t="s">
        <v>548</v>
      </c>
      <c r="I35" t="s">
        <v>549</v>
      </c>
      <c r="J35" t="s">
        <v>33</v>
      </c>
      <c r="K35" s="6" t="s">
        <v>550</v>
      </c>
      <c r="L35" t="s">
        <v>148</v>
      </c>
      <c r="M35" t="s">
        <v>2871</v>
      </c>
      <c r="N35" t="b">
        <v>1</v>
      </c>
      <c r="O35" t="s">
        <v>2898</v>
      </c>
      <c r="Q35" t="b">
        <v>0</v>
      </c>
      <c r="R35" t="s">
        <v>149</v>
      </c>
      <c r="S35" t="s">
        <v>2893</v>
      </c>
      <c r="T35" cm="1">
        <f t="array" ref="T35">_xlfn.XLOOKUP(tblNotify[[#This Row],[person_id]],tblPeople[person_id],tblPeople[elements_exposed],"NOT FOUND")&amp;""</f>
        <v>0</v>
      </c>
      <c r="U35">
        <f>INDEX(tblPeople[elements_exposed],MATCH(tblNotify[[#This Row],[person_id]],tblPeople[person_id],0))&amp;""</f>
        <v>0</v>
      </c>
      <c r="V35">
        <f>_xlfn.TEXTJOIN(" ",TRUE,tblNotify[[#This Row],[first_name]],tblNotify[[#This Row],[middle_initial]],tblNotify[[#This Row],[last_name]],tblNotify[[#This Row],[name_suffix]])</f>
        <v>0</v>
      </c>
      <c r="W35" cm="1">
        <f t="array" ref="W3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35">
        <f>tblNotify[[#This Row],[status_xl]]=tblNotify[[#This Row],[notify_status]]</f>
        <v>0</v>
      </c>
    </row>
    <row r="36" spans="1:24">
      <c r="A36" s="6" t="s">
        <v>560</v>
      </c>
      <c r="B36" t="s">
        <v>34</v>
      </c>
      <c r="C36" t="s">
        <v>315</v>
      </c>
      <c r="D36" t="s">
        <v>559</v>
      </c>
      <c r="G36" t="s">
        <v>316</v>
      </c>
      <c r="I36" t="s">
        <v>317</v>
      </c>
      <c r="J36" t="s">
        <v>34</v>
      </c>
      <c r="K36" s="6" t="s">
        <v>318</v>
      </c>
      <c r="L36" t="s">
        <v>148</v>
      </c>
      <c r="M36" t="s">
        <v>2826</v>
      </c>
      <c r="N36" t="b">
        <v>1</v>
      </c>
      <c r="O36" t="s">
        <v>2892</v>
      </c>
      <c r="P36" t="s">
        <v>2914</v>
      </c>
      <c r="Q36" t="b">
        <v>0</v>
      </c>
      <c r="R36" t="s">
        <v>149</v>
      </c>
      <c r="S36" t="s">
        <v>2893</v>
      </c>
      <c r="T36" cm="1">
        <f t="array" ref="T36">_xlfn.XLOOKUP(tblNotify[[#This Row],[person_id]],tblPeople[person_id],tblPeople[elements_exposed],"NOT FOUND")&amp;""</f>
        <v>0</v>
      </c>
      <c r="U36">
        <f>INDEX(tblPeople[elements_exposed],MATCH(tblNotify[[#This Row],[person_id]],tblPeople[person_id],0))&amp;""</f>
        <v>0</v>
      </c>
      <c r="V36">
        <f>_xlfn.TEXTJOIN(" ",TRUE,tblNotify[[#This Row],[first_name]],tblNotify[[#This Row],[middle_initial]],tblNotify[[#This Row],[last_name]],tblNotify[[#This Row],[name_suffix]])</f>
        <v>0</v>
      </c>
      <c r="W36" cm="1">
        <f t="array" ref="W3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36">
        <f>tblNotify[[#This Row],[status_xl]]=tblNotify[[#This Row],[notify_status]]</f>
        <v>0</v>
      </c>
    </row>
    <row r="37" spans="1:24">
      <c r="A37" s="6" t="s">
        <v>569</v>
      </c>
      <c r="B37" t="s">
        <v>37</v>
      </c>
      <c r="C37" t="s">
        <v>563</v>
      </c>
      <c r="D37" t="s">
        <v>562</v>
      </c>
      <c r="G37" t="s">
        <v>564</v>
      </c>
      <c r="I37" t="s">
        <v>565</v>
      </c>
      <c r="J37" t="s">
        <v>37</v>
      </c>
      <c r="K37" s="6" t="s">
        <v>566</v>
      </c>
      <c r="L37" t="s">
        <v>148</v>
      </c>
      <c r="M37" t="s">
        <v>2860</v>
      </c>
      <c r="N37" t="b">
        <v>1</v>
      </c>
      <c r="O37" t="s">
        <v>2897</v>
      </c>
      <c r="Q37" t="b">
        <v>0</v>
      </c>
      <c r="R37" t="s">
        <v>149</v>
      </c>
      <c r="S37" t="s">
        <v>2896</v>
      </c>
      <c r="T37" cm="1">
        <f t="array" ref="T37">_xlfn.XLOOKUP(tblNotify[[#This Row],[person_id]],tblPeople[person_id],tblPeople[elements_exposed],"NOT FOUND")&amp;""</f>
        <v>0</v>
      </c>
      <c r="U37">
        <f>INDEX(tblPeople[elements_exposed],MATCH(tblNotify[[#This Row],[person_id]],tblPeople[person_id],0))&amp;""</f>
        <v>0</v>
      </c>
      <c r="V37">
        <f>_xlfn.TEXTJOIN(" ",TRUE,tblNotify[[#This Row],[first_name]],tblNotify[[#This Row],[middle_initial]],tblNotify[[#This Row],[last_name]],tblNotify[[#This Row],[name_suffix]])</f>
        <v>0</v>
      </c>
      <c r="W37" cm="1">
        <f t="array" ref="W3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37">
        <f>tblNotify[[#This Row],[status_xl]]=tblNotify[[#This Row],[notify_status]]</f>
        <v>0</v>
      </c>
    </row>
    <row r="38" spans="1:24">
      <c r="A38" s="6" t="s">
        <v>580</v>
      </c>
      <c r="B38" t="s">
        <v>33</v>
      </c>
      <c r="C38" t="s">
        <v>577</v>
      </c>
      <c r="D38" t="s">
        <v>468</v>
      </c>
      <c r="G38" t="s">
        <v>373</v>
      </c>
      <c r="I38" t="s">
        <v>375</v>
      </c>
      <c r="J38" t="s">
        <v>33</v>
      </c>
      <c r="K38" s="6" t="s">
        <v>376</v>
      </c>
      <c r="L38" t="s">
        <v>148</v>
      </c>
      <c r="M38" t="s">
        <v>2860</v>
      </c>
      <c r="N38" t="b">
        <v>1</v>
      </c>
      <c r="O38" t="s">
        <v>2897</v>
      </c>
      <c r="Q38" t="b">
        <v>0</v>
      </c>
      <c r="R38" t="s">
        <v>149</v>
      </c>
      <c r="S38" t="s">
        <v>2896</v>
      </c>
      <c r="T38" cm="1">
        <f t="array" ref="T38">_xlfn.XLOOKUP(tblNotify[[#This Row],[person_id]],tblPeople[person_id],tblPeople[elements_exposed],"NOT FOUND")&amp;""</f>
        <v>0</v>
      </c>
      <c r="U38">
        <f>INDEX(tblPeople[elements_exposed],MATCH(tblNotify[[#This Row],[person_id]],tblPeople[person_id],0))&amp;""</f>
        <v>0</v>
      </c>
      <c r="V38">
        <f>_xlfn.TEXTJOIN(" ",TRUE,tblNotify[[#This Row],[first_name]],tblNotify[[#This Row],[middle_initial]],tblNotify[[#This Row],[last_name]],tblNotify[[#This Row],[name_suffix]])</f>
        <v>0</v>
      </c>
      <c r="W38" cm="1">
        <f t="array" ref="W3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38">
        <f>tblNotify[[#This Row],[status_xl]]=tblNotify[[#This Row],[notify_status]]</f>
        <v>0</v>
      </c>
    </row>
    <row r="39" spans="1:24">
      <c r="A39" s="6" t="s">
        <v>586</v>
      </c>
      <c r="B39" t="s">
        <v>39</v>
      </c>
      <c r="C39" t="s">
        <v>248</v>
      </c>
      <c r="D39" t="s">
        <v>585</v>
      </c>
      <c r="G39" t="s">
        <v>250</v>
      </c>
      <c r="I39" t="s">
        <v>251</v>
      </c>
      <c r="J39" t="s">
        <v>39</v>
      </c>
      <c r="K39" s="6" t="s">
        <v>252</v>
      </c>
      <c r="L39" t="s">
        <v>148</v>
      </c>
      <c r="M39" t="s">
        <v>2826</v>
      </c>
      <c r="N39" t="b">
        <v>1</v>
      </c>
      <c r="O39" t="s">
        <v>2892</v>
      </c>
      <c r="Q39" t="b">
        <v>0</v>
      </c>
      <c r="R39" t="s">
        <v>149</v>
      </c>
      <c r="S39" t="s">
        <v>2896</v>
      </c>
      <c r="T39" cm="1">
        <f t="array" ref="T39">_xlfn.XLOOKUP(tblNotify[[#This Row],[person_id]],tblPeople[person_id],tblPeople[elements_exposed],"NOT FOUND")&amp;""</f>
        <v>0</v>
      </c>
      <c r="U39">
        <f>INDEX(tblPeople[elements_exposed],MATCH(tblNotify[[#This Row],[person_id]],tblPeople[person_id],0))&amp;""</f>
        <v>0</v>
      </c>
      <c r="V39">
        <f>_xlfn.TEXTJOIN(" ",TRUE,tblNotify[[#This Row],[first_name]],tblNotify[[#This Row],[middle_initial]],tblNotify[[#This Row],[last_name]],tblNotify[[#This Row],[name_suffix]])</f>
        <v>0</v>
      </c>
      <c r="W39" cm="1">
        <f t="array" ref="W3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39">
        <f>tblNotify[[#This Row],[status_xl]]=tblNotify[[#This Row],[notify_status]]</f>
        <v>0</v>
      </c>
    </row>
    <row r="40" spans="1:24">
      <c r="A40" s="6" t="s">
        <v>599</v>
      </c>
      <c r="B40" t="s">
        <v>37</v>
      </c>
      <c r="C40" t="s">
        <v>593</v>
      </c>
      <c r="D40" t="s">
        <v>592</v>
      </c>
      <c r="G40" t="s">
        <v>594</v>
      </c>
      <c r="I40" t="s">
        <v>595</v>
      </c>
      <c r="J40" t="s">
        <v>37</v>
      </c>
      <c r="K40" s="6" t="s">
        <v>596</v>
      </c>
      <c r="L40" t="s">
        <v>148</v>
      </c>
      <c r="M40" t="s">
        <v>2829</v>
      </c>
      <c r="N40" t="b">
        <v>1</v>
      </c>
      <c r="O40" t="s">
        <v>2915</v>
      </c>
      <c r="Q40" t="b">
        <v>0</v>
      </c>
      <c r="R40" t="s">
        <v>205</v>
      </c>
      <c r="S40" t="s">
        <v>2893</v>
      </c>
      <c r="T40" cm="1">
        <f t="array" ref="T40">_xlfn.XLOOKUP(tblNotify[[#This Row],[person_id]],tblPeople[person_id],tblPeople[elements_exposed],"NOT FOUND")&amp;""</f>
        <v>0</v>
      </c>
      <c r="U40">
        <f>INDEX(tblPeople[elements_exposed],MATCH(tblNotify[[#This Row],[person_id]],tblPeople[person_id],0))&amp;""</f>
        <v>0</v>
      </c>
      <c r="V40">
        <f>_xlfn.TEXTJOIN(" ",TRUE,tblNotify[[#This Row],[first_name]],tblNotify[[#This Row],[middle_initial]],tblNotify[[#This Row],[last_name]],tblNotify[[#This Row],[name_suffix]])</f>
        <v>0</v>
      </c>
      <c r="W40" cm="1">
        <f t="array" ref="W4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40">
        <f>tblNotify[[#This Row],[status_xl]]=tblNotify[[#This Row],[notify_status]]</f>
        <v>0</v>
      </c>
    </row>
    <row r="41" spans="1:24">
      <c r="A41" s="6" t="s">
        <v>607</v>
      </c>
      <c r="B41" t="s">
        <v>40</v>
      </c>
      <c r="C41" t="s">
        <v>601</v>
      </c>
      <c r="D41" t="s">
        <v>188</v>
      </c>
      <c r="E41" t="s">
        <v>299</v>
      </c>
      <c r="G41" t="s">
        <v>602</v>
      </c>
      <c r="I41" t="s">
        <v>603</v>
      </c>
      <c r="J41" t="s">
        <v>40</v>
      </c>
      <c r="K41" s="6" t="s">
        <v>604</v>
      </c>
      <c r="L41" t="s">
        <v>148</v>
      </c>
      <c r="M41" t="s">
        <v>2871</v>
      </c>
      <c r="N41" t="b">
        <v>1</v>
      </c>
      <c r="O41" t="s">
        <v>2911</v>
      </c>
      <c r="Q41" t="b">
        <v>0</v>
      </c>
      <c r="R41" t="s">
        <v>149</v>
      </c>
      <c r="S41" t="s">
        <v>2896</v>
      </c>
      <c r="T41" cm="1">
        <f t="array" ref="T41">_xlfn.XLOOKUP(tblNotify[[#This Row],[person_id]],tblPeople[person_id],tblPeople[elements_exposed],"NOT FOUND")&amp;""</f>
        <v>0</v>
      </c>
      <c r="U41">
        <f>INDEX(tblPeople[elements_exposed],MATCH(tblNotify[[#This Row],[person_id]],tblPeople[person_id],0))&amp;""</f>
        <v>0</v>
      </c>
      <c r="V41">
        <f>_xlfn.TEXTJOIN(" ",TRUE,tblNotify[[#This Row],[first_name]],tblNotify[[#This Row],[middle_initial]],tblNotify[[#This Row],[last_name]],tblNotify[[#This Row],[name_suffix]])</f>
        <v>0</v>
      </c>
      <c r="W41" cm="1">
        <f t="array" ref="W4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41">
        <f>tblNotify[[#This Row],[status_xl]]=tblNotify[[#This Row],[notify_status]]</f>
        <v>0</v>
      </c>
    </row>
    <row r="42" spans="1:24">
      <c r="A42" s="6" t="s">
        <v>619</v>
      </c>
      <c r="B42" t="s">
        <v>39</v>
      </c>
      <c r="C42" t="s">
        <v>611</v>
      </c>
      <c r="D42" t="s">
        <v>610</v>
      </c>
      <c r="G42" t="s">
        <v>612</v>
      </c>
      <c r="H42" t="s">
        <v>613</v>
      </c>
      <c r="I42" t="s">
        <v>614</v>
      </c>
      <c r="J42" t="s">
        <v>39</v>
      </c>
      <c r="K42" s="6" t="s">
        <v>615</v>
      </c>
      <c r="L42" t="s">
        <v>148</v>
      </c>
      <c r="M42" t="s">
        <v>2829</v>
      </c>
      <c r="N42" t="b">
        <v>1</v>
      </c>
      <c r="O42" t="s">
        <v>2915</v>
      </c>
      <c r="Q42" t="b">
        <v>0</v>
      </c>
      <c r="R42" t="s">
        <v>205</v>
      </c>
      <c r="S42" t="s">
        <v>2896</v>
      </c>
      <c r="T42" cm="1">
        <f t="array" ref="T42">_xlfn.XLOOKUP(tblNotify[[#This Row],[person_id]],tblPeople[person_id],tblPeople[elements_exposed],"NOT FOUND")&amp;""</f>
        <v>0</v>
      </c>
      <c r="U42">
        <f>INDEX(tblPeople[elements_exposed],MATCH(tblNotify[[#This Row],[person_id]],tblPeople[person_id],0))&amp;""</f>
        <v>0</v>
      </c>
      <c r="V42">
        <f>_xlfn.TEXTJOIN(" ",TRUE,tblNotify[[#This Row],[first_name]],tblNotify[[#This Row],[middle_initial]],tblNotify[[#This Row],[last_name]],tblNotify[[#This Row],[name_suffix]])</f>
        <v>0</v>
      </c>
      <c r="W42" cm="1">
        <f t="array" ref="W4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42">
        <f>tblNotify[[#This Row],[status_xl]]=tblNotify[[#This Row],[notify_status]]</f>
        <v>0</v>
      </c>
    </row>
    <row r="43" spans="1:24">
      <c r="A43" s="6" t="s">
        <v>622</v>
      </c>
      <c r="B43" t="s">
        <v>39</v>
      </c>
      <c r="C43" t="s">
        <v>611</v>
      </c>
      <c r="D43" t="s">
        <v>621</v>
      </c>
      <c r="E43" t="s">
        <v>434</v>
      </c>
      <c r="G43" t="s">
        <v>612</v>
      </c>
      <c r="H43" t="s">
        <v>613</v>
      </c>
      <c r="I43" t="s">
        <v>614</v>
      </c>
      <c r="J43" t="s">
        <v>39</v>
      </c>
      <c r="K43" s="6" t="s">
        <v>615</v>
      </c>
      <c r="L43" t="s">
        <v>148</v>
      </c>
      <c r="M43" t="s">
        <v>2826</v>
      </c>
      <c r="N43" t="b">
        <v>1</v>
      </c>
      <c r="O43" t="s">
        <v>2892</v>
      </c>
      <c r="Q43" t="b">
        <v>0</v>
      </c>
      <c r="R43" t="s">
        <v>205</v>
      </c>
      <c r="S43" t="s">
        <v>2896</v>
      </c>
      <c r="T43" cm="1">
        <f t="array" ref="T43">_xlfn.XLOOKUP(tblNotify[[#This Row],[person_id]],tblPeople[person_id],tblPeople[elements_exposed],"NOT FOUND")&amp;""</f>
        <v>0</v>
      </c>
      <c r="U43">
        <f>INDEX(tblPeople[elements_exposed],MATCH(tblNotify[[#This Row],[person_id]],tblPeople[person_id],0))&amp;""</f>
        <v>0</v>
      </c>
      <c r="V43">
        <f>_xlfn.TEXTJOIN(" ",TRUE,tblNotify[[#This Row],[first_name]],tblNotify[[#This Row],[middle_initial]],tblNotify[[#This Row],[last_name]],tblNotify[[#This Row],[name_suffix]])</f>
        <v>0</v>
      </c>
      <c r="W43" cm="1">
        <f t="array" ref="W4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43">
        <f>tblNotify[[#This Row],[status_xl]]=tblNotify[[#This Row],[notify_status]]</f>
        <v>0</v>
      </c>
    </row>
    <row r="44" spans="1:24">
      <c r="A44" s="6" t="s">
        <v>625</v>
      </c>
      <c r="B44" t="s">
        <v>39</v>
      </c>
      <c r="C44" t="s">
        <v>611</v>
      </c>
      <c r="D44" t="s">
        <v>624</v>
      </c>
      <c r="E44" t="s">
        <v>259</v>
      </c>
      <c r="G44" t="s">
        <v>612</v>
      </c>
      <c r="H44" t="s">
        <v>613</v>
      </c>
      <c r="I44" t="s">
        <v>614</v>
      </c>
      <c r="J44" t="s">
        <v>39</v>
      </c>
      <c r="K44" s="6" t="s">
        <v>615</v>
      </c>
      <c r="L44" t="s">
        <v>148</v>
      </c>
      <c r="M44" t="s">
        <v>2826</v>
      </c>
      <c r="N44" t="b">
        <v>1</v>
      </c>
      <c r="O44" t="s">
        <v>2892</v>
      </c>
      <c r="Q44" t="b">
        <v>0</v>
      </c>
      <c r="R44" t="s">
        <v>205</v>
      </c>
      <c r="S44" t="s">
        <v>2896</v>
      </c>
      <c r="T44" cm="1">
        <f t="array" ref="T44">_xlfn.XLOOKUP(tblNotify[[#This Row],[person_id]],tblPeople[person_id],tblPeople[elements_exposed],"NOT FOUND")&amp;""</f>
        <v>0</v>
      </c>
      <c r="U44">
        <f>INDEX(tblPeople[elements_exposed],MATCH(tblNotify[[#This Row],[person_id]],tblPeople[person_id],0))&amp;""</f>
        <v>0</v>
      </c>
      <c r="V44">
        <f>_xlfn.TEXTJOIN(" ",TRUE,tblNotify[[#This Row],[first_name]],tblNotify[[#This Row],[middle_initial]],tblNotify[[#This Row],[last_name]],tblNotify[[#This Row],[name_suffix]])</f>
        <v>0</v>
      </c>
      <c r="W44" cm="1">
        <f t="array" ref="W4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44">
        <f>tblNotify[[#This Row],[status_xl]]=tblNotify[[#This Row],[notify_status]]</f>
        <v>0</v>
      </c>
    </row>
    <row r="45" spans="1:24">
      <c r="A45" s="6" t="s">
        <v>640</v>
      </c>
      <c r="B45" t="s">
        <v>33</v>
      </c>
      <c r="C45" t="s">
        <v>268</v>
      </c>
      <c r="D45" t="s">
        <v>639</v>
      </c>
      <c r="E45" t="s">
        <v>1200</v>
      </c>
      <c r="G45" t="s">
        <v>269</v>
      </c>
      <c r="I45" t="s">
        <v>636</v>
      </c>
      <c r="J45" t="s">
        <v>33</v>
      </c>
      <c r="K45" s="6" t="s">
        <v>271</v>
      </c>
      <c r="L45" t="s">
        <v>148</v>
      </c>
      <c r="M45" t="s">
        <v>2826</v>
      </c>
      <c r="N45" t="b">
        <v>1</v>
      </c>
      <c r="O45" t="s">
        <v>2892</v>
      </c>
      <c r="P45" t="s">
        <v>2916</v>
      </c>
      <c r="Q45" t="b">
        <v>0</v>
      </c>
      <c r="R45" t="s">
        <v>149</v>
      </c>
      <c r="S45" t="s">
        <v>2893</v>
      </c>
      <c r="T45" cm="1">
        <f t="array" ref="T45">_xlfn.XLOOKUP(tblNotify[[#This Row],[person_id]],tblPeople[person_id],tblPeople[elements_exposed],"NOT FOUND")&amp;""</f>
        <v>0</v>
      </c>
      <c r="U45">
        <f>INDEX(tblPeople[elements_exposed],MATCH(tblNotify[[#This Row],[person_id]],tblPeople[person_id],0))&amp;""</f>
        <v>0</v>
      </c>
      <c r="V45">
        <f>_xlfn.TEXTJOIN(" ",TRUE,tblNotify[[#This Row],[first_name]],tblNotify[[#This Row],[middle_initial]],tblNotify[[#This Row],[last_name]],tblNotify[[#This Row],[name_suffix]])</f>
        <v>0</v>
      </c>
      <c r="W45" cm="1">
        <f t="array" ref="W4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45">
        <f>tblNotify[[#This Row],[status_xl]]=tblNotify[[#This Row],[notify_status]]</f>
        <v>0</v>
      </c>
    </row>
    <row r="46" spans="1:24">
      <c r="A46" s="6" t="s">
        <v>643</v>
      </c>
      <c r="B46" t="s">
        <v>33</v>
      </c>
      <c r="C46" t="s">
        <v>268</v>
      </c>
      <c r="D46" t="s">
        <v>642</v>
      </c>
      <c r="E46" t="s">
        <v>259</v>
      </c>
      <c r="G46" t="s">
        <v>269</v>
      </c>
      <c r="I46" t="s">
        <v>636</v>
      </c>
      <c r="J46" t="s">
        <v>33</v>
      </c>
      <c r="K46" s="6" t="s">
        <v>271</v>
      </c>
      <c r="L46" t="s">
        <v>148</v>
      </c>
      <c r="M46" t="s">
        <v>2826</v>
      </c>
      <c r="N46" t="b">
        <v>1</v>
      </c>
      <c r="O46" t="s">
        <v>2892</v>
      </c>
      <c r="P46" t="s">
        <v>2916</v>
      </c>
      <c r="Q46" t="b">
        <v>0</v>
      </c>
      <c r="R46" t="s">
        <v>149</v>
      </c>
      <c r="S46" t="s">
        <v>2893</v>
      </c>
      <c r="T46" cm="1">
        <f t="array" ref="T46">_xlfn.XLOOKUP(tblNotify[[#This Row],[person_id]],tblPeople[person_id],tblPeople[elements_exposed],"NOT FOUND")&amp;""</f>
        <v>0</v>
      </c>
      <c r="U46">
        <f>INDEX(tblPeople[elements_exposed],MATCH(tblNotify[[#This Row],[person_id]],tblPeople[person_id],0))&amp;""</f>
        <v>0</v>
      </c>
      <c r="V46">
        <f>_xlfn.TEXTJOIN(" ",TRUE,tblNotify[[#This Row],[first_name]],tblNotify[[#This Row],[middle_initial]],tblNotify[[#This Row],[last_name]],tblNotify[[#This Row],[name_suffix]])</f>
        <v>0</v>
      </c>
      <c r="W46" cm="1">
        <f t="array" ref="W4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46">
        <f>tblNotify[[#This Row],[status_xl]]=tblNotify[[#This Row],[notify_status]]</f>
        <v>0</v>
      </c>
    </row>
    <row r="47" spans="1:24">
      <c r="A47" s="6" t="s">
        <v>656</v>
      </c>
      <c r="B47" t="s">
        <v>40</v>
      </c>
      <c r="C47" t="s">
        <v>650</v>
      </c>
      <c r="D47" t="s">
        <v>188</v>
      </c>
      <c r="G47" t="s">
        <v>651</v>
      </c>
      <c r="I47" t="s">
        <v>652</v>
      </c>
      <c r="J47" t="s">
        <v>40</v>
      </c>
      <c r="K47" s="6" t="s">
        <v>653</v>
      </c>
      <c r="L47" t="s">
        <v>148</v>
      </c>
      <c r="M47" t="s">
        <v>2860</v>
      </c>
      <c r="N47" t="b">
        <v>1</v>
      </c>
      <c r="O47" t="s">
        <v>2904</v>
      </c>
      <c r="Q47" t="b">
        <v>0</v>
      </c>
      <c r="R47" t="s">
        <v>205</v>
      </c>
      <c r="S47" t="s">
        <v>2896</v>
      </c>
      <c r="T47" cm="1">
        <f t="array" ref="T47">_xlfn.XLOOKUP(tblNotify[[#This Row],[person_id]],tblPeople[person_id],tblPeople[elements_exposed],"NOT FOUND")&amp;""</f>
        <v>0</v>
      </c>
      <c r="U47">
        <f>INDEX(tblPeople[elements_exposed],MATCH(tblNotify[[#This Row],[person_id]],tblPeople[person_id],0))&amp;""</f>
        <v>0</v>
      </c>
      <c r="V47">
        <f>_xlfn.TEXTJOIN(" ",TRUE,tblNotify[[#This Row],[first_name]],tblNotify[[#This Row],[middle_initial]],tblNotify[[#This Row],[last_name]],tblNotify[[#This Row],[name_suffix]])</f>
        <v>0</v>
      </c>
      <c r="W47" cm="1">
        <f t="array" ref="W4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47">
        <f>tblNotify[[#This Row],[status_xl]]=tblNotify[[#This Row],[notify_status]]</f>
        <v>0</v>
      </c>
    </row>
    <row r="48" spans="1:24">
      <c r="A48" s="6" t="s">
        <v>665</v>
      </c>
      <c r="B48" t="s">
        <v>34</v>
      </c>
      <c r="C48" t="s">
        <v>659</v>
      </c>
      <c r="D48" t="s">
        <v>658</v>
      </c>
      <c r="G48" t="s">
        <v>660</v>
      </c>
      <c r="I48" t="s">
        <v>661</v>
      </c>
      <c r="J48" t="s">
        <v>34</v>
      </c>
      <c r="K48" s="6" t="s">
        <v>662</v>
      </c>
      <c r="L48" t="s">
        <v>148</v>
      </c>
      <c r="M48" t="s">
        <v>2860</v>
      </c>
      <c r="N48" t="b">
        <v>1</v>
      </c>
      <c r="O48" t="s">
        <v>2897</v>
      </c>
      <c r="Q48" t="b">
        <v>0</v>
      </c>
      <c r="R48" t="s">
        <v>149</v>
      </c>
      <c r="S48" t="s">
        <v>2896</v>
      </c>
      <c r="T48" cm="1">
        <f t="array" ref="T48">_xlfn.XLOOKUP(tblNotify[[#This Row],[person_id]],tblPeople[person_id],tblPeople[elements_exposed],"NOT FOUND")&amp;""</f>
        <v>0</v>
      </c>
      <c r="U48">
        <f>INDEX(tblPeople[elements_exposed],MATCH(tblNotify[[#This Row],[person_id]],tblPeople[person_id],0))&amp;""</f>
        <v>0</v>
      </c>
      <c r="V48">
        <f>_xlfn.TEXTJOIN(" ",TRUE,tblNotify[[#This Row],[first_name]],tblNotify[[#This Row],[middle_initial]],tblNotify[[#This Row],[last_name]],tblNotify[[#This Row],[name_suffix]])</f>
        <v>0</v>
      </c>
      <c r="W48" cm="1">
        <f t="array" ref="W4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48">
        <f>tblNotify[[#This Row],[status_xl]]=tblNotify[[#This Row],[notify_status]]</f>
        <v>0</v>
      </c>
    </row>
    <row r="49" spans="1:24">
      <c r="A49" s="6" t="s">
        <v>676</v>
      </c>
      <c r="B49" t="s">
        <v>39</v>
      </c>
      <c r="C49" t="s">
        <v>668</v>
      </c>
      <c r="D49" t="s">
        <v>667</v>
      </c>
      <c r="G49" t="s">
        <v>669</v>
      </c>
      <c r="H49" t="s">
        <v>670</v>
      </c>
      <c r="I49" t="s">
        <v>671</v>
      </c>
      <c r="J49" t="s">
        <v>39</v>
      </c>
      <c r="K49" s="6" t="s">
        <v>672</v>
      </c>
      <c r="L49" t="s">
        <v>148</v>
      </c>
      <c r="M49" t="s">
        <v>2874</v>
      </c>
      <c r="N49" t="b">
        <v>1</v>
      </c>
      <c r="O49" t="s">
        <v>2898</v>
      </c>
      <c r="Q49" t="b">
        <v>0</v>
      </c>
      <c r="R49" t="s">
        <v>149</v>
      </c>
      <c r="S49" t="s">
        <v>2896</v>
      </c>
      <c r="T49" cm="1">
        <f t="array" ref="T49">_xlfn.XLOOKUP(tblNotify[[#This Row],[person_id]],tblPeople[person_id],tblPeople[elements_exposed],"NOT FOUND")&amp;""</f>
        <v>0</v>
      </c>
      <c r="U49">
        <f>INDEX(tblPeople[elements_exposed],MATCH(tblNotify[[#This Row],[person_id]],tblPeople[person_id],0))&amp;""</f>
        <v>0</v>
      </c>
      <c r="V49">
        <f>_xlfn.TEXTJOIN(" ",TRUE,tblNotify[[#This Row],[first_name]],tblNotify[[#This Row],[middle_initial]],tblNotify[[#This Row],[last_name]],tblNotify[[#This Row],[name_suffix]])</f>
        <v>0</v>
      </c>
      <c r="W49" cm="1">
        <f t="array" ref="W4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49">
        <f>tblNotify[[#This Row],[status_xl]]=tblNotify[[#This Row],[notify_status]]</f>
        <v>0</v>
      </c>
    </row>
    <row r="50" spans="1:24">
      <c r="A50" s="6" t="s">
        <v>681</v>
      </c>
      <c r="B50" t="s">
        <v>38</v>
      </c>
      <c r="C50" t="s">
        <v>469</v>
      </c>
      <c r="D50" t="s">
        <v>678</v>
      </c>
      <c r="G50" t="s">
        <v>470</v>
      </c>
      <c r="I50" t="s">
        <v>471</v>
      </c>
      <c r="J50" t="s">
        <v>38</v>
      </c>
      <c r="K50" s="6" t="s">
        <v>472</v>
      </c>
      <c r="L50" t="s">
        <v>148</v>
      </c>
      <c r="M50" t="s">
        <v>2835</v>
      </c>
      <c r="N50" t="b">
        <v>1</v>
      </c>
      <c r="O50" t="s">
        <v>2899</v>
      </c>
      <c r="Q50" t="b">
        <v>0</v>
      </c>
      <c r="R50" t="s">
        <v>149</v>
      </c>
      <c r="S50" t="s">
        <v>2893</v>
      </c>
      <c r="T50" cm="1">
        <f t="array" ref="T50">_xlfn.XLOOKUP(tblNotify[[#This Row],[person_id]],tblPeople[person_id],tblPeople[elements_exposed],"NOT FOUND")&amp;""</f>
        <v>0</v>
      </c>
      <c r="U50">
        <f>INDEX(tblPeople[elements_exposed],MATCH(tblNotify[[#This Row],[person_id]],tblPeople[person_id],0))&amp;""</f>
        <v>0</v>
      </c>
      <c r="V50">
        <f>_xlfn.TEXTJOIN(" ",TRUE,tblNotify[[#This Row],[first_name]],tblNotify[[#This Row],[middle_initial]],tblNotify[[#This Row],[last_name]],tblNotify[[#This Row],[name_suffix]])</f>
        <v>0</v>
      </c>
      <c r="W50" cm="1">
        <f t="array" ref="W5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50">
        <f>tblNotify[[#This Row],[status_xl]]=tblNotify[[#This Row],[notify_status]]</f>
        <v>0</v>
      </c>
    </row>
    <row r="51" spans="1:24">
      <c r="A51" s="6" t="s">
        <v>692</v>
      </c>
      <c r="B51" t="s">
        <v>38</v>
      </c>
      <c r="C51" t="s">
        <v>686</v>
      </c>
      <c r="D51" t="s">
        <v>685</v>
      </c>
      <c r="E51" t="s">
        <v>212</v>
      </c>
      <c r="G51" t="s">
        <v>687</v>
      </c>
      <c r="I51" t="s">
        <v>688</v>
      </c>
      <c r="J51" t="s">
        <v>38</v>
      </c>
      <c r="K51" s="6" t="s">
        <v>689</v>
      </c>
      <c r="L51" t="s">
        <v>148</v>
      </c>
      <c r="M51" t="s">
        <v>2826</v>
      </c>
      <c r="N51" t="b">
        <v>1</v>
      </c>
      <c r="O51" t="s">
        <v>2892</v>
      </c>
      <c r="Q51" t="b">
        <v>0</v>
      </c>
      <c r="R51" t="s">
        <v>205</v>
      </c>
      <c r="S51" t="s">
        <v>2896</v>
      </c>
      <c r="T51" cm="1">
        <f t="array" ref="T51">_xlfn.XLOOKUP(tblNotify[[#This Row],[person_id]],tblPeople[person_id],tblPeople[elements_exposed],"NOT FOUND")&amp;""</f>
        <v>0</v>
      </c>
      <c r="U51">
        <f>INDEX(tblPeople[elements_exposed],MATCH(tblNotify[[#This Row],[person_id]],tblPeople[person_id],0))&amp;""</f>
        <v>0</v>
      </c>
      <c r="V51">
        <f>_xlfn.TEXTJOIN(" ",TRUE,tblNotify[[#This Row],[first_name]],tblNotify[[#This Row],[middle_initial]],tblNotify[[#This Row],[last_name]],tblNotify[[#This Row],[name_suffix]])</f>
        <v>0</v>
      </c>
      <c r="W51" cm="1">
        <f t="array" ref="W5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51">
        <f>tblNotify[[#This Row],[status_xl]]=tblNotify[[#This Row],[notify_status]]</f>
        <v>0</v>
      </c>
    </row>
    <row r="52" spans="1:24">
      <c r="A52" s="6" t="s">
        <v>701</v>
      </c>
      <c r="B52" t="s">
        <v>40</v>
      </c>
      <c r="C52" t="s">
        <v>695</v>
      </c>
      <c r="D52" t="s">
        <v>694</v>
      </c>
      <c r="E52" t="s">
        <v>1200</v>
      </c>
      <c r="G52" t="s">
        <v>696</v>
      </c>
      <c r="I52" t="s">
        <v>697</v>
      </c>
      <c r="J52" t="s">
        <v>40</v>
      </c>
      <c r="K52" s="6" t="s">
        <v>698</v>
      </c>
      <c r="L52" t="s">
        <v>148</v>
      </c>
      <c r="M52" t="s">
        <v>2835</v>
      </c>
      <c r="N52" t="b">
        <v>1</v>
      </c>
      <c r="O52" t="s">
        <v>2911</v>
      </c>
      <c r="Q52" t="b">
        <v>0</v>
      </c>
      <c r="R52" t="s">
        <v>149</v>
      </c>
      <c r="S52" t="s">
        <v>2896</v>
      </c>
      <c r="T52" cm="1">
        <f t="array" ref="T52">_xlfn.XLOOKUP(tblNotify[[#This Row],[person_id]],tblPeople[person_id],tblPeople[elements_exposed],"NOT FOUND")&amp;""</f>
        <v>0</v>
      </c>
      <c r="U52">
        <f>INDEX(tblPeople[elements_exposed],MATCH(tblNotify[[#This Row],[person_id]],tblPeople[person_id],0))&amp;""</f>
        <v>0</v>
      </c>
      <c r="V52">
        <f>_xlfn.TEXTJOIN(" ",TRUE,tblNotify[[#This Row],[first_name]],tblNotify[[#This Row],[middle_initial]],tblNotify[[#This Row],[last_name]],tblNotify[[#This Row],[name_suffix]])</f>
        <v>0</v>
      </c>
      <c r="W52" cm="1">
        <f t="array" ref="W5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52">
        <f>tblNotify[[#This Row],[status_xl]]=tblNotify[[#This Row],[notify_status]]</f>
        <v>0</v>
      </c>
    </row>
    <row r="53" spans="1:24">
      <c r="A53" s="6" t="s">
        <v>709</v>
      </c>
      <c r="B53" t="s">
        <v>36</v>
      </c>
      <c r="C53" t="s">
        <v>703</v>
      </c>
      <c r="D53" t="s">
        <v>507</v>
      </c>
      <c r="G53" t="s">
        <v>704</v>
      </c>
      <c r="I53" t="s">
        <v>705</v>
      </c>
      <c r="J53" t="s">
        <v>36</v>
      </c>
      <c r="K53" s="6" t="s">
        <v>706</v>
      </c>
      <c r="L53" t="s">
        <v>148</v>
      </c>
      <c r="M53" t="s">
        <v>2863</v>
      </c>
      <c r="N53" t="b">
        <v>1</v>
      </c>
      <c r="O53" t="s">
        <v>2912</v>
      </c>
      <c r="Q53" t="b">
        <v>0</v>
      </c>
      <c r="R53" t="s">
        <v>149</v>
      </c>
      <c r="S53" t="s">
        <v>2896</v>
      </c>
      <c r="T53" cm="1">
        <f t="array" ref="T53">_xlfn.XLOOKUP(tblNotify[[#This Row],[person_id]],tblPeople[person_id],tblPeople[elements_exposed],"NOT FOUND")&amp;""</f>
        <v>0</v>
      </c>
      <c r="U53">
        <f>INDEX(tblPeople[elements_exposed],MATCH(tblNotify[[#This Row],[person_id]],tblPeople[person_id],0))&amp;""</f>
        <v>0</v>
      </c>
      <c r="V53">
        <f>_xlfn.TEXTJOIN(" ",TRUE,tblNotify[[#This Row],[first_name]],tblNotify[[#This Row],[middle_initial]],tblNotify[[#This Row],[last_name]],tblNotify[[#This Row],[name_suffix]])</f>
        <v>0</v>
      </c>
      <c r="W53" cm="1">
        <f t="array" ref="W5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53">
        <f>tblNotify[[#This Row],[status_xl]]=tblNotify[[#This Row],[notify_status]]</f>
        <v>0</v>
      </c>
    </row>
    <row r="54" spans="1:24">
      <c r="A54" s="6" t="s">
        <v>724</v>
      </c>
      <c r="B54" t="s">
        <v>36</v>
      </c>
      <c r="C54" t="s">
        <v>717</v>
      </c>
      <c r="D54" t="s">
        <v>162</v>
      </c>
      <c r="F54" t="s">
        <v>214</v>
      </c>
      <c r="G54" t="s">
        <v>718</v>
      </c>
      <c r="I54" t="s">
        <v>719</v>
      </c>
      <c r="J54" t="s">
        <v>36</v>
      </c>
      <c r="K54" s="6" t="s">
        <v>720</v>
      </c>
      <c r="L54" t="s">
        <v>148</v>
      </c>
      <c r="M54" t="s">
        <v>2860</v>
      </c>
      <c r="N54" t="b">
        <v>1</v>
      </c>
      <c r="O54" t="s">
        <v>2904</v>
      </c>
      <c r="Q54" t="b">
        <v>0</v>
      </c>
      <c r="R54" t="s">
        <v>205</v>
      </c>
      <c r="S54" t="s">
        <v>2896</v>
      </c>
      <c r="T54" cm="1">
        <f t="array" ref="T54">_xlfn.XLOOKUP(tblNotify[[#This Row],[person_id]],tblPeople[person_id],tblPeople[elements_exposed],"NOT FOUND")&amp;""</f>
        <v>0</v>
      </c>
      <c r="U54">
        <f>INDEX(tblPeople[elements_exposed],MATCH(tblNotify[[#This Row],[person_id]],tblPeople[person_id],0))&amp;""</f>
        <v>0</v>
      </c>
      <c r="V54">
        <f>_xlfn.TEXTJOIN(" ",TRUE,tblNotify[[#This Row],[first_name]],tblNotify[[#This Row],[middle_initial]],tblNotify[[#This Row],[last_name]],tblNotify[[#This Row],[name_suffix]])</f>
        <v>0</v>
      </c>
      <c r="W54" cm="1">
        <f t="array" ref="W5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54">
        <f>tblNotify[[#This Row],[status_xl]]=tblNotify[[#This Row],[notify_status]]</f>
        <v>0</v>
      </c>
    </row>
    <row r="55" spans="1:24">
      <c r="A55" s="6" t="s">
        <v>733</v>
      </c>
      <c r="B55" t="s">
        <v>40</v>
      </c>
      <c r="C55" t="s">
        <v>727</v>
      </c>
      <c r="D55" t="s">
        <v>726</v>
      </c>
      <c r="G55" t="s">
        <v>728</v>
      </c>
      <c r="I55" t="s">
        <v>729</v>
      </c>
      <c r="J55" t="s">
        <v>40</v>
      </c>
      <c r="K55" s="6" t="s">
        <v>730</v>
      </c>
      <c r="L55" t="s">
        <v>148</v>
      </c>
      <c r="M55" t="s">
        <v>2860</v>
      </c>
      <c r="N55" t="b">
        <v>1</v>
      </c>
      <c r="O55" t="s">
        <v>2904</v>
      </c>
      <c r="Q55" t="b">
        <v>0</v>
      </c>
      <c r="R55" t="s">
        <v>205</v>
      </c>
      <c r="S55" t="s">
        <v>2896</v>
      </c>
      <c r="T55" cm="1">
        <f t="array" ref="T55">_xlfn.XLOOKUP(tblNotify[[#This Row],[person_id]],tblPeople[person_id],tblPeople[elements_exposed],"NOT FOUND")&amp;""</f>
        <v>0</v>
      </c>
      <c r="U55">
        <f>INDEX(tblPeople[elements_exposed],MATCH(tblNotify[[#This Row],[person_id]],tblPeople[person_id],0))&amp;""</f>
        <v>0</v>
      </c>
      <c r="V55">
        <f>_xlfn.TEXTJOIN(" ",TRUE,tblNotify[[#This Row],[first_name]],tblNotify[[#This Row],[middle_initial]],tblNotify[[#This Row],[last_name]],tblNotify[[#This Row],[name_suffix]])</f>
        <v>0</v>
      </c>
      <c r="W55" cm="1">
        <f t="array" ref="W5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55">
        <f>tblNotify[[#This Row],[status_xl]]=tblNotify[[#This Row],[notify_status]]</f>
        <v>0</v>
      </c>
    </row>
    <row r="56" spans="1:24">
      <c r="A56" s="6" t="s">
        <v>749</v>
      </c>
      <c r="B56" t="s">
        <v>40</v>
      </c>
      <c r="C56" t="s">
        <v>740</v>
      </c>
      <c r="D56" t="s">
        <v>739</v>
      </c>
      <c r="G56" t="s">
        <v>741</v>
      </c>
      <c r="I56" t="s">
        <v>742</v>
      </c>
      <c r="J56" t="s">
        <v>40</v>
      </c>
      <c r="K56" s="6" t="s">
        <v>743</v>
      </c>
      <c r="L56" t="s">
        <v>148</v>
      </c>
      <c r="M56" t="s">
        <v>2875</v>
      </c>
      <c r="N56" t="b">
        <v>1</v>
      </c>
      <c r="O56" t="s">
        <v>2917</v>
      </c>
      <c r="Q56" t="b">
        <v>0</v>
      </c>
      <c r="R56" t="s">
        <v>205</v>
      </c>
      <c r="S56" t="s">
        <v>2893</v>
      </c>
      <c r="T56" cm="1">
        <f t="array" ref="T56">_xlfn.XLOOKUP(tblNotify[[#This Row],[person_id]],tblPeople[person_id],tblPeople[elements_exposed],"NOT FOUND")&amp;""</f>
        <v>0</v>
      </c>
      <c r="U56">
        <f>INDEX(tblPeople[elements_exposed],MATCH(tblNotify[[#This Row],[person_id]],tblPeople[person_id],0))&amp;""</f>
        <v>0</v>
      </c>
      <c r="V56">
        <f>_xlfn.TEXTJOIN(" ",TRUE,tblNotify[[#This Row],[first_name]],tblNotify[[#This Row],[middle_initial]],tblNotify[[#This Row],[last_name]],tblNotify[[#This Row],[name_suffix]])</f>
        <v>0</v>
      </c>
      <c r="W56" cm="1">
        <f t="array" ref="W5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56">
        <f>tblNotify[[#This Row],[status_xl]]=tblNotify[[#This Row],[notify_status]]</f>
        <v>0</v>
      </c>
    </row>
    <row r="57" spans="1:24">
      <c r="A57" s="6" t="s">
        <v>760</v>
      </c>
      <c r="B57" t="s">
        <v>33</v>
      </c>
      <c r="C57" t="s">
        <v>752</v>
      </c>
      <c r="D57" t="s">
        <v>751</v>
      </c>
      <c r="G57" t="s">
        <v>753</v>
      </c>
      <c r="I57" t="s">
        <v>754</v>
      </c>
      <c r="J57" t="s">
        <v>33</v>
      </c>
      <c r="K57" s="6" t="s">
        <v>755</v>
      </c>
      <c r="L57" t="s">
        <v>148</v>
      </c>
      <c r="M57" t="s">
        <v>2875</v>
      </c>
      <c r="N57" t="b">
        <v>0</v>
      </c>
      <c r="Q57" t="b">
        <v>0</v>
      </c>
      <c r="R57" t="s">
        <v>205</v>
      </c>
      <c r="S57" t="s">
        <v>2918</v>
      </c>
      <c r="T57" cm="1">
        <f t="array" ref="T57">_xlfn.XLOOKUP(tblNotify[[#This Row],[person_id]],tblPeople[person_id],tblPeople[elements_exposed],"NOT FOUND")&amp;""</f>
        <v>0</v>
      </c>
      <c r="U57">
        <f>INDEX(tblPeople[elements_exposed],MATCH(tblNotify[[#This Row],[person_id]],tblPeople[person_id],0))&amp;""</f>
        <v>0</v>
      </c>
      <c r="V57">
        <f>_xlfn.TEXTJOIN(" ",TRUE,tblNotify[[#This Row],[first_name]],tblNotify[[#This Row],[middle_initial]],tblNotify[[#This Row],[last_name]],tblNotify[[#This Row],[name_suffix]])</f>
        <v>0</v>
      </c>
      <c r="W57" cm="1">
        <f t="array" ref="W5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57">
        <f>tblNotify[[#This Row],[status_xl]]=tblNotify[[#This Row],[notify_status]]</f>
        <v>0</v>
      </c>
    </row>
    <row r="58" spans="1:24">
      <c r="A58" s="6" t="s">
        <v>768</v>
      </c>
      <c r="B58" t="s">
        <v>39</v>
      </c>
      <c r="C58" t="s">
        <v>763</v>
      </c>
      <c r="D58" t="s">
        <v>762</v>
      </c>
      <c r="G58" t="s">
        <v>764</v>
      </c>
      <c r="I58" t="s">
        <v>603</v>
      </c>
      <c r="J58" t="s">
        <v>39</v>
      </c>
      <c r="K58" s="6" t="s">
        <v>765</v>
      </c>
      <c r="L58" t="s">
        <v>148</v>
      </c>
      <c r="M58" t="s">
        <v>2875</v>
      </c>
      <c r="N58" t="b">
        <v>1</v>
      </c>
      <c r="O58" t="s">
        <v>2917</v>
      </c>
      <c r="Q58" t="b">
        <v>0</v>
      </c>
      <c r="R58" t="s">
        <v>205</v>
      </c>
      <c r="S58" t="s">
        <v>2896</v>
      </c>
      <c r="T58" cm="1">
        <f t="array" ref="T58">_xlfn.XLOOKUP(tblNotify[[#This Row],[person_id]],tblPeople[person_id],tblPeople[elements_exposed],"NOT FOUND")&amp;""</f>
        <v>0</v>
      </c>
      <c r="U58">
        <f>INDEX(tblPeople[elements_exposed],MATCH(tblNotify[[#This Row],[person_id]],tblPeople[person_id],0))&amp;""</f>
        <v>0</v>
      </c>
      <c r="V58">
        <f>_xlfn.TEXTJOIN(" ",TRUE,tblNotify[[#This Row],[first_name]],tblNotify[[#This Row],[middle_initial]],tblNotify[[#This Row],[last_name]],tblNotify[[#This Row],[name_suffix]])</f>
        <v>0</v>
      </c>
      <c r="W58" cm="1">
        <f t="array" ref="W5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58">
        <f>tblNotify[[#This Row],[status_xl]]=tblNotify[[#This Row],[notify_status]]</f>
        <v>0</v>
      </c>
    </row>
    <row r="59" spans="1:24">
      <c r="A59" s="6" t="s">
        <v>783</v>
      </c>
      <c r="B59" t="s">
        <v>36</v>
      </c>
      <c r="C59" t="s">
        <v>777</v>
      </c>
      <c r="D59" t="s">
        <v>776</v>
      </c>
      <c r="G59" t="s">
        <v>778</v>
      </c>
      <c r="I59" t="s">
        <v>779</v>
      </c>
      <c r="J59" t="s">
        <v>36</v>
      </c>
      <c r="K59" s="6" t="s">
        <v>780</v>
      </c>
      <c r="L59" t="s">
        <v>148</v>
      </c>
      <c r="M59" t="s">
        <v>2875</v>
      </c>
      <c r="N59" t="b">
        <v>1</v>
      </c>
      <c r="O59" t="s">
        <v>2917</v>
      </c>
      <c r="Q59" t="b">
        <v>0</v>
      </c>
      <c r="R59" t="s">
        <v>149</v>
      </c>
      <c r="S59" t="s">
        <v>2896</v>
      </c>
      <c r="T59" cm="1">
        <f t="array" ref="T59">_xlfn.XLOOKUP(tblNotify[[#This Row],[person_id]],tblPeople[person_id],tblPeople[elements_exposed],"NOT FOUND")&amp;""</f>
        <v>0</v>
      </c>
      <c r="U59">
        <f>INDEX(tblPeople[elements_exposed],MATCH(tblNotify[[#This Row],[person_id]],tblPeople[person_id],0))&amp;""</f>
        <v>0</v>
      </c>
      <c r="V59">
        <f>_xlfn.TEXTJOIN(" ",TRUE,tblNotify[[#This Row],[first_name]],tblNotify[[#This Row],[middle_initial]],tblNotify[[#This Row],[last_name]],tblNotify[[#This Row],[name_suffix]])</f>
        <v>0</v>
      </c>
      <c r="W59" cm="1">
        <f t="array" ref="W5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59">
        <f>tblNotify[[#This Row],[status_xl]]=tblNotify[[#This Row],[notify_status]]</f>
        <v>0</v>
      </c>
    </row>
    <row r="60" spans="1:24">
      <c r="A60" s="6" t="s">
        <v>793</v>
      </c>
      <c r="B60" t="s">
        <v>33</v>
      </c>
      <c r="C60" t="s">
        <v>786</v>
      </c>
      <c r="D60" t="s">
        <v>785</v>
      </c>
      <c r="G60" t="s">
        <v>787</v>
      </c>
      <c r="I60" t="s">
        <v>788</v>
      </c>
      <c r="J60" t="s">
        <v>33</v>
      </c>
      <c r="K60" s="6" t="s">
        <v>789</v>
      </c>
      <c r="L60" t="s">
        <v>148</v>
      </c>
      <c r="M60" t="s">
        <v>2875</v>
      </c>
      <c r="N60" t="b">
        <v>1</v>
      </c>
      <c r="O60" t="s">
        <v>2917</v>
      </c>
      <c r="Q60" t="b">
        <v>0</v>
      </c>
      <c r="R60" t="s">
        <v>205</v>
      </c>
      <c r="S60" t="s">
        <v>2896</v>
      </c>
      <c r="T60" cm="1">
        <f t="array" ref="T60">_xlfn.XLOOKUP(tblNotify[[#This Row],[person_id]],tblPeople[person_id],tblPeople[elements_exposed],"NOT FOUND")&amp;""</f>
        <v>0</v>
      </c>
      <c r="U60">
        <f>INDEX(tblPeople[elements_exposed],MATCH(tblNotify[[#This Row],[person_id]],tblPeople[person_id],0))&amp;""</f>
        <v>0</v>
      </c>
      <c r="V60">
        <f>_xlfn.TEXTJOIN(" ",TRUE,tblNotify[[#This Row],[first_name]],tblNotify[[#This Row],[middle_initial]],tblNotify[[#This Row],[last_name]],tblNotify[[#This Row],[name_suffix]])</f>
        <v>0</v>
      </c>
      <c r="W60" cm="1">
        <f t="array" ref="W6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60">
        <f>tblNotify[[#This Row],[status_xl]]=tblNotify[[#This Row],[notify_status]]</f>
        <v>0</v>
      </c>
    </row>
    <row r="61" spans="1:24">
      <c r="A61" s="6" t="s">
        <v>807</v>
      </c>
      <c r="B61" t="s">
        <v>33</v>
      </c>
      <c r="C61" t="s">
        <v>593</v>
      </c>
      <c r="D61" t="s">
        <v>799</v>
      </c>
      <c r="G61" t="s">
        <v>800</v>
      </c>
      <c r="I61" t="s">
        <v>801</v>
      </c>
      <c r="J61" t="s">
        <v>33</v>
      </c>
      <c r="K61" s="6" t="s">
        <v>802</v>
      </c>
      <c r="L61" t="s">
        <v>148</v>
      </c>
      <c r="M61" t="s">
        <v>2875</v>
      </c>
      <c r="N61" t="b">
        <v>1</v>
      </c>
      <c r="O61" t="s">
        <v>2917</v>
      </c>
      <c r="Q61" t="b">
        <v>0</v>
      </c>
      <c r="R61" t="s">
        <v>149</v>
      </c>
      <c r="S61" t="s">
        <v>2893</v>
      </c>
      <c r="T61" cm="1">
        <f t="array" ref="T61">_xlfn.XLOOKUP(tblNotify[[#This Row],[person_id]],tblPeople[person_id],tblPeople[elements_exposed],"NOT FOUND")&amp;""</f>
        <v>0</v>
      </c>
      <c r="U61">
        <f>INDEX(tblPeople[elements_exposed],MATCH(tblNotify[[#This Row],[person_id]],tblPeople[person_id],0))&amp;""</f>
        <v>0</v>
      </c>
      <c r="V61">
        <f>_xlfn.TEXTJOIN(" ",TRUE,tblNotify[[#This Row],[first_name]],tblNotify[[#This Row],[middle_initial]],tblNotify[[#This Row],[last_name]],tblNotify[[#This Row],[name_suffix]])</f>
        <v>0</v>
      </c>
      <c r="W61" cm="1">
        <f t="array" ref="W6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61">
        <f>tblNotify[[#This Row],[status_xl]]=tblNotify[[#This Row],[notify_status]]</f>
        <v>0</v>
      </c>
    </row>
    <row r="62" spans="1:24">
      <c r="A62" s="6" t="s">
        <v>813</v>
      </c>
      <c r="B62" t="s">
        <v>33</v>
      </c>
      <c r="C62" t="s">
        <v>266</v>
      </c>
      <c r="D62" t="s">
        <v>809</v>
      </c>
      <c r="G62" t="s">
        <v>145</v>
      </c>
      <c r="I62" t="s">
        <v>146</v>
      </c>
      <c r="J62" t="s">
        <v>33</v>
      </c>
      <c r="K62" s="6" t="s">
        <v>147</v>
      </c>
      <c r="L62" t="s">
        <v>148</v>
      </c>
      <c r="M62" t="s">
        <v>2875</v>
      </c>
      <c r="N62" t="b">
        <v>1</v>
      </c>
      <c r="O62" t="s">
        <v>2917</v>
      </c>
      <c r="Q62" t="b">
        <v>0</v>
      </c>
      <c r="R62" t="s">
        <v>149</v>
      </c>
      <c r="S62" t="s">
        <v>2896</v>
      </c>
      <c r="T62" cm="1">
        <f t="array" ref="T62">_xlfn.XLOOKUP(tblNotify[[#This Row],[person_id]],tblPeople[person_id],tblPeople[elements_exposed],"NOT FOUND")&amp;""</f>
        <v>0</v>
      </c>
      <c r="U62">
        <f>INDEX(tblPeople[elements_exposed],MATCH(tblNotify[[#This Row],[person_id]],tblPeople[person_id],0))&amp;""</f>
        <v>0</v>
      </c>
      <c r="V62">
        <f>_xlfn.TEXTJOIN(" ",TRUE,tblNotify[[#This Row],[first_name]],tblNotify[[#This Row],[middle_initial]],tblNotify[[#This Row],[last_name]],tblNotify[[#This Row],[name_suffix]])</f>
        <v>0</v>
      </c>
      <c r="W62" cm="1">
        <f t="array" ref="W6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62">
        <f>tblNotify[[#This Row],[status_xl]]=tblNotify[[#This Row],[notify_status]]</f>
        <v>0</v>
      </c>
    </row>
    <row r="63" spans="1:24">
      <c r="A63" s="6" t="s">
        <v>822</v>
      </c>
      <c r="B63" t="s">
        <v>33</v>
      </c>
      <c r="C63" t="s">
        <v>816</v>
      </c>
      <c r="D63" t="s">
        <v>815</v>
      </c>
      <c r="G63" t="s">
        <v>817</v>
      </c>
      <c r="I63" t="s">
        <v>818</v>
      </c>
      <c r="J63" t="s">
        <v>33</v>
      </c>
      <c r="K63" s="6" t="s">
        <v>819</v>
      </c>
      <c r="L63" t="s">
        <v>148</v>
      </c>
      <c r="M63" t="s">
        <v>2875</v>
      </c>
      <c r="N63" t="b">
        <v>0</v>
      </c>
      <c r="Q63" t="b">
        <v>0</v>
      </c>
      <c r="R63" t="s">
        <v>205</v>
      </c>
      <c r="S63" t="s">
        <v>2918</v>
      </c>
      <c r="T63" cm="1">
        <f t="array" ref="T63">_xlfn.XLOOKUP(tblNotify[[#This Row],[person_id]],tblPeople[person_id],tblPeople[elements_exposed],"NOT FOUND")&amp;""</f>
        <v>0</v>
      </c>
      <c r="U63">
        <f>INDEX(tblPeople[elements_exposed],MATCH(tblNotify[[#This Row],[person_id]],tblPeople[person_id],0))&amp;""</f>
        <v>0</v>
      </c>
      <c r="V63">
        <f>_xlfn.TEXTJOIN(" ",TRUE,tblNotify[[#This Row],[first_name]],tblNotify[[#This Row],[middle_initial]],tblNotify[[#This Row],[last_name]],tblNotify[[#This Row],[name_suffix]])</f>
        <v>0</v>
      </c>
      <c r="W63" cm="1">
        <f t="array" ref="W6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63">
        <f>tblNotify[[#This Row],[status_xl]]=tblNotify[[#This Row],[notify_status]]</f>
        <v>0</v>
      </c>
    </row>
    <row r="64" spans="1:24">
      <c r="A64" s="6" t="s">
        <v>830</v>
      </c>
      <c r="B64" t="s">
        <v>40</v>
      </c>
      <c r="C64" t="s">
        <v>824</v>
      </c>
      <c r="D64" t="s">
        <v>331</v>
      </c>
      <c r="G64" t="s">
        <v>825</v>
      </c>
      <c r="I64" t="s">
        <v>826</v>
      </c>
      <c r="J64" t="s">
        <v>40</v>
      </c>
      <c r="K64" s="6" t="s">
        <v>827</v>
      </c>
      <c r="L64" t="s">
        <v>148</v>
      </c>
      <c r="M64" t="s">
        <v>2875</v>
      </c>
      <c r="N64" t="b">
        <v>1</v>
      </c>
      <c r="O64" t="s">
        <v>2917</v>
      </c>
      <c r="Q64" t="b">
        <v>0</v>
      </c>
      <c r="R64" t="s">
        <v>205</v>
      </c>
      <c r="S64" t="s">
        <v>2896</v>
      </c>
      <c r="T64" cm="1">
        <f t="array" ref="T64">_xlfn.XLOOKUP(tblNotify[[#This Row],[person_id]],tblPeople[person_id],tblPeople[elements_exposed],"NOT FOUND")&amp;""</f>
        <v>0</v>
      </c>
      <c r="U64">
        <f>INDEX(tblPeople[elements_exposed],MATCH(tblNotify[[#This Row],[person_id]],tblPeople[person_id],0))&amp;""</f>
        <v>0</v>
      </c>
      <c r="V64">
        <f>_xlfn.TEXTJOIN(" ",TRUE,tblNotify[[#This Row],[first_name]],tblNotify[[#This Row],[middle_initial]],tblNotify[[#This Row],[last_name]],tblNotify[[#This Row],[name_suffix]])</f>
        <v>0</v>
      </c>
      <c r="W64" cm="1">
        <f t="array" ref="W6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64">
        <f>tblNotify[[#This Row],[status_xl]]=tblNotify[[#This Row],[notify_status]]</f>
        <v>0</v>
      </c>
    </row>
    <row r="65" spans="1:24">
      <c r="A65" s="6" t="s">
        <v>836</v>
      </c>
      <c r="B65" t="s">
        <v>40</v>
      </c>
      <c r="C65" t="s">
        <v>833</v>
      </c>
      <c r="D65" t="s">
        <v>832</v>
      </c>
      <c r="G65" t="s">
        <v>645</v>
      </c>
      <c r="I65" t="s">
        <v>646</v>
      </c>
      <c r="J65" t="s">
        <v>40</v>
      </c>
      <c r="K65" s="6" t="s">
        <v>647</v>
      </c>
      <c r="L65" t="s">
        <v>148</v>
      </c>
      <c r="M65" t="s">
        <v>2875</v>
      </c>
      <c r="N65" t="b">
        <v>1</v>
      </c>
      <c r="O65" t="s">
        <v>2917</v>
      </c>
      <c r="Q65" t="b">
        <v>0</v>
      </c>
      <c r="R65" t="s">
        <v>149</v>
      </c>
      <c r="S65" t="s">
        <v>2893</v>
      </c>
      <c r="T65" cm="1">
        <f t="array" ref="T65">_xlfn.XLOOKUP(tblNotify[[#This Row],[person_id]],tblPeople[person_id],tblPeople[elements_exposed],"NOT FOUND")&amp;""</f>
        <v>0</v>
      </c>
      <c r="U65">
        <f>INDEX(tblPeople[elements_exposed],MATCH(tblNotify[[#This Row],[person_id]],tblPeople[person_id],0))&amp;""</f>
        <v>0</v>
      </c>
      <c r="V65">
        <f>_xlfn.TEXTJOIN(" ",TRUE,tblNotify[[#This Row],[first_name]],tblNotify[[#This Row],[middle_initial]],tblNotify[[#This Row],[last_name]],tblNotify[[#This Row],[name_suffix]])</f>
        <v>0</v>
      </c>
      <c r="W65" cm="1">
        <f t="array" ref="W6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65">
        <f>tblNotify[[#This Row],[status_xl]]=tblNotify[[#This Row],[notify_status]]</f>
        <v>0</v>
      </c>
    </row>
    <row r="66" spans="1:24">
      <c r="A66" s="6" t="s">
        <v>844</v>
      </c>
      <c r="B66" t="s">
        <v>38</v>
      </c>
      <c r="C66" t="s">
        <v>841</v>
      </c>
      <c r="D66" t="s">
        <v>678</v>
      </c>
      <c r="G66" t="s">
        <v>165</v>
      </c>
      <c r="I66" t="s">
        <v>166</v>
      </c>
      <c r="J66" t="s">
        <v>38</v>
      </c>
      <c r="K66" s="6" t="s">
        <v>167</v>
      </c>
      <c r="L66" t="s">
        <v>148</v>
      </c>
      <c r="M66" t="s">
        <v>2875</v>
      </c>
      <c r="N66" t="b">
        <v>1</v>
      </c>
      <c r="O66" t="s">
        <v>2917</v>
      </c>
      <c r="Q66" t="b">
        <v>0</v>
      </c>
      <c r="R66" t="s">
        <v>149</v>
      </c>
      <c r="S66" t="s">
        <v>2896</v>
      </c>
      <c r="T66" cm="1">
        <f t="array" ref="T66">_xlfn.XLOOKUP(tblNotify[[#This Row],[person_id]],tblPeople[person_id],tblPeople[elements_exposed],"NOT FOUND")&amp;""</f>
        <v>0</v>
      </c>
      <c r="U66">
        <f>INDEX(tblPeople[elements_exposed],MATCH(tblNotify[[#This Row],[person_id]],tblPeople[person_id],0))&amp;""</f>
        <v>0</v>
      </c>
      <c r="V66">
        <f>_xlfn.TEXTJOIN(" ",TRUE,tblNotify[[#This Row],[first_name]],tblNotify[[#This Row],[middle_initial]],tblNotify[[#This Row],[last_name]],tblNotify[[#This Row],[name_suffix]])</f>
        <v>0</v>
      </c>
      <c r="W66" cm="1">
        <f t="array" ref="W6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66">
        <f>tblNotify[[#This Row],[status_xl]]=tblNotify[[#This Row],[notify_status]]</f>
        <v>0</v>
      </c>
    </row>
    <row r="67" spans="1:24">
      <c r="A67" s="6" t="s">
        <v>853</v>
      </c>
      <c r="B67" t="s">
        <v>40</v>
      </c>
      <c r="C67" t="s">
        <v>847</v>
      </c>
      <c r="D67" t="s">
        <v>846</v>
      </c>
      <c r="G67" t="s">
        <v>848</v>
      </c>
      <c r="I67" t="s">
        <v>849</v>
      </c>
      <c r="J67" t="s">
        <v>40</v>
      </c>
      <c r="K67" s="6" t="s">
        <v>850</v>
      </c>
      <c r="L67" t="s">
        <v>148</v>
      </c>
      <c r="M67" t="s">
        <v>2875</v>
      </c>
      <c r="N67" t="b">
        <v>1</v>
      </c>
      <c r="O67" t="s">
        <v>2917</v>
      </c>
      <c r="Q67" t="b">
        <v>0</v>
      </c>
      <c r="R67" t="s">
        <v>205</v>
      </c>
      <c r="S67" t="s">
        <v>2896</v>
      </c>
      <c r="T67" cm="1">
        <f t="array" ref="T67">_xlfn.XLOOKUP(tblNotify[[#This Row],[person_id]],tblPeople[person_id],tblPeople[elements_exposed],"NOT FOUND")&amp;""</f>
        <v>0</v>
      </c>
      <c r="U67">
        <f>INDEX(tblPeople[elements_exposed],MATCH(tblNotify[[#This Row],[person_id]],tblPeople[person_id],0))&amp;""</f>
        <v>0</v>
      </c>
      <c r="V67">
        <f>_xlfn.TEXTJOIN(" ",TRUE,tblNotify[[#This Row],[first_name]],tblNotify[[#This Row],[middle_initial]],tblNotify[[#This Row],[last_name]],tblNotify[[#This Row],[name_suffix]])</f>
        <v>0</v>
      </c>
      <c r="W67" cm="1">
        <f t="array" ref="W6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67">
        <f>tblNotify[[#This Row],[status_xl]]=tblNotify[[#This Row],[notify_status]]</f>
        <v>0</v>
      </c>
    </row>
    <row r="68" spans="1:24">
      <c r="A68" s="6" t="s">
        <v>861</v>
      </c>
      <c r="B68" t="s">
        <v>39</v>
      </c>
      <c r="C68" t="s">
        <v>268</v>
      </c>
      <c r="D68" t="s">
        <v>855</v>
      </c>
      <c r="G68" t="s">
        <v>856</v>
      </c>
      <c r="I68" t="s">
        <v>614</v>
      </c>
      <c r="J68" t="s">
        <v>39</v>
      </c>
      <c r="K68" s="6" t="s">
        <v>857</v>
      </c>
      <c r="L68" t="s">
        <v>148</v>
      </c>
      <c r="M68" t="s">
        <v>2875</v>
      </c>
      <c r="N68" t="b">
        <v>1</v>
      </c>
      <c r="O68" t="s">
        <v>2917</v>
      </c>
      <c r="Q68" t="b">
        <v>0</v>
      </c>
      <c r="R68" t="s">
        <v>205</v>
      </c>
      <c r="S68" t="s">
        <v>2893</v>
      </c>
      <c r="T68" cm="1">
        <f t="array" ref="T68">_xlfn.XLOOKUP(tblNotify[[#This Row],[person_id]],tblPeople[person_id],tblPeople[elements_exposed],"NOT FOUND")&amp;""</f>
        <v>0</v>
      </c>
      <c r="U68">
        <f>INDEX(tblPeople[elements_exposed],MATCH(tblNotify[[#This Row],[person_id]],tblPeople[person_id],0))&amp;""</f>
        <v>0</v>
      </c>
      <c r="V68">
        <f>_xlfn.TEXTJOIN(" ",TRUE,tblNotify[[#This Row],[first_name]],tblNotify[[#This Row],[middle_initial]],tblNotify[[#This Row],[last_name]],tblNotify[[#This Row],[name_suffix]])</f>
        <v>0</v>
      </c>
      <c r="W68" cm="1">
        <f t="array" ref="W6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68">
        <f>tblNotify[[#This Row],[status_xl]]=tblNotify[[#This Row],[notify_status]]</f>
        <v>0</v>
      </c>
    </row>
    <row r="69" spans="1:24">
      <c r="A69" s="6" t="s">
        <v>866</v>
      </c>
      <c r="B69" t="s">
        <v>40</v>
      </c>
      <c r="C69" t="s">
        <v>863</v>
      </c>
      <c r="D69" t="s">
        <v>658</v>
      </c>
      <c r="G69" t="s">
        <v>696</v>
      </c>
      <c r="I69" t="s">
        <v>697</v>
      </c>
      <c r="J69" t="s">
        <v>40</v>
      </c>
      <c r="K69" s="6" t="s">
        <v>698</v>
      </c>
      <c r="L69" t="s">
        <v>148</v>
      </c>
      <c r="M69" t="s">
        <v>2875</v>
      </c>
      <c r="N69" t="b">
        <v>1</v>
      </c>
      <c r="O69" t="s">
        <v>2917</v>
      </c>
      <c r="Q69" t="b">
        <v>0</v>
      </c>
      <c r="R69" t="s">
        <v>149</v>
      </c>
      <c r="S69" t="s">
        <v>2893</v>
      </c>
      <c r="T69" cm="1">
        <f t="array" ref="T69">_xlfn.XLOOKUP(tblNotify[[#This Row],[person_id]],tblPeople[person_id],tblPeople[elements_exposed],"NOT FOUND")&amp;""</f>
        <v>0</v>
      </c>
      <c r="U69">
        <f>INDEX(tblPeople[elements_exposed],MATCH(tblNotify[[#This Row],[person_id]],tblPeople[person_id],0))&amp;""</f>
        <v>0</v>
      </c>
      <c r="V69">
        <f>_xlfn.TEXTJOIN(" ",TRUE,tblNotify[[#This Row],[first_name]],tblNotify[[#This Row],[middle_initial]],tblNotify[[#This Row],[last_name]],tblNotify[[#This Row],[name_suffix]])</f>
        <v>0</v>
      </c>
      <c r="W69" cm="1">
        <f t="array" ref="W6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69">
        <f>tblNotify[[#This Row],[status_xl]]=tblNotify[[#This Row],[notify_status]]</f>
        <v>0</v>
      </c>
    </row>
    <row r="70" spans="1:24">
      <c r="A70" s="6" t="s">
        <v>872</v>
      </c>
      <c r="B70" t="s">
        <v>34</v>
      </c>
      <c r="C70" t="s">
        <v>869</v>
      </c>
      <c r="D70" t="s">
        <v>868</v>
      </c>
      <c r="G70" t="s">
        <v>316</v>
      </c>
      <c r="I70" t="s">
        <v>317</v>
      </c>
      <c r="J70" t="s">
        <v>34</v>
      </c>
      <c r="K70" s="6" t="s">
        <v>318</v>
      </c>
      <c r="L70" t="s">
        <v>148</v>
      </c>
      <c r="M70" t="s">
        <v>2875</v>
      </c>
      <c r="N70" t="b">
        <v>1</v>
      </c>
      <c r="O70" t="s">
        <v>2917</v>
      </c>
      <c r="Q70" t="b">
        <v>0</v>
      </c>
      <c r="R70" t="s">
        <v>149</v>
      </c>
      <c r="S70" t="s">
        <v>2896</v>
      </c>
      <c r="T70" cm="1">
        <f t="array" ref="T70">_xlfn.XLOOKUP(tblNotify[[#This Row],[person_id]],tblPeople[person_id],tblPeople[elements_exposed],"NOT FOUND")&amp;""</f>
        <v>0</v>
      </c>
      <c r="U70">
        <f>INDEX(tblPeople[elements_exposed],MATCH(tblNotify[[#This Row],[person_id]],tblPeople[person_id],0))&amp;""</f>
        <v>0</v>
      </c>
      <c r="V70">
        <f>_xlfn.TEXTJOIN(" ",TRUE,tblNotify[[#This Row],[first_name]],tblNotify[[#This Row],[middle_initial]],tblNotify[[#This Row],[last_name]],tblNotify[[#This Row],[name_suffix]])</f>
        <v>0</v>
      </c>
      <c r="W70" cm="1">
        <f t="array" ref="W7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70">
        <f>tblNotify[[#This Row],[status_xl]]=tblNotify[[#This Row],[notify_status]]</f>
        <v>0</v>
      </c>
    </row>
    <row r="71" spans="1:24">
      <c r="A71" s="6" t="s">
        <v>880</v>
      </c>
      <c r="B71" t="s">
        <v>34</v>
      </c>
      <c r="C71" t="s">
        <v>650</v>
      </c>
      <c r="D71" t="s">
        <v>266</v>
      </c>
      <c r="G71" t="s">
        <v>874</v>
      </c>
      <c r="I71" t="s">
        <v>875</v>
      </c>
      <c r="J71" t="s">
        <v>34</v>
      </c>
      <c r="K71" s="6" t="s">
        <v>876</v>
      </c>
      <c r="L71" t="s">
        <v>148</v>
      </c>
      <c r="M71" t="s">
        <v>2875</v>
      </c>
      <c r="N71" t="b">
        <v>0</v>
      </c>
      <c r="Q71" t="b">
        <v>0</v>
      </c>
      <c r="R71" t="s">
        <v>205</v>
      </c>
      <c r="S71" t="s">
        <v>2918</v>
      </c>
      <c r="T71" cm="1">
        <f t="array" ref="T71">_xlfn.XLOOKUP(tblNotify[[#This Row],[person_id]],tblPeople[person_id],tblPeople[elements_exposed],"NOT FOUND")&amp;""</f>
        <v>0</v>
      </c>
      <c r="U71">
        <f>INDEX(tblPeople[elements_exposed],MATCH(tblNotify[[#This Row],[person_id]],tblPeople[person_id],0))&amp;""</f>
        <v>0</v>
      </c>
      <c r="V71">
        <f>_xlfn.TEXTJOIN(" ",TRUE,tblNotify[[#This Row],[first_name]],tblNotify[[#This Row],[middle_initial]],tblNotify[[#This Row],[last_name]],tblNotify[[#This Row],[name_suffix]])</f>
        <v>0</v>
      </c>
      <c r="W71" cm="1">
        <f t="array" ref="W7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71">
        <f>tblNotify[[#This Row],[status_xl]]=tblNotify[[#This Row],[notify_status]]</f>
        <v>0</v>
      </c>
    </row>
    <row r="72" spans="1:24">
      <c r="A72" s="6" t="s">
        <v>889</v>
      </c>
      <c r="B72" t="s">
        <v>37</v>
      </c>
      <c r="C72" t="s">
        <v>883</v>
      </c>
      <c r="D72" t="s">
        <v>882</v>
      </c>
      <c r="G72" t="s">
        <v>884</v>
      </c>
      <c r="I72" t="s">
        <v>885</v>
      </c>
      <c r="J72" t="s">
        <v>37</v>
      </c>
      <c r="K72" s="6" t="s">
        <v>886</v>
      </c>
      <c r="L72" t="s">
        <v>148</v>
      </c>
      <c r="M72" t="s">
        <v>2875</v>
      </c>
      <c r="N72" t="b">
        <v>1</v>
      </c>
      <c r="O72" t="s">
        <v>2917</v>
      </c>
      <c r="Q72" t="b">
        <v>0</v>
      </c>
      <c r="R72" t="s">
        <v>205</v>
      </c>
      <c r="S72" t="s">
        <v>2896</v>
      </c>
      <c r="T72" cm="1">
        <f t="array" ref="T72">_xlfn.XLOOKUP(tblNotify[[#This Row],[person_id]],tblPeople[person_id],tblPeople[elements_exposed],"NOT FOUND")&amp;""</f>
        <v>0</v>
      </c>
      <c r="U72">
        <f>INDEX(tblPeople[elements_exposed],MATCH(tblNotify[[#This Row],[person_id]],tblPeople[person_id],0))&amp;""</f>
        <v>0</v>
      </c>
      <c r="V72">
        <f>_xlfn.TEXTJOIN(" ",TRUE,tblNotify[[#This Row],[first_name]],tblNotify[[#This Row],[middle_initial]],tblNotify[[#This Row],[last_name]],tblNotify[[#This Row],[name_suffix]])</f>
        <v>0</v>
      </c>
      <c r="W72" cm="1">
        <f t="array" ref="W7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72">
        <f>tblNotify[[#This Row],[status_xl]]=tblNotify[[#This Row],[notify_status]]</f>
        <v>0</v>
      </c>
    </row>
    <row r="73" spans="1:24">
      <c r="A73" s="6" t="s">
        <v>897</v>
      </c>
      <c r="B73" t="s">
        <v>33</v>
      </c>
      <c r="C73" t="s">
        <v>892</v>
      </c>
      <c r="D73" t="s">
        <v>891</v>
      </c>
      <c r="G73" t="s">
        <v>893</v>
      </c>
      <c r="I73" t="s">
        <v>334</v>
      </c>
      <c r="J73" t="s">
        <v>33</v>
      </c>
      <c r="K73" s="6" t="s">
        <v>894</v>
      </c>
      <c r="L73" t="s">
        <v>148</v>
      </c>
      <c r="M73" t="s">
        <v>2875</v>
      </c>
      <c r="N73" t="b">
        <v>1</v>
      </c>
      <c r="O73" t="s">
        <v>2917</v>
      </c>
      <c r="Q73" t="b">
        <v>0</v>
      </c>
      <c r="R73" t="s">
        <v>205</v>
      </c>
      <c r="S73" t="s">
        <v>2896</v>
      </c>
      <c r="T73" cm="1">
        <f t="array" ref="T73">_xlfn.XLOOKUP(tblNotify[[#This Row],[person_id]],tblPeople[person_id],tblPeople[elements_exposed],"NOT FOUND")&amp;""</f>
        <v>0</v>
      </c>
      <c r="U73">
        <f>INDEX(tblPeople[elements_exposed],MATCH(tblNotify[[#This Row],[person_id]],tblPeople[person_id],0))&amp;""</f>
        <v>0</v>
      </c>
      <c r="V73">
        <f>_xlfn.TEXTJOIN(" ",TRUE,tblNotify[[#This Row],[first_name]],tblNotify[[#This Row],[middle_initial]],tblNotify[[#This Row],[last_name]],tblNotify[[#This Row],[name_suffix]])</f>
        <v>0</v>
      </c>
      <c r="W73" cm="1">
        <f t="array" ref="W7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73">
        <f>tblNotify[[#This Row],[status_xl]]=tblNotify[[#This Row],[notify_status]]</f>
        <v>0</v>
      </c>
    </row>
    <row r="74" spans="1:24">
      <c r="A74" s="6" t="s">
        <v>909</v>
      </c>
      <c r="B74" t="s">
        <v>40</v>
      </c>
      <c r="C74" t="s">
        <v>903</v>
      </c>
      <c r="D74" t="s">
        <v>902</v>
      </c>
      <c r="G74" t="s">
        <v>904</v>
      </c>
      <c r="I74" t="s">
        <v>905</v>
      </c>
      <c r="J74" t="s">
        <v>40</v>
      </c>
      <c r="K74" s="6" t="s">
        <v>906</v>
      </c>
      <c r="L74" t="s">
        <v>148</v>
      </c>
      <c r="M74" t="s">
        <v>2875</v>
      </c>
      <c r="N74" t="b">
        <v>1</v>
      </c>
      <c r="O74" t="s">
        <v>2917</v>
      </c>
      <c r="Q74" t="b">
        <v>0</v>
      </c>
      <c r="R74" t="s">
        <v>205</v>
      </c>
      <c r="S74" t="s">
        <v>2896</v>
      </c>
      <c r="T74" cm="1">
        <f t="array" ref="T74">_xlfn.XLOOKUP(tblNotify[[#This Row],[person_id]],tblPeople[person_id],tblPeople[elements_exposed],"NOT FOUND")&amp;""</f>
        <v>0</v>
      </c>
      <c r="U74">
        <f>INDEX(tblPeople[elements_exposed],MATCH(tblNotify[[#This Row],[person_id]],tblPeople[person_id],0))&amp;""</f>
        <v>0</v>
      </c>
      <c r="V74">
        <f>_xlfn.TEXTJOIN(" ",TRUE,tblNotify[[#This Row],[first_name]],tblNotify[[#This Row],[middle_initial]],tblNotify[[#This Row],[last_name]],tblNotify[[#This Row],[name_suffix]])</f>
        <v>0</v>
      </c>
      <c r="W74" cm="1">
        <f t="array" ref="W7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74">
        <f>tblNotify[[#This Row],[status_xl]]=tblNotify[[#This Row],[notify_status]]</f>
        <v>0</v>
      </c>
    </row>
    <row r="75" spans="1:24">
      <c r="A75" s="6" t="s">
        <v>917</v>
      </c>
      <c r="B75" t="s">
        <v>37</v>
      </c>
      <c r="C75" t="s">
        <v>911</v>
      </c>
      <c r="D75" t="s">
        <v>371</v>
      </c>
      <c r="G75" t="s">
        <v>912</v>
      </c>
      <c r="I75" t="s">
        <v>913</v>
      </c>
      <c r="J75" t="s">
        <v>37</v>
      </c>
      <c r="K75" s="6" t="s">
        <v>914</v>
      </c>
      <c r="L75" t="s">
        <v>148</v>
      </c>
      <c r="M75" t="s">
        <v>2875</v>
      </c>
      <c r="N75" t="b">
        <v>0</v>
      </c>
      <c r="Q75" t="b">
        <v>0</v>
      </c>
      <c r="R75" t="s">
        <v>205</v>
      </c>
      <c r="S75" t="s">
        <v>2918</v>
      </c>
      <c r="T75" cm="1">
        <f t="array" ref="T75">_xlfn.XLOOKUP(tblNotify[[#This Row],[person_id]],tblPeople[person_id],tblPeople[elements_exposed],"NOT FOUND")&amp;""</f>
        <v>0</v>
      </c>
      <c r="U75">
        <f>INDEX(tblPeople[elements_exposed],MATCH(tblNotify[[#This Row],[person_id]],tblPeople[person_id],0))&amp;""</f>
        <v>0</v>
      </c>
      <c r="V75">
        <f>_xlfn.TEXTJOIN(" ",TRUE,tblNotify[[#This Row],[first_name]],tblNotify[[#This Row],[middle_initial]],tblNotify[[#This Row],[last_name]],tblNotify[[#This Row],[name_suffix]])</f>
        <v>0</v>
      </c>
      <c r="W75" cm="1">
        <f t="array" ref="W7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75">
        <f>tblNotify[[#This Row],[status_xl]]=tblNotify[[#This Row],[notify_status]]</f>
        <v>0</v>
      </c>
    </row>
    <row r="76" spans="1:24">
      <c r="A76" s="6" t="s">
        <v>921</v>
      </c>
      <c r="B76" t="s">
        <v>38</v>
      </c>
      <c r="C76" t="s">
        <v>143</v>
      </c>
      <c r="D76" t="s">
        <v>331</v>
      </c>
      <c r="G76" t="s">
        <v>191</v>
      </c>
      <c r="I76" t="s">
        <v>192</v>
      </c>
      <c r="J76" t="s">
        <v>38</v>
      </c>
      <c r="K76" s="6" t="s">
        <v>193</v>
      </c>
      <c r="L76" t="s">
        <v>148</v>
      </c>
      <c r="M76" t="s">
        <v>2875</v>
      </c>
      <c r="N76" t="b">
        <v>1</v>
      </c>
      <c r="O76" t="s">
        <v>2917</v>
      </c>
      <c r="Q76" t="b">
        <v>0</v>
      </c>
      <c r="R76" t="s">
        <v>149</v>
      </c>
      <c r="S76" t="s">
        <v>2893</v>
      </c>
      <c r="T76" cm="1">
        <f t="array" ref="T76">_xlfn.XLOOKUP(tblNotify[[#This Row],[person_id]],tblPeople[person_id],tblPeople[elements_exposed],"NOT FOUND")&amp;""</f>
        <v>0</v>
      </c>
      <c r="U76">
        <f>INDEX(tblPeople[elements_exposed],MATCH(tblNotify[[#This Row],[person_id]],tblPeople[person_id],0))&amp;""</f>
        <v>0</v>
      </c>
      <c r="V76">
        <f>_xlfn.TEXTJOIN(" ",TRUE,tblNotify[[#This Row],[first_name]],tblNotify[[#This Row],[middle_initial]],tblNotify[[#This Row],[last_name]],tblNotify[[#This Row],[name_suffix]])</f>
        <v>0</v>
      </c>
      <c r="W76" cm="1">
        <f t="array" ref="W7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76">
        <f>tblNotify[[#This Row],[status_xl]]=tblNotify[[#This Row],[notify_status]]</f>
        <v>0</v>
      </c>
    </row>
    <row r="77" spans="1:24">
      <c r="A77" s="6" t="s">
        <v>929</v>
      </c>
      <c r="B77" t="s">
        <v>36</v>
      </c>
      <c r="C77" t="s">
        <v>923</v>
      </c>
      <c r="D77" t="s">
        <v>832</v>
      </c>
      <c r="G77" t="s">
        <v>924</v>
      </c>
      <c r="I77" t="s">
        <v>925</v>
      </c>
      <c r="J77" t="s">
        <v>36</v>
      </c>
      <c r="K77" s="6" t="s">
        <v>926</v>
      </c>
      <c r="L77" t="s">
        <v>148</v>
      </c>
      <c r="M77" t="s">
        <v>2875</v>
      </c>
      <c r="N77" t="b">
        <v>1</v>
      </c>
      <c r="O77" t="s">
        <v>2917</v>
      </c>
      <c r="Q77" t="b">
        <v>0</v>
      </c>
      <c r="R77" t="s">
        <v>205</v>
      </c>
      <c r="S77" t="s">
        <v>2896</v>
      </c>
      <c r="T77" cm="1">
        <f t="array" ref="T77">_xlfn.XLOOKUP(tblNotify[[#This Row],[person_id]],tblPeople[person_id],tblPeople[elements_exposed],"NOT FOUND")&amp;""</f>
        <v>0</v>
      </c>
      <c r="U77">
        <f>INDEX(tblPeople[elements_exposed],MATCH(tblNotify[[#This Row],[person_id]],tblPeople[person_id],0))&amp;""</f>
        <v>0</v>
      </c>
      <c r="V77">
        <f>_xlfn.TEXTJOIN(" ",TRUE,tblNotify[[#This Row],[first_name]],tblNotify[[#This Row],[middle_initial]],tblNotify[[#This Row],[last_name]],tblNotify[[#This Row],[name_suffix]])</f>
        <v>0</v>
      </c>
      <c r="W77" cm="1">
        <f t="array" ref="W7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77">
        <f>tblNotify[[#This Row],[status_xl]]=tblNotify[[#This Row],[notify_status]]</f>
        <v>0</v>
      </c>
    </row>
    <row r="78" spans="1:24">
      <c r="A78" s="6" t="s">
        <v>938</v>
      </c>
      <c r="B78" t="s">
        <v>37</v>
      </c>
      <c r="C78" t="s">
        <v>931</v>
      </c>
      <c r="D78" t="s">
        <v>468</v>
      </c>
      <c r="G78" t="s">
        <v>932</v>
      </c>
      <c r="I78" t="s">
        <v>933</v>
      </c>
      <c r="J78" t="s">
        <v>37</v>
      </c>
      <c r="K78" s="6" t="s">
        <v>934</v>
      </c>
      <c r="L78" t="s">
        <v>148</v>
      </c>
      <c r="M78" t="s">
        <v>2875</v>
      </c>
      <c r="N78" t="b">
        <v>1</v>
      </c>
      <c r="O78" t="s">
        <v>2917</v>
      </c>
      <c r="Q78" t="b">
        <v>0</v>
      </c>
      <c r="R78" t="s">
        <v>205</v>
      </c>
      <c r="S78" t="s">
        <v>2893</v>
      </c>
      <c r="T78" cm="1">
        <f t="array" ref="T78">_xlfn.XLOOKUP(tblNotify[[#This Row],[person_id]],tblPeople[person_id],tblPeople[elements_exposed],"NOT FOUND")&amp;""</f>
        <v>0</v>
      </c>
      <c r="U78">
        <f>INDEX(tblPeople[elements_exposed],MATCH(tblNotify[[#This Row],[person_id]],tblPeople[person_id],0))&amp;""</f>
        <v>0</v>
      </c>
      <c r="V78">
        <f>_xlfn.TEXTJOIN(" ",TRUE,tblNotify[[#This Row],[first_name]],tblNotify[[#This Row],[middle_initial]],tblNotify[[#This Row],[last_name]],tblNotify[[#This Row],[name_suffix]])</f>
        <v>0</v>
      </c>
      <c r="W78" cm="1">
        <f t="array" ref="W7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78">
        <f>tblNotify[[#This Row],[status_xl]]=tblNotify[[#This Row],[notify_status]]</f>
        <v>0</v>
      </c>
    </row>
    <row r="79" spans="1:24">
      <c r="A79" s="6" t="s">
        <v>949</v>
      </c>
      <c r="B79" t="s">
        <v>33</v>
      </c>
      <c r="C79" t="s">
        <v>943</v>
      </c>
      <c r="D79" t="s">
        <v>942</v>
      </c>
      <c r="G79" t="s">
        <v>944</v>
      </c>
      <c r="I79" t="s">
        <v>945</v>
      </c>
      <c r="J79" t="s">
        <v>33</v>
      </c>
      <c r="K79" s="6" t="s">
        <v>946</v>
      </c>
      <c r="L79" t="s">
        <v>148</v>
      </c>
      <c r="M79" t="s">
        <v>2875</v>
      </c>
      <c r="N79" t="b">
        <v>1</v>
      </c>
      <c r="O79" t="s">
        <v>2917</v>
      </c>
      <c r="Q79" t="b">
        <v>0</v>
      </c>
      <c r="R79" t="s">
        <v>205</v>
      </c>
      <c r="S79" t="s">
        <v>2896</v>
      </c>
      <c r="T79" cm="1">
        <f t="array" ref="T79">_xlfn.XLOOKUP(tblNotify[[#This Row],[person_id]],tblPeople[person_id],tblPeople[elements_exposed],"NOT FOUND")&amp;""</f>
        <v>0</v>
      </c>
      <c r="U79">
        <f>INDEX(tblPeople[elements_exposed],MATCH(tblNotify[[#This Row],[person_id]],tblPeople[person_id],0))&amp;""</f>
        <v>0</v>
      </c>
      <c r="V79">
        <f>_xlfn.TEXTJOIN(" ",TRUE,tblNotify[[#This Row],[first_name]],tblNotify[[#This Row],[middle_initial]],tblNotify[[#This Row],[last_name]],tblNotify[[#This Row],[name_suffix]])</f>
        <v>0</v>
      </c>
      <c r="W79" cm="1">
        <f t="array" ref="W7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79">
        <f>tblNotify[[#This Row],[status_xl]]=tblNotify[[#This Row],[notify_status]]</f>
        <v>0</v>
      </c>
    </row>
    <row r="80" spans="1:24">
      <c r="A80" s="6" t="s">
        <v>958</v>
      </c>
      <c r="B80" t="s">
        <v>38</v>
      </c>
      <c r="C80" t="s">
        <v>164</v>
      </c>
      <c r="D80" t="s">
        <v>211</v>
      </c>
      <c r="G80" t="s">
        <v>953</v>
      </c>
      <c r="I80" t="s">
        <v>954</v>
      </c>
      <c r="J80" t="s">
        <v>38</v>
      </c>
      <c r="K80" s="6" t="s">
        <v>955</v>
      </c>
      <c r="L80" t="s">
        <v>148</v>
      </c>
      <c r="M80" t="s">
        <v>2875</v>
      </c>
      <c r="N80" t="b">
        <v>1</v>
      </c>
      <c r="O80" t="s">
        <v>2917</v>
      </c>
      <c r="Q80" t="b">
        <v>0</v>
      </c>
      <c r="R80" t="s">
        <v>205</v>
      </c>
      <c r="S80" t="s">
        <v>2896</v>
      </c>
      <c r="T80" cm="1">
        <f t="array" ref="T80">_xlfn.XLOOKUP(tblNotify[[#This Row],[person_id]],tblPeople[person_id],tblPeople[elements_exposed],"NOT FOUND")&amp;""</f>
        <v>0</v>
      </c>
      <c r="U80">
        <f>INDEX(tblPeople[elements_exposed],MATCH(tblNotify[[#This Row],[person_id]],tblPeople[person_id],0))&amp;""</f>
        <v>0</v>
      </c>
      <c r="V80">
        <f>_xlfn.TEXTJOIN(" ",TRUE,tblNotify[[#This Row],[first_name]],tblNotify[[#This Row],[middle_initial]],tblNotify[[#This Row],[last_name]],tblNotify[[#This Row],[name_suffix]])</f>
        <v>0</v>
      </c>
      <c r="W80" cm="1">
        <f t="array" ref="W8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80">
        <f>tblNotify[[#This Row],[status_xl]]=tblNotify[[#This Row],[notify_status]]</f>
        <v>0</v>
      </c>
    </row>
    <row r="81" spans="1:24">
      <c r="A81" s="6" t="s">
        <v>967</v>
      </c>
      <c r="B81" t="s">
        <v>33</v>
      </c>
      <c r="C81" t="s">
        <v>961</v>
      </c>
      <c r="D81" t="s">
        <v>960</v>
      </c>
      <c r="G81" t="s">
        <v>962</v>
      </c>
      <c r="I81" t="s">
        <v>963</v>
      </c>
      <c r="J81" t="s">
        <v>33</v>
      </c>
      <c r="K81" s="6" t="s">
        <v>964</v>
      </c>
      <c r="L81" t="s">
        <v>148</v>
      </c>
      <c r="M81" t="s">
        <v>2875</v>
      </c>
      <c r="N81" t="b">
        <v>1</v>
      </c>
      <c r="O81" t="s">
        <v>2917</v>
      </c>
      <c r="Q81" t="b">
        <v>0</v>
      </c>
      <c r="R81" t="s">
        <v>205</v>
      </c>
      <c r="S81" t="s">
        <v>2896</v>
      </c>
      <c r="T81" cm="1">
        <f t="array" ref="T81">_xlfn.XLOOKUP(tblNotify[[#This Row],[person_id]],tblPeople[person_id],tblPeople[elements_exposed],"NOT FOUND")&amp;""</f>
        <v>0</v>
      </c>
      <c r="U81">
        <f>INDEX(tblPeople[elements_exposed],MATCH(tblNotify[[#This Row],[person_id]],tblPeople[person_id],0))&amp;""</f>
        <v>0</v>
      </c>
      <c r="V81">
        <f>_xlfn.TEXTJOIN(" ",TRUE,tblNotify[[#This Row],[first_name]],tblNotify[[#This Row],[middle_initial]],tblNotify[[#This Row],[last_name]],tblNotify[[#This Row],[name_suffix]])</f>
        <v>0</v>
      </c>
      <c r="W81" cm="1">
        <f t="array" ref="W8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81">
        <f>tblNotify[[#This Row],[status_xl]]=tblNotify[[#This Row],[notify_status]]</f>
        <v>0</v>
      </c>
    </row>
    <row r="82" spans="1:24">
      <c r="A82" s="6" t="s">
        <v>975</v>
      </c>
      <c r="B82" t="s">
        <v>39</v>
      </c>
      <c r="C82" t="s">
        <v>970</v>
      </c>
      <c r="D82" t="s">
        <v>969</v>
      </c>
      <c r="G82" t="s">
        <v>971</v>
      </c>
      <c r="I82" t="s">
        <v>614</v>
      </c>
      <c r="J82" t="s">
        <v>39</v>
      </c>
      <c r="K82" s="6" t="s">
        <v>972</v>
      </c>
      <c r="L82" t="s">
        <v>148</v>
      </c>
      <c r="M82" t="s">
        <v>2875</v>
      </c>
      <c r="N82" t="b">
        <v>1</v>
      </c>
      <c r="O82" t="s">
        <v>2917</v>
      </c>
      <c r="Q82" t="b">
        <v>0</v>
      </c>
      <c r="R82" t="s">
        <v>205</v>
      </c>
      <c r="S82" t="s">
        <v>2893</v>
      </c>
      <c r="T82" cm="1">
        <f t="array" ref="T82">_xlfn.XLOOKUP(tblNotify[[#This Row],[person_id]],tblPeople[person_id],tblPeople[elements_exposed],"NOT FOUND")&amp;""</f>
        <v>0</v>
      </c>
      <c r="U82">
        <f>INDEX(tblPeople[elements_exposed],MATCH(tblNotify[[#This Row],[person_id]],tblPeople[person_id],0))&amp;""</f>
        <v>0</v>
      </c>
      <c r="V82">
        <f>_xlfn.TEXTJOIN(" ",TRUE,tblNotify[[#This Row],[first_name]],tblNotify[[#This Row],[middle_initial]],tblNotify[[#This Row],[last_name]],tblNotify[[#This Row],[name_suffix]])</f>
        <v>0</v>
      </c>
      <c r="W82" cm="1">
        <f t="array" ref="W8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82">
        <f>tblNotify[[#This Row],[status_xl]]=tblNotify[[#This Row],[notify_status]]</f>
        <v>0</v>
      </c>
    </row>
    <row r="83" spans="1:24">
      <c r="A83" s="6" t="s">
        <v>982</v>
      </c>
      <c r="B83" t="s">
        <v>38</v>
      </c>
      <c r="C83" t="s">
        <v>394</v>
      </c>
      <c r="D83" t="s">
        <v>882</v>
      </c>
      <c r="G83" t="s">
        <v>977</v>
      </c>
      <c r="I83" t="s">
        <v>978</v>
      </c>
      <c r="J83" t="s">
        <v>38</v>
      </c>
      <c r="K83" s="6" t="s">
        <v>979</v>
      </c>
      <c r="L83" t="s">
        <v>148</v>
      </c>
      <c r="M83" t="s">
        <v>2875</v>
      </c>
      <c r="N83" t="b">
        <v>1</v>
      </c>
      <c r="O83" t="s">
        <v>2917</v>
      </c>
      <c r="Q83" t="b">
        <v>0</v>
      </c>
      <c r="R83" t="s">
        <v>205</v>
      </c>
      <c r="S83" t="s">
        <v>2896</v>
      </c>
      <c r="T83" cm="1">
        <f t="array" ref="T83">_xlfn.XLOOKUP(tblNotify[[#This Row],[person_id]],tblPeople[person_id],tblPeople[elements_exposed],"NOT FOUND")&amp;""</f>
        <v>0</v>
      </c>
      <c r="U83">
        <f>INDEX(tblPeople[elements_exposed],MATCH(tblNotify[[#This Row],[person_id]],tblPeople[person_id],0))&amp;""</f>
        <v>0</v>
      </c>
      <c r="V83">
        <f>_xlfn.TEXTJOIN(" ",TRUE,tblNotify[[#This Row],[first_name]],tblNotify[[#This Row],[middle_initial]],tblNotify[[#This Row],[last_name]],tblNotify[[#This Row],[name_suffix]])</f>
        <v>0</v>
      </c>
      <c r="W83" cm="1">
        <f t="array" ref="W8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83">
        <f>tblNotify[[#This Row],[status_xl]]=tblNotify[[#This Row],[notify_status]]</f>
        <v>0</v>
      </c>
    </row>
    <row r="84" spans="1:24">
      <c r="A84" s="6" t="s">
        <v>994</v>
      </c>
      <c r="B84" t="s">
        <v>38</v>
      </c>
      <c r="C84" t="s">
        <v>988</v>
      </c>
      <c r="D84" t="s">
        <v>987</v>
      </c>
      <c r="G84" t="s">
        <v>989</v>
      </c>
      <c r="I84" t="s">
        <v>990</v>
      </c>
      <c r="J84" t="s">
        <v>38</v>
      </c>
      <c r="K84" s="6" t="s">
        <v>991</v>
      </c>
      <c r="L84" t="s">
        <v>148</v>
      </c>
      <c r="M84" t="s">
        <v>2875</v>
      </c>
      <c r="N84" t="b">
        <v>1</v>
      </c>
      <c r="O84" t="s">
        <v>2917</v>
      </c>
      <c r="Q84" t="b">
        <v>0</v>
      </c>
      <c r="R84" t="s">
        <v>205</v>
      </c>
      <c r="S84" t="s">
        <v>2896</v>
      </c>
      <c r="T84" cm="1">
        <f t="array" ref="T84">_xlfn.XLOOKUP(tblNotify[[#This Row],[person_id]],tblPeople[person_id],tblPeople[elements_exposed],"NOT FOUND")&amp;""</f>
        <v>0</v>
      </c>
      <c r="U84">
        <f>INDEX(tblPeople[elements_exposed],MATCH(tblNotify[[#This Row],[person_id]],tblPeople[person_id],0))&amp;""</f>
        <v>0</v>
      </c>
      <c r="V84">
        <f>_xlfn.TEXTJOIN(" ",TRUE,tblNotify[[#This Row],[first_name]],tblNotify[[#This Row],[middle_initial]],tblNotify[[#This Row],[last_name]],tblNotify[[#This Row],[name_suffix]])</f>
        <v>0</v>
      </c>
      <c r="W84" cm="1">
        <f t="array" ref="W8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84">
        <f>tblNotify[[#This Row],[status_xl]]=tblNotify[[#This Row],[notify_status]]</f>
        <v>0</v>
      </c>
    </row>
    <row r="85" spans="1:24">
      <c r="A85" s="6" t="s">
        <v>1002</v>
      </c>
      <c r="B85" t="s">
        <v>33</v>
      </c>
      <c r="C85" t="s">
        <v>997</v>
      </c>
      <c r="D85" t="s">
        <v>996</v>
      </c>
      <c r="G85" t="s">
        <v>998</v>
      </c>
      <c r="I85" t="s">
        <v>146</v>
      </c>
      <c r="J85" t="s">
        <v>33</v>
      </c>
      <c r="K85" s="6" t="s">
        <v>999</v>
      </c>
      <c r="L85" t="s">
        <v>148</v>
      </c>
      <c r="M85" t="s">
        <v>2875</v>
      </c>
      <c r="N85" t="b">
        <v>1</v>
      </c>
      <c r="O85" t="s">
        <v>2917</v>
      </c>
      <c r="Q85" t="b">
        <v>0</v>
      </c>
      <c r="R85" t="s">
        <v>205</v>
      </c>
      <c r="S85" t="s">
        <v>2896</v>
      </c>
      <c r="T85" cm="1">
        <f t="array" ref="T85">_xlfn.XLOOKUP(tblNotify[[#This Row],[person_id]],tblPeople[person_id],tblPeople[elements_exposed],"NOT FOUND")&amp;""</f>
        <v>0</v>
      </c>
      <c r="U85">
        <f>INDEX(tblPeople[elements_exposed],MATCH(tblNotify[[#This Row],[person_id]],tblPeople[person_id],0))&amp;""</f>
        <v>0</v>
      </c>
      <c r="V85">
        <f>_xlfn.TEXTJOIN(" ",TRUE,tblNotify[[#This Row],[first_name]],tblNotify[[#This Row],[middle_initial]],tblNotify[[#This Row],[last_name]],tblNotify[[#This Row],[name_suffix]])</f>
        <v>0</v>
      </c>
      <c r="W85" cm="1">
        <f t="array" ref="W8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85">
        <f>tblNotify[[#This Row],[status_xl]]=tblNotify[[#This Row],[notify_status]]</f>
        <v>0</v>
      </c>
    </row>
    <row r="86" spans="1:24">
      <c r="A86" s="6" t="s">
        <v>1013</v>
      </c>
      <c r="B86" t="s">
        <v>33</v>
      </c>
      <c r="C86" t="s">
        <v>1008</v>
      </c>
      <c r="D86" t="s">
        <v>1007</v>
      </c>
      <c r="G86" t="s">
        <v>1009</v>
      </c>
      <c r="I86" t="s">
        <v>636</v>
      </c>
      <c r="J86" t="s">
        <v>33</v>
      </c>
      <c r="K86" s="6" t="s">
        <v>1010</v>
      </c>
      <c r="L86" t="s">
        <v>148</v>
      </c>
      <c r="M86" t="s">
        <v>2875</v>
      </c>
      <c r="N86" t="b">
        <v>1</v>
      </c>
      <c r="O86" t="s">
        <v>2917</v>
      </c>
      <c r="Q86" t="b">
        <v>0</v>
      </c>
      <c r="R86" t="s">
        <v>205</v>
      </c>
      <c r="S86" t="s">
        <v>2896</v>
      </c>
      <c r="T86" cm="1">
        <f t="array" ref="T86">_xlfn.XLOOKUP(tblNotify[[#This Row],[person_id]],tblPeople[person_id],tblPeople[elements_exposed],"NOT FOUND")&amp;""</f>
        <v>0</v>
      </c>
      <c r="U86">
        <f>INDEX(tblPeople[elements_exposed],MATCH(tblNotify[[#This Row],[person_id]],tblPeople[person_id],0))&amp;""</f>
        <v>0</v>
      </c>
      <c r="V86">
        <f>_xlfn.TEXTJOIN(" ",TRUE,tblNotify[[#This Row],[first_name]],tblNotify[[#This Row],[middle_initial]],tblNotify[[#This Row],[last_name]],tblNotify[[#This Row],[name_suffix]])</f>
        <v>0</v>
      </c>
      <c r="W86" cm="1">
        <f t="array" ref="W8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86">
        <f>tblNotify[[#This Row],[status_xl]]=tblNotify[[#This Row],[notify_status]]</f>
        <v>0</v>
      </c>
    </row>
    <row r="87" spans="1:24">
      <c r="A87" s="6" t="s">
        <v>1021</v>
      </c>
      <c r="B87" t="s">
        <v>34</v>
      </c>
      <c r="C87" t="s">
        <v>1015</v>
      </c>
      <c r="D87" t="s">
        <v>621</v>
      </c>
      <c r="G87" t="s">
        <v>1016</v>
      </c>
      <c r="I87" t="s">
        <v>1017</v>
      </c>
      <c r="J87" t="s">
        <v>34</v>
      </c>
      <c r="K87" s="6" t="s">
        <v>1018</v>
      </c>
      <c r="L87" t="s">
        <v>148</v>
      </c>
      <c r="M87" t="s">
        <v>2875</v>
      </c>
      <c r="N87" t="b">
        <v>0</v>
      </c>
      <c r="Q87" t="b">
        <v>0</v>
      </c>
      <c r="R87" t="s">
        <v>205</v>
      </c>
      <c r="S87" t="s">
        <v>2918</v>
      </c>
      <c r="T87" cm="1">
        <f t="array" ref="T87">_xlfn.XLOOKUP(tblNotify[[#This Row],[person_id]],tblPeople[person_id],tblPeople[elements_exposed],"NOT FOUND")&amp;""</f>
        <v>0</v>
      </c>
      <c r="U87">
        <f>INDEX(tblPeople[elements_exposed],MATCH(tblNotify[[#This Row],[person_id]],tblPeople[person_id],0))&amp;""</f>
        <v>0</v>
      </c>
      <c r="V87">
        <f>_xlfn.TEXTJOIN(" ",TRUE,tblNotify[[#This Row],[first_name]],tblNotify[[#This Row],[middle_initial]],tblNotify[[#This Row],[last_name]],tblNotify[[#This Row],[name_suffix]])</f>
        <v>0</v>
      </c>
      <c r="W87" cm="1">
        <f t="array" ref="W8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87">
        <f>tblNotify[[#This Row],[status_xl]]=tblNotify[[#This Row],[notify_status]]</f>
        <v>0</v>
      </c>
    </row>
    <row r="88" spans="1:24">
      <c r="A88" s="6" t="s">
        <v>1033</v>
      </c>
      <c r="B88" t="s">
        <v>37</v>
      </c>
      <c r="C88" t="s">
        <v>281</v>
      </c>
      <c r="D88" t="s">
        <v>1027</v>
      </c>
      <c r="G88" t="s">
        <v>1028</v>
      </c>
      <c r="I88" t="s">
        <v>1029</v>
      </c>
      <c r="J88" t="s">
        <v>37</v>
      </c>
      <c r="K88" s="6" t="s">
        <v>1030</v>
      </c>
      <c r="L88" t="s">
        <v>148</v>
      </c>
      <c r="M88" t="s">
        <v>2875</v>
      </c>
      <c r="N88" t="b">
        <v>0</v>
      </c>
      <c r="Q88" t="b">
        <v>0</v>
      </c>
      <c r="R88" t="s">
        <v>205</v>
      </c>
      <c r="S88" t="s">
        <v>2918</v>
      </c>
      <c r="T88" cm="1">
        <f t="array" ref="T88">_xlfn.XLOOKUP(tblNotify[[#This Row],[person_id]],tblPeople[person_id],tblPeople[elements_exposed],"NOT FOUND")&amp;""</f>
        <v>0</v>
      </c>
      <c r="U88">
        <f>INDEX(tblPeople[elements_exposed],MATCH(tblNotify[[#This Row],[person_id]],tblPeople[person_id],0))&amp;""</f>
        <v>0</v>
      </c>
      <c r="V88">
        <f>_xlfn.TEXTJOIN(" ",TRUE,tblNotify[[#This Row],[first_name]],tblNotify[[#This Row],[middle_initial]],tblNotify[[#This Row],[last_name]],tblNotify[[#This Row],[name_suffix]])</f>
        <v>0</v>
      </c>
      <c r="W88" cm="1">
        <f t="array" ref="W8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88">
        <f>tblNotify[[#This Row],[status_xl]]=tblNotify[[#This Row],[notify_status]]</f>
        <v>0</v>
      </c>
    </row>
    <row r="89" spans="1:24">
      <c r="A89" s="6" t="s">
        <v>1043</v>
      </c>
      <c r="B89" t="s">
        <v>34</v>
      </c>
      <c r="C89" t="s">
        <v>1037</v>
      </c>
      <c r="D89" t="s">
        <v>846</v>
      </c>
      <c r="G89" t="s">
        <v>1038</v>
      </c>
      <c r="I89" t="s">
        <v>1039</v>
      </c>
      <c r="J89" t="s">
        <v>34</v>
      </c>
      <c r="K89" s="6" t="s">
        <v>1040</v>
      </c>
      <c r="L89" t="s">
        <v>148</v>
      </c>
      <c r="M89" t="s">
        <v>2875</v>
      </c>
      <c r="N89" t="b">
        <v>1</v>
      </c>
      <c r="O89" t="s">
        <v>2917</v>
      </c>
      <c r="Q89" t="b">
        <v>0</v>
      </c>
      <c r="R89" t="s">
        <v>205</v>
      </c>
      <c r="S89" t="s">
        <v>2896</v>
      </c>
      <c r="T89" cm="1">
        <f t="array" ref="T89">_xlfn.XLOOKUP(tblNotify[[#This Row],[person_id]],tblPeople[person_id],tblPeople[elements_exposed],"NOT FOUND")&amp;""</f>
        <v>0</v>
      </c>
      <c r="U89">
        <f>INDEX(tblPeople[elements_exposed],MATCH(tblNotify[[#This Row],[person_id]],tblPeople[person_id],0))&amp;""</f>
        <v>0</v>
      </c>
      <c r="V89">
        <f>_xlfn.TEXTJOIN(" ",TRUE,tblNotify[[#This Row],[first_name]],tblNotify[[#This Row],[middle_initial]],tblNotify[[#This Row],[last_name]],tblNotify[[#This Row],[name_suffix]])</f>
        <v>0</v>
      </c>
      <c r="W89" cm="1">
        <f t="array" ref="W8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89">
        <f>tblNotify[[#This Row],[status_xl]]=tblNotify[[#This Row],[notify_status]]</f>
        <v>0</v>
      </c>
    </row>
    <row r="90" spans="1:24">
      <c r="A90" s="6" t="s">
        <v>1055</v>
      </c>
      <c r="B90" t="s">
        <v>33</v>
      </c>
      <c r="C90" t="s">
        <v>315</v>
      </c>
      <c r="D90" t="s">
        <v>1048</v>
      </c>
      <c r="G90" t="s">
        <v>1049</v>
      </c>
      <c r="I90" t="s">
        <v>1050</v>
      </c>
      <c r="J90" t="s">
        <v>33</v>
      </c>
      <c r="K90" s="6" t="s">
        <v>1051</v>
      </c>
      <c r="L90" t="s">
        <v>148</v>
      </c>
      <c r="M90" t="s">
        <v>2875</v>
      </c>
      <c r="N90" t="b">
        <v>1</v>
      </c>
      <c r="O90" t="s">
        <v>2917</v>
      </c>
      <c r="Q90" t="b">
        <v>0</v>
      </c>
      <c r="R90" t="s">
        <v>205</v>
      </c>
      <c r="S90" t="s">
        <v>2893</v>
      </c>
      <c r="T90" cm="1">
        <f t="array" ref="T90">_xlfn.XLOOKUP(tblNotify[[#This Row],[person_id]],tblPeople[person_id],tblPeople[elements_exposed],"NOT FOUND")&amp;""</f>
        <v>0</v>
      </c>
      <c r="U90">
        <f>INDEX(tblPeople[elements_exposed],MATCH(tblNotify[[#This Row],[person_id]],tblPeople[person_id],0))&amp;""</f>
        <v>0</v>
      </c>
      <c r="V90">
        <f>_xlfn.TEXTJOIN(" ",TRUE,tblNotify[[#This Row],[first_name]],tblNotify[[#This Row],[middle_initial]],tblNotify[[#This Row],[last_name]],tblNotify[[#This Row],[name_suffix]])</f>
        <v>0</v>
      </c>
      <c r="W90" cm="1">
        <f t="array" ref="W9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90">
        <f>tblNotify[[#This Row],[status_xl]]=tblNotify[[#This Row],[notify_status]]</f>
        <v>0</v>
      </c>
    </row>
    <row r="91" spans="1:24">
      <c r="A91" s="6" t="s">
        <v>1062</v>
      </c>
      <c r="B91" t="s">
        <v>37</v>
      </c>
      <c r="C91" t="s">
        <v>300</v>
      </c>
      <c r="D91" t="s">
        <v>832</v>
      </c>
      <c r="G91" t="s">
        <v>1057</v>
      </c>
      <c r="I91" t="s">
        <v>1058</v>
      </c>
      <c r="J91" t="s">
        <v>37</v>
      </c>
      <c r="K91" s="6" t="s">
        <v>1059</v>
      </c>
      <c r="L91" t="s">
        <v>148</v>
      </c>
      <c r="M91" t="s">
        <v>2875</v>
      </c>
      <c r="N91" t="b">
        <v>1</v>
      </c>
      <c r="O91" t="s">
        <v>2917</v>
      </c>
      <c r="Q91" t="b">
        <v>0</v>
      </c>
      <c r="R91" t="s">
        <v>205</v>
      </c>
      <c r="S91" t="s">
        <v>2893</v>
      </c>
      <c r="T91" cm="1">
        <f t="array" ref="T91">_xlfn.XLOOKUP(tblNotify[[#This Row],[person_id]],tblPeople[person_id],tblPeople[elements_exposed],"NOT FOUND")&amp;""</f>
        <v>0</v>
      </c>
      <c r="U91">
        <f>INDEX(tblPeople[elements_exposed],MATCH(tblNotify[[#This Row],[person_id]],tblPeople[person_id],0))&amp;""</f>
        <v>0</v>
      </c>
      <c r="V91">
        <f>_xlfn.TEXTJOIN(" ",TRUE,tblNotify[[#This Row],[first_name]],tblNotify[[#This Row],[middle_initial]],tblNotify[[#This Row],[last_name]],tblNotify[[#This Row],[name_suffix]])</f>
        <v>0</v>
      </c>
      <c r="W91" cm="1">
        <f t="array" ref="W9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91">
        <f>tblNotify[[#This Row],[status_xl]]=tblNotify[[#This Row],[notify_status]]</f>
        <v>0</v>
      </c>
    </row>
    <row r="92" spans="1:24">
      <c r="A92" s="6" t="s">
        <v>1071</v>
      </c>
      <c r="B92" t="s">
        <v>38</v>
      </c>
      <c r="C92" t="s">
        <v>1065</v>
      </c>
      <c r="D92" t="s">
        <v>1064</v>
      </c>
      <c r="G92" t="s">
        <v>1066</v>
      </c>
      <c r="I92" t="s">
        <v>1067</v>
      </c>
      <c r="J92" t="s">
        <v>38</v>
      </c>
      <c r="K92" s="6" t="s">
        <v>1068</v>
      </c>
      <c r="L92" t="s">
        <v>148</v>
      </c>
      <c r="M92" t="s">
        <v>2875</v>
      </c>
      <c r="N92" t="b">
        <v>0</v>
      </c>
      <c r="Q92" t="b">
        <v>0</v>
      </c>
      <c r="R92" t="s">
        <v>205</v>
      </c>
      <c r="S92" t="s">
        <v>2918</v>
      </c>
      <c r="T92" cm="1">
        <f t="array" ref="T92">_xlfn.XLOOKUP(tblNotify[[#This Row],[person_id]],tblPeople[person_id],tblPeople[elements_exposed],"NOT FOUND")&amp;""</f>
        <v>0</v>
      </c>
      <c r="U92">
        <f>INDEX(tblPeople[elements_exposed],MATCH(tblNotify[[#This Row],[person_id]],tblPeople[person_id],0))&amp;""</f>
        <v>0</v>
      </c>
      <c r="V92">
        <f>_xlfn.TEXTJOIN(" ",TRUE,tblNotify[[#This Row],[first_name]],tblNotify[[#This Row],[middle_initial]],tblNotify[[#This Row],[last_name]],tblNotify[[#This Row],[name_suffix]])</f>
        <v>0</v>
      </c>
      <c r="W92" cm="1">
        <f t="array" ref="W9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92">
        <f>tblNotify[[#This Row],[status_xl]]=tblNotify[[#This Row],[notify_status]]</f>
        <v>0</v>
      </c>
    </row>
    <row r="93" spans="1:24">
      <c r="A93" s="6" t="s">
        <v>1082</v>
      </c>
      <c r="B93" t="s">
        <v>39</v>
      </c>
      <c r="C93" t="s">
        <v>1076</v>
      </c>
      <c r="D93" t="s">
        <v>308</v>
      </c>
      <c r="G93" t="s">
        <v>1077</v>
      </c>
      <c r="I93" t="s">
        <v>1078</v>
      </c>
      <c r="J93" t="s">
        <v>39</v>
      </c>
      <c r="K93" s="6" t="s">
        <v>1079</v>
      </c>
      <c r="L93" t="s">
        <v>148</v>
      </c>
      <c r="M93" t="s">
        <v>2875</v>
      </c>
      <c r="N93" t="b">
        <v>1</v>
      </c>
      <c r="O93" t="s">
        <v>2917</v>
      </c>
      <c r="Q93" t="b">
        <v>0</v>
      </c>
      <c r="R93" t="s">
        <v>205</v>
      </c>
      <c r="S93" t="s">
        <v>2893</v>
      </c>
      <c r="T93" cm="1">
        <f t="array" ref="T93">_xlfn.XLOOKUP(tblNotify[[#This Row],[person_id]],tblPeople[person_id],tblPeople[elements_exposed],"NOT FOUND")&amp;""</f>
        <v>0</v>
      </c>
      <c r="U93">
        <f>INDEX(tblPeople[elements_exposed],MATCH(tblNotify[[#This Row],[person_id]],tblPeople[person_id],0))&amp;""</f>
        <v>0</v>
      </c>
      <c r="V93">
        <f>_xlfn.TEXTJOIN(" ",TRUE,tblNotify[[#This Row],[first_name]],tblNotify[[#This Row],[middle_initial]],tblNotify[[#This Row],[last_name]],tblNotify[[#This Row],[name_suffix]])</f>
        <v>0</v>
      </c>
      <c r="W93" cm="1">
        <f t="array" ref="W9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93">
        <f>tblNotify[[#This Row],[status_xl]]=tblNotify[[#This Row],[notify_status]]</f>
        <v>0</v>
      </c>
    </row>
    <row r="94" spans="1:24">
      <c r="A94" s="6" t="s">
        <v>1087</v>
      </c>
      <c r="B94" t="s">
        <v>40</v>
      </c>
      <c r="C94" t="s">
        <v>394</v>
      </c>
      <c r="D94" t="s">
        <v>1084</v>
      </c>
      <c r="G94" t="s">
        <v>180</v>
      </c>
      <c r="I94" t="s">
        <v>181</v>
      </c>
      <c r="J94" t="s">
        <v>40</v>
      </c>
      <c r="K94" s="6" t="s">
        <v>182</v>
      </c>
      <c r="L94" t="s">
        <v>148</v>
      </c>
      <c r="M94" t="s">
        <v>2875</v>
      </c>
      <c r="N94" t="b">
        <v>0</v>
      </c>
      <c r="Q94" t="b">
        <v>0</v>
      </c>
      <c r="R94" t="s">
        <v>149</v>
      </c>
      <c r="S94" t="s">
        <v>2918</v>
      </c>
      <c r="T94" cm="1">
        <f t="array" ref="T94">_xlfn.XLOOKUP(tblNotify[[#This Row],[person_id]],tblPeople[person_id],tblPeople[elements_exposed],"NOT FOUND")&amp;""</f>
        <v>0</v>
      </c>
      <c r="U94">
        <f>INDEX(tblPeople[elements_exposed],MATCH(tblNotify[[#This Row],[person_id]],tblPeople[person_id],0))&amp;""</f>
        <v>0</v>
      </c>
      <c r="V94">
        <f>_xlfn.TEXTJOIN(" ",TRUE,tblNotify[[#This Row],[first_name]],tblNotify[[#This Row],[middle_initial]],tblNotify[[#This Row],[last_name]],tblNotify[[#This Row],[name_suffix]])</f>
        <v>0</v>
      </c>
      <c r="W94" cm="1">
        <f t="array" ref="W9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94">
        <f>tblNotify[[#This Row],[status_xl]]=tblNotify[[#This Row],[notify_status]]</f>
        <v>0</v>
      </c>
    </row>
    <row r="95" spans="1:24">
      <c r="A95" s="6" t="s">
        <v>1096</v>
      </c>
      <c r="B95" t="s">
        <v>39</v>
      </c>
      <c r="C95" t="s">
        <v>1090</v>
      </c>
      <c r="D95" t="s">
        <v>1089</v>
      </c>
      <c r="G95" t="s">
        <v>1091</v>
      </c>
      <c r="I95" t="s">
        <v>1092</v>
      </c>
      <c r="J95" t="s">
        <v>39</v>
      </c>
      <c r="K95" s="6" t="s">
        <v>1093</v>
      </c>
      <c r="L95" t="s">
        <v>148</v>
      </c>
      <c r="M95" t="s">
        <v>2875</v>
      </c>
      <c r="N95" t="b">
        <v>1</v>
      </c>
      <c r="O95" t="s">
        <v>2917</v>
      </c>
      <c r="Q95" t="b">
        <v>0</v>
      </c>
      <c r="R95" t="s">
        <v>205</v>
      </c>
      <c r="S95" t="s">
        <v>2896</v>
      </c>
      <c r="T95" cm="1">
        <f t="array" ref="T95">_xlfn.XLOOKUP(tblNotify[[#This Row],[person_id]],tblPeople[person_id],tblPeople[elements_exposed],"NOT FOUND")&amp;""</f>
        <v>0</v>
      </c>
      <c r="U95">
        <f>INDEX(tblPeople[elements_exposed],MATCH(tblNotify[[#This Row],[person_id]],tblPeople[person_id],0))&amp;""</f>
        <v>0</v>
      </c>
      <c r="V95">
        <f>_xlfn.TEXTJOIN(" ",TRUE,tblNotify[[#This Row],[first_name]],tblNotify[[#This Row],[middle_initial]],tblNotify[[#This Row],[last_name]],tblNotify[[#This Row],[name_suffix]])</f>
        <v>0</v>
      </c>
      <c r="W95" cm="1">
        <f t="array" ref="W9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95">
        <f>tblNotify[[#This Row],[status_xl]]=tblNotify[[#This Row],[notify_status]]</f>
        <v>0</v>
      </c>
    </row>
    <row r="96" spans="1:24">
      <c r="A96" s="6" t="s">
        <v>1101</v>
      </c>
      <c r="B96" t="s">
        <v>39</v>
      </c>
      <c r="C96" t="s">
        <v>1098</v>
      </c>
      <c r="D96" t="s">
        <v>468</v>
      </c>
      <c r="G96" t="s">
        <v>283</v>
      </c>
      <c r="I96" t="s">
        <v>284</v>
      </c>
      <c r="J96" t="s">
        <v>39</v>
      </c>
      <c r="K96" s="6" t="s">
        <v>627</v>
      </c>
      <c r="L96" t="s">
        <v>148</v>
      </c>
      <c r="M96" t="s">
        <v>2875</v>
      </c>
      <c r="N96" t="b">
        <v>1</v>
      </c>
      <c r="O96" t="s">
        <v>2917</v>
      </c>
      <c r="Q96" t="b">
        <v>0</v>
      </c>
      <c r="R96" t="s">
        <v>149</v>
      </c>
      <c r="S96" t="s">
        <v>2896</v>
      </c>
      <c r="T96" cm="1">
        <f t="array" ref="T96">_xlfn.XLOOKUP(tblNotify[[#This Row],[person_id]],tblPeople[person_id],tblPeople[elements_exposed],"NOT FOUND")&amp;""</f>
        <v>0</v>
      </c>
      <c r="U96">
        <f>INDEX(tblPeople[elements_exposed],MATCH(tblNotify[[#This Row],[person_id]],tblPeople[person_id],0))&amp;""</f>
        <v>0</v>
      </c>
      <c r="V96">
        <f>_xlfn.TEXTJOIN(" ",TRUE,tblNotify[[#This Row],[first_name]],tblNotify[[#This Row],[middle_initial]],tblNotify[[#This Row],[last_name]],tblNotify[[#This Row],[name_suffix]])</f>
        <v>0</v>
      </c>
      <c r="W96" cm="1">
        <f t="array" ref="W9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96">
        <f>tblNotify[[#This Row],[status_xl]]=tblNotify[[#This Row],[notify_status]]</f>
        <v>0</v>
      </c>
    </row>
    <row r="97" spans="1:24">
      <c r="A97" s="6" t="s">
        <v>1113</v>
      </c>
      <c r="B97" t="s">
        <v>38</v>
      </c>
      <c r="C97" t="s">
        <v>143</v>
      </c>
      <c r="D97" t="s">
        <v>868</v>
      </c>
      <c r="G97" t="s">
        <v>1106</v>
      </c>
      <c r="I97" t="s">
        <v>1107</v>
      </c>
      <c r="J97" t="s">
        <v>38</v>
      </c>
      <c r="K97" s="6" t="s">
        <v>1108</v>
      </c>
      <c r="L97" t="s">
        <v>148</v>
      </c>
      <c r="M97" t="s">
        <v>2876</v>
      </c>
      <c r="N97" t="b">
        <v>1</v>
      </c>
      <c r="O97" t="s">
        <v>2904</v>
      </c>
      <c r="Q97" t="b">
        <v>0</v>
      </c>
      <c r="R97" t="s">
        <v>205</v>
      </c>
      <c r="S97" t="s">
        <v>2893</v>
      </c>
      <c r="T97" cm="1">
        <f t="array" ref="T97">_xlfn.XLOOKUP(tblNotify[[#This Row],[person_id]],tblPeople[person_id],tblPeople[elements_exposed],"NOT FOUND")&amp;""</f>
        <v>0</v>
      </c>
      <c r="U97">
        <f>INDEX(tblPeople[elements_exposed],MATCH(tblNotify[[#This Row],[person_id]],tblPeople[person_id],0))&amp;""</f>
        <v>0</v>
      </c>
      <c r="V97">
        <f>_xlfn.TEXTJOIN(" ",TRUE,tblNotify[[#This Row],[first_name]],tblNotify[[#This Row],[middle_initial]],tblNotify[[#This Row],[last_name]],tblNotify[[#This Row],[name_suffix]])</f>
        <v>0</v>
      </c>
      <c r="W97" cm="1">
        <f t="array" ref="W9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97">
        <f>tblNotify[[#This Row],[status_xl]]=tblNotify[[#This Row],[notify_status]]</f>
        <v>0</v>
      </c>
    </row>
    <row r="98" spans="1:24">
      <c r="A98" s="6" t="s">
        <v>1145</v>
      </c>
      <c r="B98" t="s">
        <v>33</v>
      </c>
      <c r="C98" t="s">
        <v>1141</v>
      </c>
      <c r="D98" t="s">
        <v>1139</v>
      </c>
      <c r="E98" t="s">
        <v>163</v>
      </c>
      <c r="G98" t="s">
        <v>800</v>
      </c>
      <c r="I98" t="s">
        <v>801</v>
      </c>
      <c r="J98" t="s">
        <v>33</v>
      </c>
      <c r="K98" s="6" t="s">
        <v>802</v>
      </c>
      <c r="L98" t="s">
        <v>148</v>
      </c>
      <c r="M98" t="s">
        <v>2876</v>
      </c>
      <c r="N98" t="b">
        <v>1</v>
      </c>
      <c r="O98" t="s">
        <v>2904</v>
      </c>
      <c r="Q98" t="b">
        <v>0</v>
      </c>
      <c r="R98" t="s">
        <v>149</v>
      </c>
      <c r="S98" t="s">
        <v>2896</v>
      </c>
      <c r="T98" cm="1">
        <f t="array" ref="T98">_xlfn.XLOOKUP(tblNotify[[#This Row],[person_id]],tblPeople[person_id],tblPeople[elements_exposed],"NOT FOUND")&amp;""</f>
        <v>0</v>
      </c>
      <c r="U98">
        <f>INDEX(tblPeople[elements_exposed],MATCH(tblNotify[[#This Row],[person_id]],tblPeople[person_id],0))&amp;""</f>
        <v>0</v>
      </c>
      <c r="V98">
        <f>_xlfn.TEXTJOIN(" ",TRUE,tblNotify[[#This Row],[first_name]],tblNotify[[#This Row],[middle_initial]],tblNotify[[#This Row],[last_name]],tblNotify[[#This Row],[name_suffix]])</f>
        <v>0</v>
      </c>
      <c r="W98" cm="1">
        <f t="array" ref="W9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98">
        <f>tblNotify[[#This Row],[status_xl]]=tblNotify[[#This Row],[notify_status]]</f>
        <v>0</v>
      </c>
    </row>
    <row r="99" spans="1:24">
      <c r="A99" s="6" t="s">
        <v>1156</v>
      </c>
      <c r="B99" t="s">
        <v>38</v>
      </c>
      <c r="C99" t="s">
        <v>1148</v>
      </c>
      <c r="D99" t="s">
        <v>1147</v>
      </c>
      <c r="G99" t="s">
        <v>1149</v>
      </c>
      <c r="I99" t="s">
        <v>1150</v>
      </c>
      <c r="J99" t="s">
        <v>38</v>
      </c>
      <c r="K99" s="6" t="s">
        <v>1151</v>
      </c>
      <c r="L99" t="s">
        <v>148</v>
      </c>
      <c r="M99" t="s">
        <v>2876</v>
      </c>
      <c r="N99" t="b">
        <v>1</v>
      </c>
      <c r="O99" t="s">
        <v>2904</v>
      </c>
      <c r="Q99" t="b">
        <v>0</v>
      </c>
      <c r="R99" t="s">
        <v>149</v>
      </c>
      <c r="S99" t="s">
        <v>2896</v>
      </c>
      <c r="T99" cm="1">
        <f t="array" ref="T99">_xlfn.XLOOKUP(tblNotify[[#This Row],[person_id]],tblPeople[person_id],tblPeople[elements_exposed],"NOT FOUND")&amp;""</f>
        <v>0</v>
      </c>
      <c r="U99">
        <f>INDEX(tblPeople[elements_exposed],MATCH(tblNotify[[#This Row],[person_id]],tblPeople[person_id],0))&amp;""</f>
        <v>0</v>
      </c>
      <c r="V99">
        <f>_xlfn.TEXTJOIN(" ",TRUE,tblNotify[[#This Row],[first_name]],tblNotify[[#This Row],[middle_initial]],tblNotify[[#This Row],[last_name]],tblNotify[[#This Row],[name_suffix]])</f>
        <v>0</v>
      </c>
      <c r="W99" cm="1">
        <f t="array" ref="W9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99">
        <f>tblNotify[[#This Row],[status_xl]]=tblNotify[[#This Row],[notify_status]]</f>
        <v>0</v>
      </c>
    </row>
    <row r="100" spans="1:24">
      <c r="A100" s="6" t="s">
        <v>1167</v>
      </c>
      <c r="B100" t="s">
        <v>33</v>
      </c>
      <c r="C100" t="s">
        <v>1159</v>
      </c>
      <c r="D100" t="s">
        <v>1158</v>
      </c>
      <c r="G100" t="s">
        <v>1160</v>
      </c>
      <c r="I100" t="s">
        <v>1161</v>
      </c>
      <c r="J100" t="s">
        <v>33</v>
      </c>
      <c r="K100" s="6" t="s">
        <v>1162</v>
      </c>
      <c r="L100" t="s">
        <v>148</v>
      </c>
      <c r="M100" t="s">
        <v>2876</v>
      </c>
      <c r="N100" t="b">
        <v>1</v>
      </c>
      <c r="O100" t="s">
        <v>2904</v>
      </c>
      <c r="Q100" t="b">
        <v>0</v>
      </c>
      <c r="R100" t="s">
        <v>205</v>
      </c>
      <c r="S100" t="s">
        <v>2896</v>
      </c>
      <c r="T100" cm="1">
        <f t="array" ref="T100">_xlfn.XLOOKUP(tblNotify[[#This Row],[person_id]],tblPeople[person_id],tblPeople[elements_exposed],"NOT FOUND")&amp;""</f>
        <v>0</v>
      </c>
      <c r="U100">
        <f>INDEX(tblPeople[elements_exposed],MATCH(tblNotify[[#This Row],[person_id]],tblPeople[person_id],0))&amp;""</f>
        <v>0</v>
      </c>
      <c r="V100">
        <f>_xlfn.TEXTJOIN(" ",TRUE,tblNotify[[#This Row],[first_name]],tblNotify[[#This Row],[middle_initial]],tblNotify[[#This Row],[last_name]],tblNotify[[#This Row],[name_suffix]])</f>
        <v>0</v>
      </c>
      <c r="W100" cm="1">
        <f t="array" ref="W10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00">
        <f>tblNotify[[#This Row],[status_xl]]=tblNotify[[#This Row],[notify_status]]</f>
        <v>0</v>
      </c>
    </row>
    <row r="101" spans="1:24">
      <c r="A101" s="6" t="s">
        <v>1231</v>
      </c>
      <c r="B101" t="s">
        <v>34</v>
      </c>
      <c r="C101" t="s">
        <v>816</v>
      </c>
      <c r="D101" t="s">
        <v>331</v>
      </c>
      <c r="E101" t="s">
        <v>163</v>
      </c>
      <c r="G101" t="s">
        <v>447</v>
      </c>
      <c r="I101" t="s">
        <v>203</v>
      </c>
      <c r="J101" t="s">
        <v>34</v>
      </c>
      <c r="K101" s="6" t="s">
        <v>448</v>
      </c>
      <c r="L101" t="s">
        <v>148</v>
      </c>
      <c r="M101" t="s">
        <v>2876</v>
      </c>
      <c r="N101" t="b">
        <v>1</v>
      </c>
      <c r="O101" t="s">
        <v>2904</v>
      </c>
      <c r="Q101" t="b">
        <v>0</v>
      </c>
      <c r="R101" t="s">
        <v>149</v>
      </c>
      <c r="S101" t="s">
        <v>2896</v>
      </c>
      <c r="T101" cm="1">
        <f t="array" ref="T101">_xlfn.XLOOKUP(tblNotify[[#This Row],[person_id]],tblPeople[person_id],tblPeople[elements_exposed],"NOT FOUND")&amp;""</f>
        <v>0</v>
      </c>
      <c r="U101">
        <f>INDEX(tblPeople[elements_exposed],MATCH(tblNotify[[#This Row],[person_id]],tblPeople[person_id],0))&amp;""</f>
        <v>0</v>
      </c>
      <c r="V101">
        <f>_xlfn.TEXTJOIN(" ",TRUE,tblNotify[[#This Row],[first_name]],tblNotify[[#This Row],[middle_initial]],tblNotify[[#This Row],[last_name]],tblNotify[[#This Row],[name_suffix]])</f>
        <v>0</v>
      </c>
      <c r="W101" cm="1">
        <f t="array" ref="W10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01">
        <f>tblNotify[[#This Row],[status_xl]]=tblNotify[[#This Row],[notify_status]]</f>
        <v>0</v>
      </c>
    </row>
    <row r="102" spans="1:24">
      <c r="A102" s="6" t="s">
        <v>1240</v>
      </c>
      <c r="B102" t="s">
        <v>34</v>
      </c>
      <c r="C102" t="s">
        <v>1236</v>
      </c>
      <c r="D102" t="s">
        <v>1234</v>
      </c>
      <c r="E102" t="s">
        <v>142</v>
      </c>
      <c r="G102" t="s">
        <v>660</v>
      </c>
      <c r="I102" t="s">
        <v>661</v>
      </c>
      <c r="J102" t="s">
        <v>34</v>
      </c>
      <c r="K102" s="6" t="s">
        <v>662</v>
      </c>
      <c r="L102" t="s">
        <v>148</v>
      </c>
      <c r="M102" t="s">
        <v>2877</v>
      </c>
      <c r="N102" t="b">
        <v>1</v>
      </c>
      <c r="O102" t="s">
        <v>2911</v>
      </c>
      <c r="Q102" t="b">
        <v>0</v>
      </c>
      <c r="R102" t="s">
        <v>149</v>
      </c>
      <c r="S102" t="s">
        <v>2896</v>
      </c>
      <c r="T102" cm="1">
        <f t="array" ref="T102">_xlfn.XLOOKUP(tblNotify[[#This Row],[person_id]],tblPeople[person_id],tblPeople[elements_exposed],"NOT FOUND")&amp;""</f>
        <v>0</v>
      </c>
      <c r="U102">
        <f>INDEX(tblPeople[elements_exposed],MATCH(tblNotify[[#This Row],[person_id]],tblPeople[person_id],0))&amp;""</f>
        <v>0</v>
      </c>
      <c r="V102">
        <f>_xlfn.TEXTJOIN(" ",TRUE,tblNotify[[#This Row],[first_name]],tblNotify[[#This Row],[middle_initial]],tblNotify[[#This Row],[last_name]],tblNotify[[#This Row],[name_suffix]])</f>
        <v>0</v>
      </c>
      <c r="W102" cm="1">
        <f t="array" ref="W10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02">
        <f>tblNotify[[#This Row],[status_xl]]=tblNotify[[#This Row],[notify_status]]</f>
        <v>0</v>
      </c>
    </row>
    <row r="103" spans="1:24">
      <c r="A103" s="6" t="s">
        <v>1249</v>
      </c>
      <c r="B103" t="s">
        <v>40</v>
      </c>
      <c r="C103" t="s">
        <v>659</v>
      </c>
      <c r="D103" t="s">
        <v>642</v>
      </c>
      <c r="E103" t="s">
        <v>163</v>
      </c>
      <c r="G103" t="s">
        <v>1242</v>
      </c>
      <c r="I103" t="s">
        <v>1243</v>
      </c>
      <c r="J103" t="s">
        <v>40</v>
      </c>
      <c r="K103" s="6" t="s">
        <v>1244</v>
      </c>
      <c r="L103" t="s">
        <v>148</v>
      </c>
      <c r="M103" t="s">
        <v>2876</v>
      </c>
      <c r="N103" t="b">
        <v>1</v>
      </c>
      <c r="O103" t="s">
        <v>2904</v>
      </c>
      <c r="Q103" t="b">
        <v>0</v>
      </c>
      <c r="R103" t="s">
        <v>205</v>
      </c>
      <c r="S103" t="s">
        <v>2896</v>
      </c>
      <c r="T103" cm="1">
        <f t="array" ref="T103">_xlfn.XLOOKUP(tblNotify[[#This Row],[person_id]],tblPeople[person_id],tblPeople[elements_exposed],"NOT FOUND")&amp;""</f>
        <v>0</v>
      </c>
      <c r="U103">
        <f>INDEX(tblPeople[elements_exposed],MATCH(tblNotify[[#This Row],[person_id]],tblPeople[person_id],0))&amp;""</f>
        <v>0</v>
      </c>
      <c r="V103">
        <f>_xlfn.TEXTJOIN(" ",TRUE,tblNotify[[#This Row],[first_name]],tblNotify[[#This Row],[middle_initial]],tblNotify[[#This Row],[last_name]],tblNotify[[#This Row],[name_suffix]])</f>
        <v>0</v>
      </c>
      <c r="W103" cm="1">
        <f t="array" ref="W10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03">
        <f>tblNotify[[#This Row],[status_xl]]=tblNotify[[#This Row],[notify_status]]</f>
        <v>0</v>
      </c>
    </row>
    <row r="104" spans="1:24">
      <c r="A104" s="6" t="s">
        <v>1264</v>
      </c>
      <c r="B104" t="s">
        <v>36</v>
      </c>
      <c r="C104" t="s">
        <v>970</v>
      </c>
      <c r="D104" t="s">
        <v>1256</v>
      </c>
      <c r="G104" t="s">
        <v>1257</v>
      </c>
      <c r="I104" t="s">
        <v>1258</v>
      </c>
      <c r="J104" t="s">
        <v>36</v>
      </c>
      <c r="K104" s="6" t="s">
        <v>1259</v>
      </c>
      <c r="L104" t="s">
        <v>148</v>
      </c>
      <c r="M104" t="s">
        <v>2876</v>
      </c>
      <c r="N104" t="b">
        <v>1</v>
      </c>
      <c r="O104" t="s">
        <v>2904</v>
      </c>
      <c r="Q104" t="b">
        <v>0</v>
      </c>
      <c r="R104" t="s">
        <v>149</v>
      </c>
      <c r="S104" t="s">
        <v>2893</v>
      </c>
      <c r="T104" cm="1">
        <f t="array" ref="T104">_xlfn.XLOOKUP(tblNotify[[#This Row],[person_id]],tblPeople[person_id],tblPeople[elements_exposed],"NOT FOUND")&amp;""</f>
        <v>0</v>
      </c>
      <c r="U104">
        <f>INDEX(tblPeople[elements_exposed],MATCH(tblNotify[[#This Row],[person_id]],tblPeople[person_id],0))&amp;""</f>
        <v>0</v>
      </c>
      <c r="V104">
        <f>_xlfn.TEXTJOIN(" ",TRUE,tblNotify[[#This Row],[first_name]],tblNotify[[#This Row],[middle_initial]],tblNotify[[#This Row],[last_name]],tblNotify[[#This Row],[name_suffix]])</f>
        <v>0</v>
      </c>
      <c r="W104" cm="1">
        <f t="array" ref="W10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04">
        <f>tblNotify[[#This Row],[status_xl]]=tblNotify[[#This Row],[notify_status]]</f>
        <v>0</v>
      </c>
    </row>
    <row r="105" spans="1:24">
      <c r="A105" s="6" t="s">
        <v>1274</v>
      </c>
      <c r="B105" t="s">
        <v>37</v>
      </c>
      <c r="C105" t="s">
        <v>1267</v>
      </c>
      <c r="D105" t="s">
        <v>1266</v>
      </c>
      <c r="E105" t="s">
        <v>142</v>
      </c>
      <c r="G105" t="s">
        <v>1268</v>
      </c>
      <c r="I105" t="s">
        <v>565</v>
      </c>
      <c r="J105" t="s">
        <v>37</v>
      </c>
      <c r="K105" s="6" t="s">
        <v>1269</v>
      </c>
      <c r="L105" t="s">
        <v>148</v>
      </c>
      <c r="M105" t="s">
        <v>2876</v>
      </c>
      <c r="N105" t="b">
        <v>1</v>
      </c>
      <c r="O105" t="s">
        <v>2904</v>
      </c>
      <c r="Q105" t="b">
        <v>0</v>
      </c>
      <c r="R105" t="s">
        <v>205</v>
      </c>
      <c r="S105" t="s">
        <v>2896</v>
      </c>
      <c r="T105" cm="1">
        <f t="array" ref="T105">_xlfn.XLOOKUP(tblNotify[[#This Row],[person_id]],tblPeople[person_id],tblPeople[elements_exposed],"NOT FOUND")&amp;""</f>
        <v>0</v>
      </c>
      <c r="U105">
        <f>INDEX(tblPeople[elements_exposed],MATCH(tblNotify[[#This Row],[person_id]],tblPeople[person_id],0))&amp;""</f>
        <v>0</v>
      </c>
      <c r="V105">
        <f>_xlfn.TEXTJOIN(" ",TRUE,tblNotify[[#This Row],[first_name]],tblNotify[[#This Row],[middle_initial]],tblNotify[[#This Row],[last_name]],tblNotify[[#This Row],[name_suffix]])</f>
        <v>0</v>
      </c>
      <c r="W105" cm="1">
        <f t="array" ref="W10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05">
        <f>tblNotify[[#This Row],[status_xl]]=tblNotify[[#This Row],[notify_status]]</f>
        <v>0</v>
      </c>
    </row>
    <row r="106" spans="1:24">
      <c r="A106" s="6" t="s">
        <v>1284</v>
      </c>
      <c r="B106" t="s">
        <v>34</v>
      </c>
      <c r="C106" t="s">
        <v>601</v>
      </c>
      <c r="D106" t="s">
        <v>832</v>
      </c>
      <c r="E106" t="s">
        <v>224</v>
      </c>
      <c r="G106" t="s">
        <v>1278</v>
      </c>
      <c r="I106" t="s">
        <v>1279</v>
      </c>
      <c r="J106" t="s">
        <v>34</v>
      </c>
      <c r="K106" s="6" t="s">
        <v>1280</v>
      </c>
      <c r="L106" t="s">
        <v>148</v>
      </c>
      <c r="M106" t="s">
        <v>2826</v>
      </c>
      <c r="N106" t="b">
        <v>1</v>
      </c>
      <c r="O106" t="s">
        <v>2892</v>
      </c>
      <c r="Q106" t="b">
        <v>0</v>
      </c>
      <c r="R106" t="s">
        <v>149</v>
      </c>
      <c r="S106" t="s">
        <v>2896</v>
      </c>
      <c r="T106" cm="1">
        <f t="array" ref="T106">_xlfn.XLOOKUP(tblNotify[[#This Row],[person_id]],tblPeople[person_id],tblPeople[elements_exposed],"NOT FOUND")&amp;""</f>
        <v>0</v>
      </c>
      <c r="U106">
        <f>INDEX(tblPeople[elements_exposed],MATCH(tblNotify[[#This Row],[person_id]],tblPeople[person_id],0))&amp;""</f>
        <v>0</v>
      </c>
      <c r="V106">
        <f>_xlfn.TEXTJOIN(" ",TRUE,tblNotify[[#This Row],[first_name]],tblNotify[[#This Row],[middle_initial]],tblNotify[[#This Row],[last_name]],tblNotify[[#This Row],[name_suffix]])</f>
        <v>0</v>
      </c>
      <c r="W106" cm="1">
        <f t="array" ref="W10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06">
        <f>tblNotify[[#This Row],[status_xl]]=tblNotify[[#This Row],[notify_status]]</f>
        <v>0</v>
      </c>
    </row>
    <row r="107" spans="1:24">
      <c r="A107" s="6" t="s">
        <v>1295</v>
      </c>
      <c r="B107" t="s">
        <v>40</v>
      </c>
      <c r="C107" t="s">
        <v>824</v>
      </c>
      <c r="D107" t="s">
        <v>298</v>
      </c>
      <c r="G107" t="s">
        <v>1290</v>
      </c>
      <c r="I107" t="s">
        <v>603</v>
      </c>
      <c r="J107" t="s">
        <v>40</v>
      </c>
      <c r="K107" s="6" t="s">
        <v>1291</v>
      </c>
      <c r="L107" t="s">
        <v>148</v>
      </c>
      <c r="M107" t="s">
        <v>2876</v>
      </c>
      <c r="N107" t="b">
        <v>1</v>
      </c>
      <c r="O107" t="s">
        <v>2904</v>
      </c>
      <c r="Q107" t="b">
        <v>0</v>
      </c>
      <c r="R107" t="s">
        <v>205</v>
      </c>
      <c r="S107" t="s">
        <v>2896</v>
      </c>
      <c r="T107" cm="1">
        <f t="array" ref="T107">_xlfn.XLOOKUP(tblNotify[[#This Row],[person_id]],tblPeople[person_id],tblPeople[elements_exposed],"NOT FOUND")&amp;""</f>
        <v>0</v>
      </c>
      <c r="U107">
        <f>INDEX(tblPeople[elements_exposed],MATCH(tblNotify[[#This Row],[person_id]],tblPeople[person_id],0))&amp;""</f>
        <v>0</v>
      </c>
      <c r="V107">
        <f>_xlfn.TEXTJOIN(" ",TRUE,tblNotify[[#This Row],[first_name]],tblNotify[[#This Row],[middle_initial]],tblNotify[[#This Row],[last_name]],tblNotify[[#This Row],[name_suffix]])</f>
        <v>0</v>
      </c>
      <c r="W107" cm="1">
        <f t="array" ref="W10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07">
        <f>tblNotify[[#This Row],[status_xl]]=tblNotify[[#This Row],[notify_status]]</f>
        <v>0</v>
      </c>
    </row>
    <row r="108" spans="1:24">
      <c r="A108" s="6" t="s">
        <v>1318</v>
      </c>
      <c r="B108" t="s">
        <v>38</v>
      </c>
      <c r="C108" t="s">
        <v>1310</v>
      </c>
      <c r="D108" t="s">
        <v>1308</v>
      </c>
      <c r="E108" t="s">
        <v>212</v>
      </c>
      <c r="G108" t="s">
        <v>1311</v>
      </c>
      <c r="I108" t="s">
        <v>1312</v>
      </c>
      <c r="J108" t="s">
        <v>38</v>
      </c>
      <c r="K108" s="6" t="s">
        <v>1313</v>
      </c>
      <c r="L108" t="s">
        <v>148</v>
      </c>
      <c r="M108" t="s">
        <v>2876</v>
      </c>
      <c r="N108" t="b">
        <v>1</v>
      </c>
      <c r="O108" t="s">
        <v>2904</v>
      </c>
      <c r="Q108" t="b">
        <v>0</v>
      </c>
      <c r="R108" t="s">
        <v>205</v>
      </c>
      <c r="S108" t="s">
        <v>2893</v>
      </c>
      <c r="T108" cm="1">
        <f t="array" ref="T108">_xlfn.XLOOKUP(tblNotify[[#This Row],[person_id]],tblPeople[person_id],tblPeople[elements_exposed],"NOT FOUND")&amp;""</f>
        <v>0</v>
      </c>
      <c r="U108">
        <f>INDEX(tblPeople[elements_exposed],MATCH(tblNotify[[#This Row],[person_id]],tblPeople[person_id],0))&amp;""</f>
        <v>0</v>
      </c>
      <c r="V108">
        <f>_xlfn.TEXTJOIN(" ",TRUE,tblNotify[[#This Row],[first_name]],tblNotify[[#This Row],[middle_initial]],tblNotify[[#This Row],[last_name]],tblNotify[[#This Row],[name_suffix]])</f>
        <v>0</v>
      </c>
      <c r="W108" cm="1">
        <f t="array" ref="W10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08">
        <f>tblNotify[[#This Row],[status_xl]]=tblNotify[[#This Row],[notify_status]]</f>
        <v>0</v>
      </c>
    </row>
    <row r="109" spans="1:24">
      <c r="A109" s="6" t="s">
        <v>1331</v>
      </c>
      <c r="B109" t="s">
        <v>36</v>
      </c>
      <c r="C109" t="s">
        <v>547</v>
      </c>
      <c r="D109" t="s">
        <v>1324</v>
      </c>
      <c r="G109" t="s">
        <v>1325</v>
      </c>
      <c r="I109" t="s">
        <v>1326</v>
      </c>
      <c r="J109" t="s">
        <v>36</v>
      </c>
      <c r="K109" s="6" t="s">
        <v>1327</v>
      </c>
      <c r="L109" t="s">
        <v>148</v>
      </c>
      <c r="M109" t="s">
        <v>2826</v>
      </c>
      <c r="N109" t="b">
        <v>1</v>
      </c>
      <c r="O109" t="s">
        <v>2904</v>
      </c>
      <c r="Q109" t="b">
        <v>0</v>
      </c>
      <c r="R109" t="s">
        <v>149</v>
      </c>
      <c r="S109" t="s">
        <v>2893</v>
      </c>
      <c r="T109" cm="1">
        <f t="array" ref="T109">_xlfn.XLOOKUP(tblNotify[[#This Row],[person_id]],tblPeople[person_id],tblPeople[elements_exposed],"NOT FOUND")&amp;""</f>
        <v>0</v>
      </c>
      <c r="U109">
        <f>INDEX(tblPeople[elements_exposed],MATCH(tblNotify[[#This Row],[person_id]],tblPeople[person_id],0))&amp;""</f>
        <v>0</v>
      </c>
      <c r="V109">
        <f>_xlfn.TEXTJOIN(" ",TRUE,tblNotify[[#This Row],[first_name]],tblNotify[[#This Row],[middle_initial]],tblNotify[[#This Row],[last_name]],tblNotify[[#This Row],[name_suffix]])</f>
        <v>0</v>
      </c>
      <c r="W109" cm="1">
        <f t="array" ref="W10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09">
        <f>tblNotify[[#This Row],[status_xl]]=tblNotify[[#This Row],[notify_status]]</f>
        <v>0</v>
      </c>
    </row>
    <row r="110" spans="1:24">
      <c r="A110" s="6" t="s">
        <v>1340</v>
      </c>
      <c r="B110" t="s">
        <v>38</v>
      </c>
      <c r="C110" t="s">
        <v>1333</v>
      </c>
      <c r="D110" t="s">
        <v>298</v>
      </c>
      <c r="E110" t="s">
        <v>299</v>
      </c>
      <c r="G110" t="s">
        <v>1334</v>
      </c>
      <c r="I110" t="s">
        <v>1335</v>
      </c>
      <c r="J110" t="s">
        <v>38</v>
      </c>
      <c r="K110" s="6" t="s">
        <v>1336</v>
      </c>
      <c r="L110" t="s">
        <v>148</v>
      </c>
      <c r="M110" t="s">
        <v>2876</v>
      </c>
      <c r="N110" t="b">
        <v>1</v>
      </c>
      <c r="O110" t="s">
        <v>2904</v>
      </c>
      <c r="Q110" t="b">
        <v>0</v>
      </c>
      <c r="R110" t="s">
        <v>149</v>
      </c>
      <c r="S110" t="s">
        <v>2896</v>
      </c>
      <c r="T110" cm="1">
        <f t="array" ref="T110">_xlfn.XLOOKUP(tblNotify[[#This Row],[person_id]],tblPeople[person_id],tblPeople[elements_exposed],"NOT FOUND")&amp;""</f>
        <v>0</v>
      </c>
      <c r="U110">
        <f>INDEX(tblPeople[elements_exposed],MATCH(tblNotify[[#This Row],[person_id]],tblPeople[person_id],0))&amp;""</f>
        <v>0</v>
      </c>
      <c r="V110">
        <f>_xlfn.TEXTJOIN(" ",TRUE,tblNotify[[#This Row],[first_name]],tblNotify[[#This Row],[middle_initial]],tblNotify[[#This Row],[last_name]],tblNotify[[#This Row],[name_suffix]])</f>
        <v>0</v>
      </c>
      <c r="W110" cm="1">
        <f t="array" ref="W11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10">
        <f>tblNotify[[#This Row],[status_xl]]=tblNotify[[#This Row],[notify_status]]</f>
        <v>0</v>
      </c>
    </row>
    <row r="111" spans="1:24">
      <c r="A111" s="6" t="s">
        <v>1348</v>
      </c>
      <c r="B111" t="s">
        <v>40</v>
      </c>
      <c r="C111" t="s">
        <v>1141</v>
      </c>
      <c r="D111" t="s">
        <v>247</v>
      </c>
      <c r="E111" t="s">
        <v>189</v>
      </c>
      <c r="G111" t="s">
        <v>1342</v>
      </c>
      <c r="I111" t="s">
        <v>1343</v>
      </c>
      <c r="J111" t="s">
        <v>40</v>
      </c>
      <c r="K111" s="6" t="s">
        <v>1344</v>
      </c>
      <c r="L111" t="s">
        <v>148</v>
      </c>
      <c r="M111" t="s">
        <v>2876</v>
      </c>
      <c r="N111" t="b">
        <v>1</v>
      </c>
      <c r="O111" t="s">
        <v>2904</v>
      </c>
      <c r="Q111" t="b">
        <v>0</v>
      </c>
      <c r="R111" t="s">
        <v>205</v>
      </c>
      <c r="S111" t="s">
        <v>2896</v>
      </c>
      <c r="T111" cm="1">
        <f t="array" ref="T111">_xlfn.XLOOKUP(tblNotify[[#This Row],[person_id]],tblPeople[person_id],tblPeople[elements_exposed],"NOT FOUND")&amp;""</f>
        <v>0</v>
      </c>
      <c r="U111">
        <f>INDEX(tblPeople[elements_exposed],MATCH(tblNotify[[#This Row],[person_id]],tblPeople[person_id],0))&amp;""</f>
        <v>0</v>
      </c>
      <c r="V111">
        <f>_xlfn.TEXTJOIN(" ",TRUE,tblNotify[[#This Row],[first_name]],tblNotify[[#This Row],[middle_initial]],tblNotify[[#This Row],[last_name]],tblNotify[[#This Row],[name_suffix]])</f>
        <v>0</v>
      </c>
      <c r="W111" cm="1">
        <f t="array" ref="W11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11">
        <f>tblNotify[[#This Row],[status_xl]]=tblNotify[[#This Row],[notify_status]]</f>
        <v>0</v>
      </c>
    </row>
    <row r="112" spans="1:24">
      <c r="A112" s="6" t="s">
        <v>1354</v>
      </c>
      <c r="B112" t="s">
        <v>37</v>
      </c>
      <c r="C112" t="s">
        <v>1350</v>
      </c>
      <c r="D112" t="s">
        <v>535</v>
      </c>
      <c r="G112" t="s">
        <v>564</v>
      </c>
      <c r="I112" t="s">
        <v>565</v>
      </c>
      <c r="J112" t="s">
        <v>37</v>
      </c>
      <c r="K112" s="6" t="s">
        <v>566</v>
      </c>
      <c r="L112" t="s">
        <v>148</v>
      </c>
      <c r="M112" t="s">
        <v>2876</v>
      </c>
      <c r="N112" t="b">
        <v>1</v>
      </c>
      <c r="O112" t="s">
        <v>2904</v>
      </c>
      <c r="Q112" t="b">
        <v>0</v>
      </c>
      <c r="R112" t="s">
        <v>149</v>
      </c>
      <c r="S112" t="s">
        <v>2896</v>
      </c>
      <c r="T112" cm="1">
        <f t="array" ref="T112">_xlfn.XLOOKUP(tblNotify[[#This Row],[person_id]],tblPeople[person_id],tblPeople[elements_exposed],"NOT FOUND")&amp;""</f>
        <v>0</v>
      </c>
      <c r="U112">
        <f>INDEX(tblPeople[elements_exposed],MATCH(tblNotify[[#This Row],[person_id]],tblPeople[person_id],0))&amp;""</f>
        <v>0</v>
      </c>
      <c r="V112">
        <f>_xlfn.TEXTJOIN(" ",TRUE,tblNotify[[#This Row],[first_name]],tblNotify[[#This Row],[middle_initial]],tblNotify[[#This Row],[last_name]],tblNotify[[#This Row],[name_suffix]])</f>
        <v>0</v>
      </c>
      <c r="W112" cm="1">
        <f t="array" ref="W11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12">
        <f>tblNotify[[#This Row],[status_xl]]=tblNotify[[#This Row],[notify_status]]</f>
        <v>0</v>
      </c>
    </row>
    <row r="113" spans="1:24">
      <c r="A113" s="6" t="s">
        <v>1366</v>
      </c>
      <c r="B113" t="s">
        <v>38</v>
      </c>
      <c r="C113" t="s">
        <v>1359</v>
      </c>
      <c r="D113" t="s">
        <v>1358</v>
      </c>
      <c r="G113" t="s">
        <v>1360</v>
      </c>
      <c r="I113" t="s">
        <v>1361</v>
      </c>
      <c r="J113" t="s">
        <v>38</v>
      </c>
      <c r="K113" s="6" t="s">
        <v>1362</v>
      </c>
      <c r="L113" t="s">
        <v>148</v>
      </c>
      <c r="M113" t="s">
        <v>2876</v>
      </c>
      <c r="N113" t="b">
        <v>1</v>
      </c>
      <c r="O113" t="s">
        <v>2904</v>
      </c>
      <c r="Q113" t="b">
        <v>0</v>
      </c>
      <c r="R113" t="s">
        <v>205</v>
      </c>
      <c r="S113" t="s">
        <v>2896</v>
      </c>
      <c r="T113" cm="1">
        <f t="array" ref="T113">_xlfn.XLOOKUP(tblNotify[[#This Row],[person_id]],tblPeople[person_id],tblPeople[elements_exposed],"NOT FOUND")&amp;""</f>
        <v>0</v>
      </c>
      <c r="U113">
        <f>INDEX(tblPeople[elements_exposed],MATCH(tblNotify[[#This Row],[person_id]],tblPeople[person_id],0))&amp;""</f>
        <v>0</v>
      </c>
      <c r="V113">
        <f>_xlfn.TEXTJOIN(" ",TRUE,tblNotify[[#This Row],[first_name]],tblNotify[[#This Row],[middle_initial]],tblNotify[[#This Row],[last_name]],tblNotify[[#This Row],[name_suffix]])</f>
        <v>0</v>
      </c>
      <c r="W113" cm="1">
        <f t="array" ref="W11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13">
        <f>tblNotify[[#This Row],[status_xl]]=tblNotify[[#This Row],[notify_status]]</f>
        <v>0</v>
      </c>
    </row>
    <row r="114" spans="1:24">
      <c r="A114" s="6" t="s">
        <v>1378</v>
      </c>
      <c r="B114" t="s">
        <v>37</v>
      </c>
      <c r="C114" t="s">
        <v>1372</v>
      </c>
      <c r="D114" t="s">
        <v>1371</v>
      </c>
      <c r="G114" t="s">
        <v>1373</v>
      </c>
      <c r="I114" t="s">
        <v>238</v>
      </c>
      <c r="J114" t="s">
        <v>37</v>
      </c>
      <c r="K114" s="6" t="s">
        <v>1374</v>
      </c>
      <c r="L114" t="s">
        <v>148</v>
      </c>
      <c r="M114" t="s">
        <v>2876</v>
      </c>
      <c r="N114" t="b">
        <v>1</v>
      </c>
      <c r="O114" t="s">
        <v>2904</v>
      </c>
      <c r="Q114" t="b">
        <v>0</v>
      </c>
      <c r="R114" t="s">
        <v>205</v>
      </c>
      <c r="S114" t="s">
        <v>2896</v>
      </c>
      <c r="T114" cm="1">
        <f t="array" ref="T114">_xlfn.XLOOKUP(tblNotify[[#This Row],[person_id]],tblPeople[person_id],tblPeople[elements_exposed],"NOT FOUND")&amp;""</f>
        <v>0</v>
      </c>
      <c r="U114">
        <f>INDEX(tblPeople[elements_exposed],MATCH(tblNotify[[#This Row],[person_id]],tblPeople[person_id],0))&amp;""</f>
        <v>0</v>
      </c>
      <c r="V114">
        <f>_xlfn.TEXTJOIN(" ",TRUE,tblNotify[[#This Row],[first_name]],tblNotify[[#This Row],[middle_initial]],tblNotify[[#This Row],[last_name]],tblNotify[[#This Row],[name_suffix]])</f>
        <v>0</v>
      </c>
      <c r="W114" cm="1">
        <f t="array" ref="W11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14">
        <f>tblNotify[[#This Row],[status_xl]]=tblNotify[[#This Row],[notify_status]]</f>
        <v>0</v>
      </c>
    </row>
    <row r="115" spans="1:24">
      <c r="A115" s="6" t="s">
        <v>1388</v>
      </c>
      <c r="B115" t="s">
        <v>35</v>
      </c>
      <c r="C115" t="s">
        <v>1380</v>
      </c>
      <c r="D115" t="s">
        <v>433</v>
      </c>
      <c r="G115" t="s">
        <v>1381</v>
      </c>
      <c r="I115" t="s">
        <v>1382</v>
      </c>
      <c r="J115" t="s">
        <v>35</v>
      </c>
      <c r="K115" s="6" t="s">
        <v>1383</v>
      </c>
      <c r="L115" t="s">
        <v>148</v>
      </c>
      <c r="M115" t="s">
        <v>2876</v>
      </c>
      <c r="N115" t="b">
        <v>1</v>
      </c>
      <c r="O115" t="s">
        <v>2904</v>
      </c>
      <c r="Q115" t="b">
        <v>0</v>
      </c>
      <c r="R115" t="s">
        <v>205</v>
      </c>
      <c r="S115" t="s">
        <v>2896</v>
      </c>
      <c r="T115" cm="1">
        <f t="array" ref="T115">_xlfn.XLOOKUP(tblNotify[[#This Row],[person_id]],tblPeople[person_id],tblPeople[elements_exposed],"NOT FOUND")&amp;""</f>
        <v>0</v>
      </c>
      <c r="U115">
        <f>INDEX(tblPeople[elements_exposed],MATCH(tblNotify[[#This Row],[person_id]],tblPeople[person_id],0))&amp;""</f>
        <v>0</v>
      </c>
      <c r="V115">
        <f>_xlfn.TEXTJOIN(" ",TRUE,tblNotify[[#This Row],[first_name]],tblNotify[[#This Row],[middle_initial]],tblNotify[[#This Row],[last_name]],tblNotify[[#This Row],[name_suffix]])</f>
        <v>0</v>
      </c>
      <c r="W115" cm="1">
        <f t="array" ref="W11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15">
        <f>tblNotify[[#This Row],[status_xl]]=tblNotify[[#This Row],[notify_status]]</f>
        <v>0</v>
      </c>
    </row>
    <row r="116" spans="1:24">
      <c r="A116" s="6" t="s">
        <v>1410</v>
      </c>
      <c r="B116" t="s">
        <v>38</v>
      </c>
      <c r="C116" t="s">
        <v>1404</v>
      </c>
      <c r="D116" t="s">
        <v>1403</v>
      </c>
      <c r="E116" t="s">
        <v>142</v>
      </c>
      <c r="G116" t="s">
        <v>1405</v>
      </c>
      <c r="I116" t="s">
        <v>1406</v>
      </c>
      <c r="J116" t="s">
        <v>38</v>
      </c>
      <c r="K116" s="6" t="s">
        <v>1407</v>
      </c>
      <c r="L116" t="s">
        <v>148</v>
      </c>
      <c r="M116" t="s">
        <v>2876</v>
      </c>
      <c r="N116" t="b">
        <v>1</v>
      </c>
      <c r="O116" t="s">
        <v>2904</v>
      </c>
      <c r="Q116" t="b">
        <v>0</v>
      </c>
      <c r="R116" t="s">
        <v>205</v>
      </c>
      <c r="S116" t="s">
        <v>2896</v>
      </c>
      <c r="T116" cm="1">
        <f t="array" ref="T116">_xlfn.XLOOKUP(tblNotify[[#This Row],[person_id]],tblPeople[person_id],tblPeople[elements_exposed],"NOT FOUND")&amp;""</f>
        <v>0</v>
      </c>
      <c r="U116">
        <f>INDEX(tblPeople[elements_exposed],MATCH(tblNotify[[#This Row],[person_id]],tblPeople[person_id],0))&amp;""</f>
        <v>0</v>
      </c>
      <c r="V116">
        <f>_xlfn.TEXTJOIN(" ",TRUE,tblNotify[[#This Row],[first_name]],tblNotify[[#This Row],[middle_initial]],tblNotify[[#This Row],[last_name]],tblNotify[[#This Row],[name_suffix]])</f>
        <v>0</v>
      </c>
      <c r="W116" cm="1">
        <f t="array" ref="W11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16">
        <f>tblNotify[[#This Row],[status_xl]]=tblNotify[[#This Row],[notify_status]]</f>
        <v>0</v>
      </c>
    </row>
    <row r="117" spans="1:24">
      <c r="A117" s="6" t="s">
        <v>1418</v>
      </c>
      <c r="B117" t="s">
        <v>34</v>
      </c>
      <c r="C117" t="s">
        <v>970</v>
      </c>
      <c r="D117" t="s">
        <v>1413</v>
      </c>
      <c r="E117" t="s">
        <v>1180</v>
      </c>
      <c r="G117" t="s">
        <v>1414</v>
      </c>
      <c r="I117" t="s">
        <v>525</v>
      </c>
      <c r="J117" t="s">
        <v>34</v>
      </c>
      <c r="K117" s="6" t="s">
        <v>1415</v>
      </c>
      <c r="L117" t="s">
        <v>148</v>
      </c>
      <c r="M117" t="s">
        <v>2876</v>
      </c>
      <c r="N117" t="b">
        <v>1</v>
      </c>
      <c r="O117" t="s">
        <v>2904</v>
      </c>
      <c r="Q117" t="b">
        <v>0</v>
      </c>
      <c r="R117" t="s">
        <v>205</v>
      </c>
      <c r="S117" t="s">
        <v>2893</v>
      </c>
      <c r="T117" cm="1">
        <f t="array" ref="T117">_xlfn.XLOOKUP(tblNotify[[#This Row],[person_id]],tblPeople[person_id],tblPeople[elements_exposed],"NOT FOUND")&amp;""</f>
        <v>0</v>
      </c>
      <c r="U117">
        <f>INDEX(tblPeople[elements_exposed],MATCH(tblNotify[[#This Row],[person_id]],tblPeople[person_id],0))&amp;""</f>
        <v>0</v>
      </c>
      <c r="V117">
        <f>_xlfn.TEXTJOIN(" ",TRUE,tblNotify[[#This Row],[first_name]],tblNotify[[#This Row],[middle_initial]],tblNotify[[#This Row],[last_name]],tblNotify[[#This Row],[name_suffix]])</f>
        <v>0</v>
      </c>
      <c r="W117" cm="1">
        <f t="array" ref="W11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17">
        <f>tblNotify[[#This Row],[status_xl]]=tblNotify[[#This Row],[notify_status]]</f>
        <v>0</v>
      </c>
    </row>
    <row r="118" spans="1:24">
      <c r="A118" s="6" t="s">
        <v>1427</v>
      </c>
      <c r="B118" t="s">
        <v>33</v>
      </c>
      <c r="C118" t="s">
        <v>1422</v>
      </c>
      <c r="D118" t="s">
        <v>1421</v>
      </c>
      <c r="E118" t="s">
        <v>142</v>
      </c>
      <c r="G118" t="s">
        <v>1423</v>
      </c>
      <c r="I118" t="s">
        <v>636</v>
      </c>
      <c r="J118" t="s">
        <v>33</v>
      </c>
      <c r="K118" s="6" t="s">
        <v>1424</v>
      </c>
      <c r="L118" t="s">
        <v>148</v>
      </c>
      <c r="M118" t="s">
        <v>2876</v>
      </c>
      <c r="N118" t="b">
        <v>1</v>
      </c>
      <c r="O118" t="s">
        <v>2904</v>
      </c>
      <c r="Q118" t="b">
        <v>0</v>
      </c>
      <c r="R118" t="s">
        <v>205</v>
      </c>
      <c r="S118" t="s">
        <v>2896</v>
      </c>
      <c r="T118" cm="1">
        <f t="array" ref="T118">_xlfn.XLOOKUP(tblNotify[[#This Row],[person_id]],tblPeople[person_id],tblPeople[elements_exposed],"NOT FOUND")&amp;""</f>
        <v>0</v>
      </c>
      <c r="U118">
        <f>INDEX(tblPeople[elements_exposed],MATCH(tblNotify[[#This Row],[person_id]],tblPeople[person_id],0))&amp;""</f>
        <v>0</v>
      </c>
      <c r="V118">
        <f>_xlfn.TEXTJOIN(" ",TRUE,tblNotify[[#This Row],[first_name]],tblNotify[[#This Row],[middle_initial]],tblNotify[[#This Row],[last_name]],tblNotify[[#This Row],[name_suffix]])</f>
        <v>0</v>
      </c>
      <c r="W118" cm="1">
        <f t="array" ref="W11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18">
        <f>tblNotify[[#This Row],[status_xl]]=tblNotify[[#This Row],[notify_status]]</f>
        <v>0</v>
      </c>
    </row>
    <row r="119" spans="1:24">
      <c r="A119" s="6" t="s">
        <v>1438</v>
      </c>
      <c r="B119" t="s">
        <v>39</v>
      </c>
      <c r="C119" t="s">
        <v>847</v>
      </c>
      <c r="D119" t="s">
        <v>1204</v>
      </c>
      <c r="E119" t="s">
        <v>142</v>
      </c>
      <c r="G119" t="s">
        <v>1433</v>
      </c>
      <c r="I119" t="s">
        <v>1434</v>
      </c>
      <c r="J119" t="s">
        <v>39</v>
      </c>
      <c r="K119" s="6" t="s">
        <v>1435</v>
      </c>
      <c r="L119" t="s">
        <v>148</v>
      </c>
      <c r="M119" t="s">
        <v>2876</v>
      </c>
      <c r="N119" t="b">
        <v>1</v>
      </c>
      <c r="O119" t="s">
        <v>2904</v>
      </c>
      <c r="Q119" t="b">
        <v>0</v>
      </c>
      <c r="R119" t="s">
        <v>205</v>
      </c>
      <c r="S119" t="s">
        <v>2896</v>
      </c>
      <c r="T119" cm="1">
        <f t="array" ref="T119">_xlfn.XLOOKUP(tblNotify[[#This Row],[person_id]],tblPeople[person_id],tblPeople[elements_exposed],"NOT FOUND")&amp;""</f>
        <v>0</v>
      </c>
      <c r="U119">
        <f>INDEX(tblPeople[elements_exposed],MATCH(tblNotify[[#This Row],[person_id]],tblPeople[person_id],0))&amp;""</f>
        <v>0</v>
      </c>
      <c r="V119">
        <f>_xlfn.TEXTJOIN(" ",TRUE,tblNotify[[#This Row],[first_name]],tblNotify[[#This Row],[middle_initial]],tblNotify[[#This Row],[last_name]],tblNotify[[#This Row],[name_suffix]])</f>
        <v>0</v>
      </c>
      <c r="W119" cm="1">
        <f t="array" ref="W11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19">
        <f>tblNotify[[#This Row],[status_xl]]=tblNotify[[#This Row],[notify_status]]</f>
        <v>0</v>
      </c>
    </row>
    <row r="120" spans="1:24">
      <c r="A120" s="6" t="s">
        <v>1448</v>
      </c>
      <c r="B120" t="s">
        <v>35</v>
      </c>
      <c r="C120" t="s">
        <v>1442</v>
      </c>
      <c r="D120" t="s">
        <v>1441</v>
      </c>
      <c r="E120" t="s">
        <v>299</v>
      </c>
      <c r="G120" t="s">
        <v>1443</v>
      </c>
      <c r="I120" t="s">
        <v>1444</v>
      </c>
      <c r="J120" t="s">
        <v>35</v>
      </c>
      <c r="K120" s="6" t="s">
        <v>1445</v>
      </c>
      <c r="L120" t="s">
        <v>148</v>
      </c>
      <c r="M120" t="s">
        <v>2876</v>
      </c>
      <c r="N120" t="b">
        <v>1</v>
      </c>
      <c r="O120" t="s">
        <v>2904</v>
      </c>
      <c r="Q120" t="b">
        <v>0</v>
      </c>
      <c r="R120" t="s">
        <v>149</v>
      </c>
      <c r="S120" t="s">
        <v>2896</v>
      </c>
      <c r="T120" cm="1">
        <f t="array" ref="T120">_xlfn.XLOOKUP(tblNotify[[#This Row],[person_id]],tblPeople[person_id],tblPeople[elements_exposed],"NOT FOUND")&amp;""</f>
        <v>0</v>
      </c>
      <c r="U120">
        <f>INDEX(tblPeople[elements_exposed],MATCH(tblNotify[[#This Row],[person_id]],tblPeople[person_id],0))&amp;""</f>
        <v>0</v>
      </c>
      <c r="V120">
        <f>_xlfn.TEXTJOIN(" ",TRUE,tblNotify[[#This Row],[first_name]],tblNotify[[#This Row],[middle_initial]],tblNotify[[#This Row],[last_name]],tblNotify[[#This Row],[name_suffix]])</f>
        <v>0</v>
      </c>
      <c r="W120" cm="1">
        <f t="array" ref="W12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20">
        <f>tblNotify[[#This Row],[status_xl]]=tblNotify[[#This Row],[notify_status]]</f>
        <v>0</v>
      </c>
    </row>
    <row r="121" spans="1:24">
      <c r="A121" s="6" t="s">
        <v>1457</v>
      </c>
      <c r="B121" t="s">
        <v>37</v>
      </c>
      <c r="C121" t="s">
        <v>1451</v>
      </c>
      <c r="D121" t="s">
        <v>1450</v>
      </c>
      <c r="G121" t="s">
        <v>1452</v>
      </c>
      <c r="I121" t="s">
        <v>1453</v>
      </c>
      <c r="J121" t="s">
        <v>37</v>
      </c>
      <c r="K121" s="6" t="s">
        <v>1454</v>
      </c>
      <c r="L121" t="s">
        <v>148</v>
      </c>
      <c r="M121" t="s">
        <v>2876</v>
      </c>
      <c r="N121" t="b">
        <v>1</v>
      </c>
      <c r="O121" t="s">
        <v>2904</v>
      </c>
      <c r="Q121" t="b">
        <v>0</v>
      </c>
      <c r="R121" t="s">
        <v>205</v>
      </c>
      <c r="S121" t="s">
        <v>2896</v>
      </c>
      <c r="T121" cm="1">
        <f t="array" ref="T121">_xlfn.XLOOKUP(tblNotify[[#This Row],[person_id]],tblPeople[person_id],tblPeople[elements_exposed],"NOT FOUND")&amp;""</f>
        <v>0</v>
      </c>
      <c r="U121">
        <f>INDEX(tblPeople[elements_exposed],MATCH(tblNotify[[#This Row],[person_id]],tblPeople[person_id],0))&amp;""</f>
        <v>0</v>
      </c>
      <c r="V121">
        <f>_xlfn.TEXTJOIN(" ",TRUE,tblNotify[[#This Row],[first_name]],tblNotify[[#This Row],[middle_initial]],tblNotify[[#This Row],[last_name]],tblNotify[[#This Row],[name_suffix]])</f>
        <v>0</v>
      </c>
      <c r="W121" cm="1">
        <f t="array" ref="W12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21">
        <f>tblNotify[[#This Row],[status_xl]]=tblNotify[[#This Row],[notify_status]]</f>
        <v>0</v>
      </c>
    </row>
    <row r="122" spans="1:24">
      <c r="A122" s="6" t="s">
        <v>1466</v>
      </c>
      <c r="B122" t="s">
        <v>37</v>
      </c>
      <c r="C122" t="s">
        <v>1461</v>
      </c>
      <c r="D122" t="s">
        <v>1460</v>
      </c>
      <c r="E122" t="s">
        <v>163</v>
      </c>
      <c r="G122" t="s">
        <v>1462</v>
      </c>
      <c r="I122" t="s">
        <v>565</v>
      </c>
      <c r="J122" t="s">
        <v>37</v>
      </c>
      <c r="K122" s="6" t="s">
        <v>1463</v>
      </c>
      <c r="L122" t="s">
        <v>148</v>
      </c>
      <c r="M122" t="s">
        <v>2876</v>
      </c>
      <c r="N122" t="b">
        <v>1</v>
      </c>
      <c r="O122" t="s">
        <v>2904</v>
      </c>
      <c r="Q122" t="b">
        <v>0</v>
      </c>
      <c r="R122" t="s">
        <v>205</v>
      </c>
      <c r="S122" t="s">
        <v>2896</v>
      </c>
      <c r="T122" cm="1">
        <f t="array" ref="T122">_xlfn.XLOOKUP(tblNotify[[#This Row],[person_id]],tblPeople[person_id],tblPeople[elements_exposed],"NOT FOUND")&amp;""</f>
        <v>0</v>
      </c>
      <c r="U122">
        <f>INDEX(tblPeople[elements_exposed],MATCH(tblNotify[[#This Row],[person_id]],tblPeople[person_id],0))&amp;""</f>
        <v>0</v>
      </c>
      <c r="V122">
        <f>_xlfn.TEXTJOIN(" ",TRUE,tblNotify[[#This Row],[first_name]],tblNotify[[#This Row],[middle_initial]],tblNotify[[#This Row],[last_name]],tblNotify[[#This Row],[name_suffix]])</f>
        <v>0</v>
      </c>
      <c r="W122" cm="1">
        <f t="array" ref="W12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22">
        <f>tblNotify[[#This Row],[status_xl]]=tblNotify[[#This Row],[notify_status]]</f>
        <v>0</v>
      </c>
    </row>
    <row r="123" spans="1:24">
      <c r="A123" s="6" t="s">
        <v>1480</v>
      </c>
      <c r="B123" t="s">
        <v>40</v>
      </c>
      <c r="C123" t="s">
        <v>1474</v>
      </c>
      <c r="D123" t="s">
        <v>1473</v>
      </c>
      <c r="E123" t="s">
        <v>324</v>
      </c>
      <c r="G123" t="s">
        <v>1475</v>
      </c>
      <c r="I123" t="s">
        <v>1476</v>
      </c>
      <c r="J123" t="s">
        <v>40</v>
      </c>
      <c r="K123" s="6" t="s">
        <v>1477</v>
      </c>
      <c r="L123" t="s">
        <v>148</v>
      </c>
      <c r="M123" t="s">
        <v>2876</v>
      </c>
      <c r="N123" t="b">
        <v>1</v>
      </c>
      <c r="O123" t="s">
        <v>2904</v>
      </c>
      <c r="Q123" t="b">
        <v>0</v>
      </c>
      <c r="R123" t="s">
        <v>205</v>
      </c>
      <c r="S123" t="s">
        <v>2893</v>
      </c>
      <c r="T123" cm="1">
        <f t="array" ref="T123">_xlfn.XLOOKUP(tblNotify[[#This Row],[person_id]],tblPeople[person_id],tblPeople[elements_exposed],"NOT FOUND")&amp;""</f>
        <v>0</v>
      </c>
      <c r="U123">
        <f>INDEX(tblPeople[elements_exposed],MATCH(tblNotify[[#This Row],[person_id]],tblPeople[person_id],0))&amp;""</f>
        <v>0</v>
      </c>
      <c r="V123">
        <f>_xlfn.TEXTJOIN(" ",TRUE,tblNotify[[#This Row],[first_name]],tblNotify[[#This Row],[middle_initial]],tblNotify[[#This Row],[last_name]],tblNotify[[#This Row],[name_suffix]])</f>
        <v>0</v>
      </c>
      <c r="W123" cm="1">
        <f t="array" ref="W12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23">
        <f>tblNotify[[#This Row],[status_xl]]=tblNotify[[#This Row],[notify_status]]</f>
        <v>0</v>
      </c>
    </row>
    <row r="124" spans="1:24">
      <c r="A124" s="6" t="s">
        <v>1489</v>
      </c>
      <c r="B124" t="s">
        <v>34</v>
      </c>
      <c r="C124" t="s">
        <v>1483</v>
      </c>
      <c r="D124" t="s">
        <v>1482</v>
      </c>
      <c r="E124" t="s">
        <v>212</v>
      </c>
      <c r="G124" t="s">
        <v>1484</v>
      </c>
      <c r="I124" t="s">
        <v>1485</v>
      </c>
      <c r="J124" t="s">
        <v>34</v>
      </c>
      <c r="K124" s="6" t="s">
        <v>1486</v>
      </c>
      <c r="L124" t="s">
        <v>148</v>
      </c>
      <c r="M124" t="s">
        <v>2876</v>
      </c>
      <c r="N124" t="b">
        <v>1</v>
      </c>
      <c r="O124" t="s">
        <v>2904</v>
      </c>
      <c r="Q124" t="b">
        <v>0</v>
      </c>
      <c r="R124" t="s">
        <v>205</v>
      </c>
      <c r="S124" t="s">
        <v>2896</v>
      </c>
      <c r="T124" cm="1">
        <f t="array" ref="T124">_xlfn.XLOOKUP(tblNotify[[#This Row],[person_id]],tblPeople[person_id],tblPeople[elements_exposed],"NOT FOUND")&amp;""</f>
        <v>0</v>
      </c>
      <c r="U124">
        <f>INDEX(tblPeople[elements_exposed],MATCH(tblNotify[[#This Row],[person_id]],tblPeople[person_id],0))&amp;""</f>
        <v>0</v>
      </c>
      <c r="V124">
        <f>_xlfn.TEXTJOIN(" ",TRUE,tblNotify[[#This Row],[first_name]],tblNotify[[#This Row],[middle_initial]],tblNotify[[#This Row],[last_name]],tblNotify[[#This Row],[name_suffix]])</f>
        <v>0</v>
      </c>
      <c r="W124" cm="1">
        <f t="array" ref="W12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24">
        <f>tblNotify[[#This Row],[status_xl]]=tblNotify[[#This Row],[notify_status]]</f>
        <v>0</v>
      </c>
    </row>
    <row r="125" spans="1:24">
      <c r="A125" s="6" t="s">
        <v>1495</v>
      </c>
      <c r="B125" t="s">
        <v>36</v>
      </c>
      <c r="C125" t="s">
        <v>1492</v>
      </c>
      <c r="D125" t="s">
        <v>1491</v>
      </c>
      <c r="E125" t="s">
        <v>299</v>
      </c>
      <c r="F125" t="s">
        <v>446</v>
      </c>
      <c r="G125" t="s">
        <v>1325</v>
      </c>
      <c r="I125" t="s">
        <v>1326</v>
      </c>
      <c r="J125" t="s">
        <v>36</v>
      </c>
      <c r="K125" s="6" t="s">
        <v>1327</v>
      </c>
      <c r="L125" t="s">
        <v>148</v>
      </c>
      <c r="M125" t="s">
        <v>2876</v>
      </c>
      <c r="N125" t="b">
        <v>1</v>
      </c>
      <c r="O125" t="s">
        <v>2904</v>
      </c>
      <c r="Q125" t="b">
        <v>0</v>
      </c>
      <c r="R125" t="s">
        <v>149</v>
      </c>
      <c r="S125" t="s">
        <v>2896</v>
      </c>
      <c r="T125" cm="1">
        <f t="array" ref="T125">_xlfn.XLOOKUP(tblNotify[[#This Row],[person_id]],tblPeople[person_id],tblPeople[elements_exposed],"NOT FOUND")&amp;""</f>
        <v>0</v>
      </c>
      <c r="U125">
        <f>INDEX(tblPeople[elements_exposed],MATCH(tblNotify[[#This Row],[person_id]],tblPeople[person_id],0))&amp;""</f>
        <v>0</v>
      </c>
      <c r="V125">
        <f>_xlfn.TEXTJOIN(" ",TRUE,tblNotify[[#This Row],[first_name]],tblNotify[[#This Row],[middle_initial]],tblNotify[[#This Row],[last_name]],tblNotify[[#This Row],[name_suffix]])</f>
        <v>0</v>
      </c>
      <c r="W125" cm="1">
        <f t="array" ref="W12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25">
        <f>tblNotify[[#This Row],[status_xl]]=tblNotify[[#This Row],[notify_status]]</f>
        <v>0</v>
      </c>
    </row>
    <row r="126" spans="1:24">
      <c r="A126" s="6" t="s">
        <v>1509</v>
      </c>
      <c r="B126" t="s">
        <v>38</v>
      </c>
      <c r="C126" t="s">
        <v>1505</v>
      </c>
      <c r="D126" t="s">
        <v>1504</v>
      </c>
      <c r="G126" t="s">
        <v>1506</v>
      </c>
      <c r="I126" t="s">
        <v>1107</v>
      </c>
      <c r="J126" t="s">
        <v>38</v>
      </c>
      <c r="K126" s="6" t="s">
        <v>1108</v>
      </c>
      <c r="L126" t="s">
        <v>148</v>
      </c>
      <c r="M126" t="s">
        <v>2876</v>
      </c>
      <c r="N126" t="b">
        <v>1</v>
      </c>
      <c r="O126" t="s">
        <v>2904</v>
      </c>
      <c r="Q126" t="b">
        <v>0</v>
      </c>
      <c r="R126" t="s">
        <v>205</v>
      </c>
      <c r="S126" t="s">
        <v>2896</v>
      </c>
      <c r="T126" cm="1">
        <f t="array" ref="T126">_xlfn.XLOOKUP(tblNotify[[#This Row],[person_id]],tblPeople[person_id],tblPeople[elements_exposed],"NOT FOUND")&amp;""</f>
        <v>0</v>
      </c>
      <c r="U126">
        <f>INDEX(tblPeople[elements_exposed],MATCH(tblNotify[[#This Row],[person_id]],tblPeople[person_id],0))&amp;""</f>
        <v>0</v>
      </c>
      <c r="V126">
        <f>_xlfn.TEXTJOIN(" ",TRUE,tblNotify[[#This Row],[first_name]],tblNotify[[#This Row],[middle_initial]],tblNotify[[#This Row],[last_name]],tblNotify[[#This Row],[name_suffix]])</f>
        <v>0</v>
      </c>
      <c r="W126" cm="1">
        <f t="array" ref="W12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26">
        <f>tblNotify[[#This Row],[status_xl]]=tblNotify[[#This Row],[notify_status]]</f>
        <v>0</v>
      </c>
    </row>
    <row r="127" spans="1:24">
      <c r="A127" s="6" t="s">
        <v>1519</v>
      </c>
      <c r="B127" t="s">
        <v>33</v>
      </c>
      <c r="C127" t="s">
        <v>1511</v>
      </c>
      <c r="D127" t="s">
        <v>658</v>
      </c>
      <c r="F127" t="s">
        <v>446</v>
      </c>
      <c r="G127" t="s">
        <v>1512</v>
      </c>
      <c r="I127" t="s">
        <v>1513</v>
      </c>
      <c r="J127" t="s">
        <v>33</v>
      </c>
      <c r="K127" s="6" t="s">
        <v>1514</v>
      </c>
      <c r="L127" t="s">
        <v>148</v>
      </c>
      <c r="M127" t="s">
        <v>2876</v>
      </c>
      <c r="N127" t="b">
        <v>1</v>
      </c>
      <c r="O127" t="s">
        <v>2904</v>
      </c>
      <c r="Q127" t="b">
        <v>0</v>
      </c>
      <c r="R127" t="s">
        <v>205</v>
      </c>
      <c r="S127" t="s">
        <v>2896</v>
      </c>
      <c r="T127" cm="1">
        <f t="array" ref="T127">_xlfn.XLOOKUP(tblNotify[[#This Row],[person_id]],tblPeople[person_id],tblPeople[elements_exposed],"NOT FOUND")&amp;""</f>
        <v>0</v>
      </c>
      <c r="U127">
        <f>INDEX(tblPeople[elements_exposed],MATCH(tblNotify[[#This Row],[person_id]],tblPeople[person_id],0))&amp;""</f>
        <v>0</v>
      </c>
      <c r="V127">
        <f>_xlfn.TEXTJOIN(" ",TRUE,tblNotify[[#This Row],[first_name]],tblNotify[[#This Row],[middle_initial]],tblNotify[[#This Row],[last_name]],tblNotify[[#This Row],[name_suffix]])</f>
        <v>0</v>
      </c>
      <c r="W127" cm="1">
        <f t="array" ref="W12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27">
        <f>tblNotify[[#This Row],[status_xl]]=tblNotify[[#This Row],[notify_status]]</f>
        <v>0</v>
      </c>
    </row>
    <row r="128" spans="1:24">
      <c r="A128" s="6" t="s">
        <v>1530</v>
      </c>
      <c r="B128" t="s">
        <v>39</v>
      </c>
      <c r="C128" t="s">
        <v>1527</v>
      </c>
      <c r="D128" t="s">
        <v>1526</v>
      </c>
      <c r="E128" t="s">
        <v>299</v>
      </c>
      <c r="G128" t="s">
        <v>480</v>
      </c>
      <c r="I128" t="s">
        <v>481</v>
      </c>
      <c r="J128" t="s">
        <v>39</v>
      </c>
      <c r="K128" s="6" t="s">
        <v>482</v>
      </c>
      <c r="L128" t="s">
        <v>148</v>
      </c>
      <c r="M128" t="s">
        <v>2876</v>
      </c>
      <c r="N128" t="b">
        <v>1</v>
      </c>
      <c r="O128" t="s">
        <v>2904</v>
      </c>
      <c r="Q128" t="b">
        <v>0</v>
      </c>
      <c r="R128" t="s">
        <v>149</v>
      </c>
      <c r="S128" t="s">
        <v>2896</v>
      </c>
      <c r="T128" cm="1">
        <f t="array" ref="T128">_xlfn.XLOOKUP(tblNotify[[#This Row],[person_id]],tblPeople[person_id],tblPeople[elements_exposed],"NOT FOUND")&amp;""</f>
        <v>0</v>
      </c>
      <c r="U128">
        <f>INDEX(tblPeople[elements_exposed],MATCH(tblNotify[[#This Row],[person_id]],tblPeople[person_id],0))&amp;""</f>
        <v>0</v>
      </c>
      <c r="V128">
        <f>_xlfn.TEXTJOIN(" ",TRUE,tblNotify[[#This Row],[first_name]],tblNotify[[#This Row],[middle_initial]],tblNotify[[#This Row],[last_name]],tblNotify[[#This Row],[name_suffix]])</f>
        <v>0</v>
      </c>
      <c r="W128" cm="1">
        <f t="array" ref="W12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28">
        <f>tblNotify[[#This Row],[status_xl]]=tblNotify[[#This Row],[notify_status]]</f>
        <v>0</v>
      </c>
    </row>
    <row r="129" spans="1:24">
      <c r="A129" s="6" t="s">
        <v>1538</v>
      </c>
      <c r="B129" t="s">
        <v>34</v>
      </c>
      <c r="C129" t="s">
        <v>1533</v>
      </c>
      <c r="D129" t="s">
        <v>1532</v>
      </c>
      <c r="G129" t="s">
        <v>1534</v>
      </c>
      <c r="I129" t="s">
        <v>525</v>
      </c>
      <c r="J129" t="s">
        <v>34</v>
      </c>
      <c r="K129" s="6" t="s">
        <v>1535</v>
      </c>
      <c r="L129" t="s">
        <v>148</v>
      </c>
      <c r="M129" t="s">
        <v>2876</v>
      </c>
      <c r="N129" t="b">
        <v>1</v>
      </c>
      <c r="O129" t="s">
        <v>2904</v>
      </c>
      <c r="Q129" t="b">
        <v>0</v>
      </c>
      <c r="R129" t="s">
        <v>205</v>
      </c>
      <c r="S129" t="s">
        <v>2896</v>
      </c>
      <c r="T129" cm="1">
        <f t="array" ref="T129">_xlfn.XLOOKUP(tblNotify[[#This Row],[person_id]],tblPeople[person_id],tblPeople[elements_exposed],"NOT FOUND")&amp;""</f>
        <v>0</v>
      </c>
      <c r="U129">
        <f>INDEX(tblPeople[elements_exposed],MATCH(tblNotify[[#This Row],[person_id]],tblPeople[person_id],0))&amp;""</f>
        <v>0</v>
      </c>
      <c r="V129">
        <f>_xlfn.TEXTJOIN(" ",TRUE,tblNotify[[#This Row],[first_name]],tblNotify[[#This Row],[middle_initial]],tblNotify[[#This Row],[last_name]],tblNotify[[#This Row],[name_suffix]])</f>
        <v>0</v>
      </c>
      <c r="W129" cm="1">
        <f t="array" ref="W12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29">
        <f>tblNotify[[#This Row],[status_xl]]=tblNotify[[#This Row],[notify_status]]</f>
        <v>0</v>
      </c>
    </row>
    <row r="130" spans="1:24">
      <c r="A130" s="6" t="s">
        <v>1547</v>
      </c>
      <c r="B130" t="s">
        <v>34</v>
      </c>
      <c r="C130" t="s">
        <v>1541</v>
      </c>
      <c r="D130" t="s">
        <v>1540</v>
      </c>
      <c r="E130" t="s">
        <v>163</v>
      </c>
      <c r="F130" t="s">
        <v>214</v>
      </c>
      <c r="G130" t="s">
        <v>1542</v>
      </c>
      <c r="I130" t="s">
        <v>1543</v>
      </c>
      <c r="J130" t="s">
        <v>34</v>
      </c>
      <c r="K130" s="6" t="s">
        <v>1544</v>
      </c>
      <c r="L130" t="s">
        <v>148</v>
      </c>
      <c r="M130" t="s">
        <v>2876</v>
      </c>
      <c r="N130" t="b">
        <v>1</v>
      </c>
      <c r="O130" t="s">
        <v>2904</v>
      </c>
      <c r="Q130" t="b">
        <v>0</v>
      </c>
      <c r="R130" t="s">
        <v>205</v>
      </c>
      <c r="S130" t="s">
        <v>2896</v>
      </c>
      <c r="T130" cm="1">
        <f t="array" ref="T130">_xlfn.XLOOKUP(tblNotify[[#This Row],[person_id]],tblPeople[person_id],tblPeople[elements_exposed],"NOT FOUND")&amp;""</f>
        <v>0</v>
      </c>
      <c r="U130">
        <f>INDEX(tblPeople[elements_exposed],MATCH(tblNotify[[#This Row],[person_id]],tblPeople[person_id],0))&amp;""</f>
        <v>0</v>
      </c>
      <c r="V130">
        <f>_xlfn.TEXTJOIN(" ",TRUE,tblNotify[[#This Row],[first_name]],tblNotify[[#This Row],[middle_initial]],tblNotify[[#This Row],[last_name]],tblNotify[[#This Row],[name_suffix]])</f>
        <v>0</v>
      </c>
      <c r="W130" cm="1">
        <f t="array" ref="W13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30">
        <f>tblNotify[[#This Row],[status_xl]]=tblNotify[[#This Row],[notify_status]]</f>
        <v>0</v>
      </c>
    </row>
    <row r="131" spans="1:24">
      <c r="A131" s="6" t="s">
        <v>1565</v>
      </c>
      <c r="B131" t="s">
        <v>38</v>
      </c>
      <c r="C131" t="s">
        <v>1555</v>
      </c>
      <c r="D131" t="s">
        <v>1461</v>
      </c>
      <c r="E131" t="s">
        <v>224</v>
      </c>
      <c r="G131" t="s">
        <v>1556</v>
      </c>
      <c r="I131" t="s">
        <v>1557</v>
      </c>
      <c r="J131" t="s">
        <v>38</v>
      </c>
      <c r="K131" s="6" t="s">
        <v>1558</v>
      </c>
      <c r="L131" t="s">
        <v>148</v>
      </c>
      <c r="M131" t="s">
        <v>2826</v>
      </c>
      <c r="N131" t="b">
        <v>1</v>
      </c>
      <c r="O131" t="s">
        <v>2892</v>
      </c>
      <c r="Q131" t="b">
        <v>0</v>
      </c>
      <c r="R131" t="s">
        <v>205</v>
      </c>
      <c r="S131" t="s">
        <v>2896</v>
      </c>
      <c r="T131" cm="1">
        <f t="array" ref="T131">_xlfn.XLOOKUP(tblNotify[[#This Row],[person_id]],tblPeople[person_id],tblPeople[elements_exposed],"NOT FOUND")&amp;""</f>
        <v>0</v>
      </c>
      <c r="U131">
        <f>INDEX(tblPeople[elements_exposed],MATCH(tblNotify[[#This Row],[person_id]],tblPeople[person_id],0))&amp;""</f>
        <v>0</v>
      </c>
      <c r="V131">
        <f>_xlfn.TEXTJOIN(" ",TRUE,tblNotify[[#This Row],[first_name]],tblNotify[[#This Row],[middle_initial]],tblNotify[[#This Row],[last_name]],tblNotify[[#This Row],[name_suffix]])</f>
        <v>0</v>
      </c>
      <c r="W131" cm="1">
        <f t="array" ref="W13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31">
        <f>tblNotify[[#This Row],[status_xl]]=tblNotify[[#This Row],[notify_status]]</f>
        <v>0</v>
      </c>
    </row>
    <row r="132" spans="1:24">
      <c r="A132" s="6" t="s">
        <v>1572</v>
      </c>
      <c r="B132" t="s">
        <v>40</v>
      </c>
      <c r="C132" t="s">
        <v>435</v>
      </c>
      <c r="D132" t="s">
        <v>1567</v>
      </c>
      <c r="E132" t="s">
        <v>299</v>
      </c>
      <c r="G132" t="s">
        <v>436</v>
      </c>
      <c r="I132" t="s">
        <v>437</v>
      </c>
      <c r="J132" t="s">
        <v>40</v>
      </c>
      <c r="K132" s="6" t="s">
        <v>438</v>
      </c>
      <c r="L132" t="s">
        <v>148</v>
      </c>
      <c r="M132" t="s">
        <v>2844</v>
      </c>
      <c r="N132" t="b">
        <v>1</v>
      </c>
      <c r="O132" t="s">
        <v>2904</v>
      </c>
      <c r="P132" t="s">
        <v>2919</v>
      </c>
      <c r="Q132" t="b">
        <v>1</v>
      </c>
      <c r="R132" t="s">
        <v>149</v>
      </c>
      <c r="S132" t="s">
        <v>2896</v>
      </c>
      <c r="T132" cm="1">
        <f t="array" ref="T132">_xlfn.XLOOKUP(tblNotify[[#This Row],[person_id]],tblPeople[person_id],tblPeople[elements_exposed],"NOT FOUND")&amp;""</f>
        <v>0</v>
      </c>
      <c r="U132">
        <f>INDEX(tblPeople[elements_exposed],MATCH(tblNotify[[#This Row],[person_id]],tblPeople[person_id],0))&amp;""</f>
        <v>0</v>
      </c>
      <c r="V132">
        <f>_xlfn.TEXTJOIN(" ",TRUE,tblNotify[[#This Row],[first_name]],tblNotify[[#This Row],[middle_initial]],tblNotify[[#This Row],[last_name]],tblNotify[[#This Row],[name_suffix]])</f>
        <v>0</v>
      </c>
      <c r="W132" cm="1">
        <f t="array" ref="W13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32">
        <f>tblNotify[[#This Row],[status_xl]]=tblNotify[[#This Row],[notify_status]]</f>
        <v>0</v>
      </c>
    </row>
    <row r="133" spans="1:24">
      <c r="A133" s="6" t="s">
        <v>1582</v>
      </c>
      <c r="B133" t="s">
        <v>34</v>
      </c>
      <c r="C133" t="s">
        <v>1574</v>
      </c>
      <c r="D133" t="s">
        <v>832</v>
      </c>
      <c r="G133" t="s">
        <v>1575</v>
      </c>
      <c r="I133" t="s">
        <v>1576</v>
      </c>
      <c r="J133" t="s">
        <v>34</v>
      </c>
      <c r="K133" s="6" t="s">
        <v>1577</v>
      </c>
      <c r="L133" t="s">
        <v>148</v>
      </c>
      <c r="M133" t="s">
        <v>2826</v>
      </c>
      <c r="N133" t="b">
        <v>1</v>
      </c>
      <c r="O133" t="s">
        <v>2892</v>
      </c>
      <c r="Q133" t="b">
        <v>0</v>
      </c>
      <c r="R133" t="s">
        <v>205</v>
      </c>
      <c r="S133" t="s">
        <v>2896</v>
      </c>
      <c r="T133" cm="1">
        <f t="array" ref="T133">_xlfn.XLOOKUP(tblNotify[[#This Row],[person_id]],tblPeople[person_id],tblPeople[elements_exposed],"NOT FOUND")&amp;""</f>
        <v>0</v>
      </c>
      <c r="U133">
        <f>INDEX(tblPeople[elements_exposed],MATCH(tblNotify[[#This Row],[person_id]],tblPeople[person_id],0))&amp;""</f>
        <v>0</v>
      </c>
      <c r="V133">
        <f>_xlfn.TEXTJOIN(" ",TRUE,tblNotify[[#This Row],[first_name]],tblNotify[[#This Row],[middle_initial]],tblNotify[[#This Row],[last_name]],tblNotify[[#This Row],[name_suffix]])</f>
        <v>0</v>
      </c>
      <c r="W133" cm="1">
        <f t="array" ref="W13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33">
        <f>tblNotify[[#This Row],[status_xl]]=tblNotify[[#This Row],[notify_status]]</f>
        <v>0</v>
      </c>
    </row>
    <row r="134" spans="1:24">
      <c r="A134" s="6" t="s">
        <v>1589</v>
      </c>
      <c r="B134" t="s">
        <v>35</v>
      </c>
      <c r="C134" t="s">
        <v>1584</v>
      </c>
      <c r="D134" t="s">
        <v>678</v>
      </c>
      <c r="G134" t="s">
        <v>1443</v>
      </c>
      <c r="I134" t="s">
        <v>1444</v>
      </c>
      <c r="J134" t="s">
        <v>35</v>
      </c>
      <c r="K134" s="6" t="s">
        <v>1445</v>
      </c>
      <c r="L134" t="s">
        <v>148</v>
      </c>
      <c r="M134" t="s">
        <v>2826</v>
      </c>
      <c r="N134" t="b">
        <v>1</v>
      </c>
      <c r="O134" t="s">
        <v>2904</v>
      </c>
      <c r="Q134" t="b">
        <v>0</v>
      </c>
      <c r="R134" t="s">
        <v>149</v>
      </c>
      <c r="S134" t="s">
        <v>2896</v>
      </c>
      <c r="T134" cm="1">
        <f t="array" ref="T134">_xlfn.XLOOKUP(tblNotify[[#This Row],[person_id]],tblPeople[person_id],tblPeople[elements_exposed],"NOT FOUND")&amp;""</f>
        <v>0</v>
      </c>
      <c r="U134">
        <f>INDEX(tblPeople[elements_exposed],MATCH(tblNotify[[#This Row],[person_id]],tblPeople[person_id],0))&amp;""</f>
        <v>0</v>
      </c>
      <c r="V134">
        <f>_xlfn.TEXTJOIN(" ",TRUE,tblNotify[[#This Row],[first_name]],tblNotify[[#This Row],[middle_initial]],tblNotify[[#This Row],[last_name]],tblNotify[[#This Row],[name_suffix]])</f>
        <v>0</v>
      </c>
      <c r="W134" cm="1">
        <f t="array" ref="W13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34">
        <f>tblNotify[[#This Row],[status_xl]]=tblNotify[[#This Row],[notify_status]]</f>
        <v>0</v>
      </c>
    </row>
    <row r="135" spans="1:24">
      <c r="A135" s="6" t="s">
        <v>1599</v>
      </c>
      <c r="B135" t="s">
        <v>40</v>
      </c>
      <c r="C135" t="s">
        <v>1591</v>
      </c>
      <c r="D135" t="s">
        <v>678</v>
      </c>
      <c r="G135" t="s">
        <v>1592</v>
      </c>
      <c r="I135" t="s">
        <v>1593</v>
      </c>
      <c r="J135" t="s">
        <v>40</v>
      </c>
      <c r="K135" s="6" t="s">
        <v>1594</v>
      </c>
      <c r="L135" t="s">
        <v>148</v>
      </c>
      <c r="M135" t="s">
        <v>2826</v>
      </c>
      <c r="N135" t="b">
        <v>1</v>
      </c>
      <c r="O135" t="s">
        <v>2904</v>
      </c>
      <c r="Q135" t="b">
        <v>0</v>
      </c>
      <c r="R135" t="s">
        <v>205</v>
      </c>
      <c r="S135" t="s">
        <v>2896</v>
      </c>
      <c r="T135" cm="1">
        <f t="array" ref="T135">_xlfn.XLOOKUP(tblNotify[[#This Row],[person_id]],tblPeople[person_id],tblPeople[elements_exposed],"NOT FOUND")&amp;""</f>
        <v>0</v>
      </c>
      <c r="U135">
        <f>INDEX(tblPeople[elements_exposed],MATCH(tblNotify[[#This Row],[person_id]],tblPeople[person_id],0))&amp;""</f>
        <v>0</v>
      </c>
      <c r="V135">
        <f>_xlfn.TEXTJOIN(" ",TRUE,tblNotify[[#This Row],[first_name]],tblNotify[[#This Row],[middle_initial]],tblNotify[[#This Row],[last_name]],tblNotify[[#This Row],[name_suffix]])</f>
        <v>0</v>
      </c>
      <c r="W135" cm="1">
        <f t="array" ref="W13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35">
        <f>tblNotify[[#This Row],[status_xl]]=tblNotify[[#This Row],[notify_status]]</f>
        <v>0</v>
      </c>
    </row>
    <row r="136" spans="1:24">
      <c r="A136" s="6" t="s">
        <v>1609</v>
      </c>
      <c r="B136" t="s">
        <v>40</v>
      </c>
      <c r="C136" t="s">
        <v>1604</v>
      </c>
      <c r="D136" t="s">
        <v>1603</v>
      </c>
      <c r="E136" t="s">
        <v>178</v>
      </c>
      <c r="G136" t="s">
        <v>424</v>
      </c>
      <c r="I136" t="s">
        <v>425</v>
      </c>
      <c r="J136" t="s">
        <v>40</v>
      </c>
      <c r="K136" s="6" t="s">
        <v>426</v>
      </c>
      <c r="L136" t="s">
        <v>148</v>
      </c>
      <c r="M136" t="s">
        <v>2826</v>
      </c>
      <c r="N136" t="b">
        <v>1</v>
      </c>
      <c r="O136" t="s">
        <v>2904</v>
      </c>
      <c r="Q136" t="b">
        <v>0</v>
      </c>
      <c r="R136" t="s">
        <v>149</v>
      </c>
      <c r="S136" t="s">
        <v>2896</v>
      </c>
      <c r="T136" cm="1">
        <f t="array" ref="T136">_xlfn.XLOOKUP(tblNotify[[#This Row],[person_id]],tblPeople[person_id],tblPeople[elements_exposed],"NOT FOUND")&amp;""</f>
        <v>0</v>
      </c>
      <c r="U136">
        <f>INDEX(tblPeople[elements_exposed],MATCH(tblNotify[[#This Row],[person_id]],tblPeople[person_id],0))&amp;""</f>
        <v>0</v>
      </c>
      <c r="V136">
        <f>_xlfn.TEXTJOIN(" ",TRUE,tblNotify[[#This Row],[first_name]],tblNotify[[#This Row],[middle_initial]],tblNotify[[#This Row],[last_name]],tblNotify[[#This Row],[name_suffix]])</f>
        <v>0</v>
      </c>
      <c r="W136" cm="1">
        <f t="array" ref="W13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36">
        <f>tblNotify[[#This Row],[status_xl]]=tblNotify[[#This Row],[notify_status]]</f>
        <v>0</v>
      </c>
    </row>
    <row r="137" spans="1:24">
      <c r="A137" s="6" t="s">
        <v>1616</v>
      </c>
      <c r="B137" t="s">
        <v>33</v>
      </c>
      <c r="C137" t="s">
        <v>1611</v>
      </c>
      <c r="D137" t="s">
        <v>832</v>
      </c>
      <c r="E137" t="s">
        <v>212</v>
      </c>
      <c r="F137" t="s">
        <v>446</v>
      </c>
      <c r="G137" t="s">
        <v>548</v>
      </c>
      <c r="I137" t="s">
        <v>549</v>
      </c>
      <c r="J137" t="s">
        <v>33</v>
      </c>
      <c r="K137" s="6" t="s">
        <v>550</v>
      </c>
      <c r="L137" t="s">
        <v>148</v>
      </c>
      <c r="M137" t="s">
        <v>2826</v>
      </c>
      <c r="N137" t="b">
        <v>1</v>
      </c>
      <c r="O137" t="s">
        <v>2892</v>
      </c>
      <c r="Q137" t="b">
        <v>0</v>
      </c>
      <c r="R137" t="s">
        <v>149</v>
      </c>
      <c r="S137" t="s">
        <v>2896</v>
      </c>
      <c r="T137" cm="1">
        <f t="array" ref="T137">_xlfn.XLOOKUP(tblNotify[[#This Row],[person_id]],tblPeople[person_id],tblPeople[elements_exposed],"NOT FOUND")&amp;""</f>
        <v>0</v>
      </c>
      <c r="U137">
        <f>INDEX(tblPeople[elements_exposed],MATCH(tblNotify[[#This Row],[person_id]],tblPeople[person_id],0))&amp;""</f>
        <v>0</v>
      </c>
      <c r="V137">
        <f>_xlfn.TEXTJOIN(" ",TRUE,tblNotify[[#This Row],[first_name]],tblNotify[[#This Row],[middle_initial]],tblNotify[[#This Row],[last_name]],tblNotify[[#This Row],[name_suffix]])</f>
        <v>0</v>
      </c>
      <c r="W137" cm="1">
        <f t="array" ref="W13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37">
        <f>tblNotify[[#This Row],[status_xl]]=tblNotify[[#This Row],[notify_status]]</f>
        <v>0</v>
      </c>
    </row>
    <row r="138" spans="1:24">
      <c r="A138" s="6" t="s">
        <v>1626</v>
      </c>
      <c r="B138" t="s">
        <v>36</v>
      </c>
      <c r="C138" t="s">
        <v>547</v>
      </c>
      <c r="D138" t="s">
        <v>1622</v>
      </c>
      <c r="E138" t="s">
        <v>324</v>
      </c>
      <c r="G138" t="s">
        <v>1325</v>
      </c>
      <c r="I138" t="s">
        <v>1326</v>
      </c>
      <c r="J138" t="s">
        <v>36</v>
      </c>
      <c r="K138" s="6" t="s">
        <v>1327</v>
      </c>
      <c r="L138" t="s">
        <v>148</v>
      </c>
      <c r="M138" t="s">
        <v>2844</v>
      </c>
      <c r="N138" t="b">
        <v>1</v>
      </c>
      <c r="O138" t="s">
        <v>2904</v>
      </c>
      <c r="P138" t="s">
        <v>2919</v>
      </c>
      <c r="Q138" t="b">
        <v>1</v>
      </c>
      <c r="R138" t="s">
        <v>149</v>
      </c>
      <c r="S138" t="s">
        <v>2893</v>
      </c>
      <c r="T138" cm="1">
        <f t="array" ref="T138">_xlfn.XLOOKUP(tblNotify[[#This Row],[person_id]],tblPeople[person_id],tblPeople[elements_exposed],"NOT FOUND")&amp;""</f>
        <v>0</v>
      </c>
      <c r="U138">
        <f>INDEX(tblPeople[elements_exposed],MATCH(tblNotify[[#This Row],[person_id]],tblPeople[person_id],0))&amp;""</f>
        <v>0</v>
      </c>
      <c r="V138">
        <f>_xlfn.TEXTJOIN(" ",TRUE,tblNotify[[#This Row],[first_name]],tblNotify[[#This Row],[middle_initial]],tblNotify[[#This Row],[last_name]],tblNotify[[#This Row],[name_suffix]])</f>
        <v>0</v>
      </c>
      <c r="W138" cm="1">
        <f t="array" ref="W13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38">
        <f>tblNotify[[#This Row],[status_xl]]=tblNotify[[#This Row],[notify_status]]</f>
        <v>0</v>
      </c>
    </row>
    <row r="139" spans="1:24">
      <c r="A139" s="6" t="s">
        <v>1632</v>
      </c>
      <c r="B139" t="s">
        <v>37</v>
      </c>
      <c r="C139" t="s">
        <v>508</v>
      </c>
      <c r="D139" t="s">
        <v>1359</v>
      </c>
      <c r="E139" t="s">
        <v>163</v>
      </c>
      <c r="G139" t="s">
        <v>509</v>
      </c>
      <c r="I139" t="s">
        <v>510</v>
      </c>
      <c r="J139" t="s">
        <v>37</v>
      </c>
      <c r="K139" s="6" t="s">
        <v>511</v>
      </c>
      <c r="L139" t="s">
        <v>148</v>
      </c>
      <c r="M139" t="s">
        <v>2844</v>
      </c>
      <c r="N139" t="b">
        <v>1</v>
      </c>
      <c r="O139" t="s">
        <v>2892</v>
      </c>
      <c r="P139" t="s">
        <v>2920</v>
      </c>
      <c r="Q139" t="b">
        <v>1</v>
      </c>
      <c r="R139" t="s">
        <v>149</v>
      </c>
      <c r="S139" t="s">
        <v>2893</v>
      </c>
      <c r="T139" cm="1">
        <f t="array" ref="T139">_xlfn.XLOOKUP(tblNotify[[#This Row],[person_id]],tblPeople[person_id],tblPeople[elements_exposed],"NOT FOUND")&amp;""</f>
        <v>0</v>
      </c>
      <c r="U139">
        <f>INDEX(tblPeople[elements_exposed],MATCH(tblNotify[[#This Row],[person_id]],tblPeople[person_id],0))&amp;""</f>
        <v>0</v>
      </c>
      <c r="V139">
        <f>_xlfn.TEXTJOIN(" ",TRUE,tblNotify[[#This Row],[first_name]],tblNotify[[#This Row],[middle_initial]],tblNotify[[#This Row],[last_name]],tblNotify[[#This Row],[name_suffix]])</f>
        <v>0</v>
      </c>
      <c r="W139" cm="1">
        <f t="array" ref="W13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39">
        <f>tblNotify[[#This Row],[status_xl]]=tblNotify[[#This Row],[notify_status]]</f>
        <v>0</v>
      </c>
    </row>
    <row r="140" spans="1:24">
      <c r="A140" s="6" t="s">
        <v>1647</v>
      </c>
      <c r="B140" t="s">
        <v>33</v>
      </c>
      <c r="C140" t="s">
        <v>1640</v>
      </c>
      <c r="D140" t="s">
        <v>1638</v>
      </c>
      <c r="E140" t="s">
        <v>1639</v>
      </c>
      <c r="G140" t="s">
        <v>1641</v>
      </c>
      <c r="I140" t="s">
        <v>801</v>
      </c>
      <c r="J140" t="s">
        <v>33</v>
      </c>
      <c r="K140" s="6" t="s">
        <v>1642</v>
      </c>
      <c r="L140" t="s">
        <v>148</v>
      </c>
      <c r="M140" t="s">
        <v>2826</v>
      </c>
      <c r="N140" t="b">
        <v>1</v>
      </c>
      <c r="O140" t="s">
        <v>2892</v>
      </c>
      <c r="Q140" t="b">
        <v>0</v>
      </c>
      <c r="R140" t="s">
        <v>205</v>
      </c>
      <c r="S140" t="s">
        <v>2896</v>
      </c>
      <c r="T140" cm="1">
        <f t="array" ref="T140">_xlfn.XLOOKUP(tblNotify[[#This Row],[person_id]],tblPeople[person_id],tblPeople[elements_exposed],"NOT FOUND")&amp;""</f>
        <v>0</v>
      </c>
      <c r="U140">
        <f>INDEX(tblPeople[elements_exposed],MATCH(tblNotify[[#This Row],[person_id]],tblPeople[person_id],0))&amp;""</f>
        <v>0</v>
      </c>
      <c r="V140">
        <f>_xlfn.TEXTJOIN(" ",TRUE,tblNotify[[#This Row],[first_name]],tblNotify[[#This Row],[middle_initial]],tblNotify[[#This Row],[last_name]],tblNotify[[#This Row],[name_suffix]])</f>
        <v>0</v>
      </c>
      <c r="W140" cm="1">
        <f t="array" ref="W14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40">
        <f>tblNotify[[#This Row],[status_xl]]=tblNotify[[#This Row],[notify_status]]</f>
        <v>0</v>
      </c>
    </row>
    <row r="141" spans="1:24">
      <c r="A141" s="6" t="s">
        <v>1671</v>
      </c>
      <c r="B141" t="s">
        <v>39</v>
      </c>
      <c r="C141" t="s">
        <v>1663</v>
      </c>
      <c r="D141" t="s">
        <v>1662</v>
      </c>
      <c r="G141" t="s">
        <v>1664</v>
      </c>
      <c r="I141" t="s">
        <v>1665</v>
      </c>
      <c r="J141" t="s">
        <v>39</v>
      </c>
      <c r="K141" s="6" t="s">
        <v>1666</v>
      </c>
      <c r="L141" t="s">
        <v>148</v>
      </c>
      <c r="M141" t="s">
        <v>2826</v>
      </c>
      <c r="N141" t="b">
        <v>1</v>
      </c>
      <c r="O141" t="s">
        <v>2892</v>
      </c>
      <c r="Q141" t="b">
        <v>0</v>
      </c>
      <c r="R141" t="s">
        <v>205</v>
      </c>
      <c r="S141" t="s">
        <v>2896</v>
      </c>
      <c r="T141" cm="1">
        <f t="array" ref="T141">_xlfn.XLOOKUP(tblNotify[[#This Row],[person_id]],tblPeople[person_id],tblPeople[elements_exposed],"NOT FOUND")&amp;""</f>
        <v>0</v>
      </c>
      <c r="U141">
        <f>INDEX(tblPeople[elements_exposed],MATCH(tblNotify[[#This Row],[person_id]],tblPeople[person_id],0))&amp;""</f>
        <v>0</v>
      </c>
      <c r="V141">
        <f>_xlfn.TEXTJOIN(" ",TRUE,tblNotify[[#This Row],[first_name]],tblNotify[[#This Row],[middle_initial]],tblNotify[[#This Row],[last_name]],tblNotify[[#This Row],[name_suffix]])</f>
        <v>0</v>
      </c>
      <c r="W141" cm="1">
        <f t="array" ref="W14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41">
        <f>tblNotify[[#This Row],[status_xl]]=tblNotify[[#This Row],[notify_status]]</f>
        <v>0</v>
      </c>
    </row>
    <row r="142" spans="1:24">
      <c r="A142" s="6" t="s">
        <v>1679</v>
      </c>
      <c r="B142" t="s">
        <v>39</v>
      </c>
      <c r="C142" t="s">
        <v>248</v>
      </c>
      <c r="D142" t="s">
        <v>1675</v>
      </c>
      <c r="E142" t="s">
        <v>163</v>
      </c>
      <c r="G142" t="s">
        <v>250</v>
      </c>
      <c r="I142" t="s">
        <v>251</v>
      </c>
      <c r="J142" t="s">
        <v>39</v>
      </c>
      <c r="K142" s="6" t="s">
        <v>252</v>
      </c>
      <c r="L142" t="s">
        <v>148</v>
      </c>
      <c r="M142" t="s">
        <v>2844</v>
      </c>
      <c r="N142" t="b">
        <v>1</v>
      </c>
      <c r="O142" t="s">
        <v>2892</v>
      </c>
      <c r="P142" t="s">
        <v>2919</v>
      </c>
      <c r="Q142" t="b">
        <v>1</v>
      </c>
      <c r="R142" t="s">
        <v>149</v>
      </c>
      <c r="S142" t="s">
        <v>2893</v>
      </c>
      <c r="T142" cm="1">
        <f t="array" ref="T142">_xlfn.XLOOKUP(tblNotify[[#This Row],[person_id]],tblPeople[person_id],tblPeople[elements_exposed],"NOT FOUND")&amp;""</f>
        <v>0</v>
      </c>
      <c r="U142">
        <f>INDEX(tblPeople[elements_exposed],MATCH(tblNotify[[#This Row],[person_id]],tblPeople[person_id],0))&amp;""</f>
        <v>0</v>
      </c>
      <c r="V142">
        <f>_xlfn.TEXTJOIN(" ",TRUE,tblNotify[[#This Row],[first_name]],tblNotify[[#This Row],[middle_initial]],tblNotify[[#This Row],[last_name]],tblNotify[[#This Row],[name_suffix]])</f>
        <v>0</v>
      </c>
      <c r="W142" cm="1">
        <f t="array" ref="W14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42">
        <f>tblNotify[[#This Row],[status_xl]]=tblNotify[[#This Row],[notify_status]]</f>
        <v>0</v>
      </c>
    </row>
    <row r="143" spans="1:24">
      <c r="A143" s="6" t="s">
        <v>1690</v>
      </c>
      <c r="B143" t="s">
        <v>33</v>
      </c>
      <c r="C143" t="s">
        <v>1681</v>
      </c>
      <c r="D143" t="s">
        <v>258</v>
      </c>
      <c r="E143" t="s">
        <v>267</v>
      </c>
      <c r="G143" t="s">
        <v>1682</v>
      </c>
      <c r="I143" t="s">
        <v>1683</v>
      </c>
      <c r="J143" t="s">
        <v>33</v>
      </c>
      <c r="K143" s="6" t="s">
        <v>1684</v>
      </c>
      <c r="L143" t="s">
        <v>148</v>
      </c>
      <c r="M143" t="s">
        <v>2826</v>
      </c>
      <c r="N143" t="b">
        <v>1</v>
      </c>
      <c r="O143" t="s">
        <v>2892</v>
      </c>
      <c r="Q143" t="b">
        <v>0</v>
      </c>
      <c r="R143" t="s">
        <v>205</v>
      </c>
      <c r="S143" t="s">
        <v>2896</v>
      </c>
      <c r="T143" cm="1">
        <f t="array" ref="T143">_xlfn.XLOOKUP(tblNotify[[#This Row],[person_id]],tblPeople[person_id],tblPeople[elements_exposed],"NOT FOUND")&amp;""</f>
        <v>0</v>
      </c>
      <c r="U143">
        <f>INDEX(tblPeople[elements_exposed],MATCH(tblNotify[[#This Row],[person_id]],tblPeople[person_id],0))&amp;""</f>
        <v>0</v>
      </c>
      <c r="V143">
        <f>_xlfn.TEXTJOIN(" ",TRUE,tblNotify[[#This Row],[first_name]],tblNotify[[#This Row],[middle_initial]],tblNotify[[#This Row],[last_name]],tblNotify[[#This Row],[name_suffix]])</f>
        <v>0</v>
      </c>
      <c r="W143" cm="1">
        <f t="array" ref="W14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43">
        <f>tblNotify[[#This Row],[status_xl]]=tblNotify[[#This Row],[notify_status]]</f>
        <v>0</v>
      </c>
    </row>
    <row r="144" spans="1:24">
      <c r="A144" s="6" t="s">
        <v>1700</v>
      </c>
      <c r="B144" t="s">
        <v>37</v>
      </c>
      <c r="C144" t="s">
        <v>1692</v>
      </c>
      <c r="D144" t="s">
        <v>1215</v>
      </c>
      <c r="E144" t="s">
        <v>178</v>
      </c>
      <c r="G144" t="s">
        <v>1693</v>
      </c>
      <c r="I144" t="s">
        <v>1694</v>
      </c>
      <c r="J144" t="s">
        <v>37</v>
      </c>
      <c r="K144" s="6" t="s">
        <v>1695</v>
      </c>
      <c r="L144" t="s">
        <v>148</v>
      </c>
      <c r="M144" t="s">
        <v>2826</v>
      </c>
      <c r="N144" t="b">
        <v>1</v>
      </c>
      <c r="O144" t="s">
        <v>2892</v>
      </c>
      <c r="Q144" t="b">
        <v>0</v>
      </c>
      <c r="R144" t="s">
        <v>205</v>
      </c>
      <c r="S144" t="s">
        <v>2896</v>
      </c>
      <c r="T144" cm="1">
        <f t="array" ref="T144">_xlfn.XLOOKUP(tblNotify[[#This Row],[person_id]],tblPeople[person_id],tblPeople[elements_exposed],"NOT FOUND")&amp;""</f>
        <v>0</v>
      </c>
      <c r="U144">
        <f>INDEX(tblPeople[elements_exposed],MATCH(tblNotify[[#This Row],[person_id]],tblPeople[person_id],0))&amp;""</f>
        <v>0</v>
      </c>
      <c r="V144">
        <f>_xlfn.TEXTJOIN(" ",TRUE,tblNotify[[#This Row],[first_name]],tblNotify[[#This Row],[middle_initial]],tblNotify[[#This Row],[last_name]],tblNotify[[#This Row],[name_suffix]])</f>
        <v>0</v>
      </c>
      <c r="W144" cm="1">
        <f t="array" ref="W14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44">
        <f>tblNotify[[#This Row],[status_xl]]=tblNotify[[#This Row],[notify_status]]</f>
        <v>0</v>
      </c>
    </row>
    <row r="145" spans="1:24">
      <c r="A145" s="6" t="s">
        <v>1709</v>
      </c>
      <c r="B145" t="s">
        <v>33</v>
      </c>
      <c r="C145" t="s">
        <v>1702</v>
      </c>
      <c r="D145" t="s">
        <v>323</v>
      </c>
      <c r="E145" t="s">
        <v>1180</v>
      </c>
      <c r="G145" t="s">
        <v>1703</v>
      </c>
      <c r="I145" t="s">
        <v>1704</v>
      </c>
      <c r="J145" t="s">
        <v>33</v>
      </c>
      <c r="K145" s="6" t="s">
        <v>1705</v>
      </c>
      <c r="L145" t="s">
        <v>148</v>
      </c>
      <c r="M145" t="s">
        <v>2826</v>
      </c>
      <c r="N145" t="b">
        <v>1</v>
      </c>
      <c r="O145" t="s">
        <v>2892</v>
      </c>
      <c r="Q145" t="b">
        <v>0</v>
      </c>
      <c r="R145" t="s">
        <v>205</v>
      </c>
      <c r="S145" t="s">
        <v>2896</v>
      </c>
      <c r="T145" cm="1">
        <f t="array" ref="T145">_xlfn.XLOOKUP(tblNotify[[#This Row],[person_id]],tblPeople[person_id],tblPeople[elements_exposed],"NOT FOUND")&amp;""</f>
        <v>0</v>
      </c>
      <c r="U145">
        <f>INDEX(tblPeople[elements_exposed],MATCH(tblNotify[[#This Row],[person_id]],tblPeople[person_id],0))&amp;""</f>
        <v>0</v>
      </c>
      <c r="V145">
        <f>_xlfn.TEXTJOIN(" ",TRUE,tblNotify[[#This Row],[first_name]],tblNotify[[#This Row],[middle_initial]],tblNotify[[#This Row],[last_name]],tblNotify[[#This Row],[name_suffix]])</f>
        <v>0</v>
      </c>
      <c r="W145" cm="1">
        <f t="array" ref="W14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45">
        <f>tblNotify[[#This Row],[status_xl]]=tblNotify[[#This Row],[notify_status]]</f>
        <v>0</v>
      </c>
    </row>
    <row r="146" spans="1:24">
      <c r="A146" s="6" t="s">
        <v>1729</v>
      </c>
      <c r="B146" t="s">
        <v>37</v>
      </c>
      <c r="C146" t="s">
        <v>1724</v>
      </c>
      <c r="D146" t="s">
        <v>1603</v>
      </c>
      <c r="E146" t="s">
        <v>163</v>
      </c>
      <c r="G146" t="s">
        <v>215</v>
      </c>
      <c r="I146" t="s">
        <v>216</v>
      </c>
      <c r="J146" t="s">
        <v>37</v>
      </c>
      <c r="K146" s="6" t="s">
        <v>217</v>
      </c>
      <c r="L146" t="s">
        <v>148</v>
      </c>
      <c r="M146" t="s">
        <v>2826</v>
      </c>
      <c r="N146" t="b">
        <v>1</v>
      </c>
      <c r="O146" t="s">
        <v>2892</v>
      </c>
      <c r="Q146" t="b">
        <v>0</v>
      </c>
      <c r="R146" t="s">
        <v>149</v>
      </c>
      <c r="S146" t="s">
        <v>2896</v>
      </c>
      <c r="T146" cm="1">
        <f t="array" ref="T146">_xlfn.XLOOKUP(tblNotify[[#This Row],[person_id]],tblPeople[person_id],tblPeople[elements_exposed],"NOT FOUND")&amp;""</f>
        <v>0</v>
      </c>
      <c r="U146">
        <f>INDEX(tblPeople[elements_exposed],MATCH(tblNotify[[#This Row],[person_id]],tblPeople[person_id],0))&amp;""</f>
        <v>0</v>
      </c>
      <c r="V146">
        <f>_xlfn.TEXTJOIN(" ",TRUE,tblNotify[[#This Row],[first_name]],tblNotify[[#This Row],[middle_initial]],tblNotify[[#This Row],[last_name]],tblNotify[[#This Row],[name_suffix]])</f>
        <v>0</v>
      </c>
      <c r="W146" cm="1">
        <f t="array" ref="W14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46">
        <f>tblNotify[[#This Row],[status_xl]]=tblNotify[[#This Row],[notify_status]]</f>
        <v>0</v>
      </c>
    </row>
    <row r="147" spans="1:24">
      <c r="A147" s="6" t="s">
        <v>1738</v>
      </c>
      <c r="B147" t="s">
        <v>39</v>
      </c>
      <c r="C147" t="s">
        <v>1731</v>
      </c>
      <c r="D147" t="s">
        <v>1603</v>
      </c>
      <c r="E147" t="s">
        <v>163</v>
      </c>
      <c r="G147" t="s">
        <v>1732</v>
      </c>
      <c r="I147" t="s">
        <v>410</v>
      </c>
      <c r="J147" t="s">
        <v>39</v>
      </c>
      <c r="K147" s="6" t="s">
        <v>1733</v>
      </c>
      <c r="L147" t="s">
        <v>148</v>
      </c>
      <c r="M147" t="s">
        <v>2826</v>
      </c>
      <c r="N147" t="b">
        <v>1</v>
      </c>
      <c r="O147" t="s">
        <v>2892</v>
      </c>
      <c r="Q147" t="b">
        <v>0</v>
      </c>
      <c r="R147" t="s">
        <v>205</v>
      </c>
      <c r="S147" t="s">
        <v>2896</v>
      </c>
      <c r="T147" cm="1">
        <f t="array" ref="T147">_xlfn.XLOOKUP(tblNotify[[#This Row],[person_id]],tblPeople[person_id],tblPeople[elements_exposed],"NOT FOUND")&amp;""</f>
        <v>0</v>
      </c>
      <c r="U147">
        <f>INDEX(tblPeople[elements_exposed],MATCH(tblNotify[[#This Row],[person_id]],tblPeople[person_id],0))&amp;""</f>
        <v>0</v>
      </c>
      <c r="V147">
        <f>_xlfn.TEXTJOIN(" ",TRUE,tblNotify[[#This Row],[first_name]],tblNotify[[#This Row],[middle_initial]],tblNotify[[#This Row],[last_name]],tblNotify[[#This Row],[name_suffix]])</f>
        <v>0</v>
      </c>
      <c r="W147" cm="1">
        <f t="array" ref="W14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47">
        <f>tblNotify[[#This Row],[status_xl]]=tblNotify[[#This Row],[notify_status]]</f>
        <v>0</v>
      </c>
    </row>
    <row r="148" spans="1:24">
      <c r="A148" s="6" t="s">
        <v>1746</v>
      </c>
      <c r="B148" t="s">
        <v>37</v>
      </c>
      <c r="C148" t="s">
        <v>1741</v>
      </c>
      <c r="D148" t="s">
        <v>1740</v>
      </c>
      <c r="G148" t="s">
        <v>460</v>
      </c>
      <c r="I148" t="s">
        <v>461</v>
      </c>
      <c r="J148" t="s">
        <v>37</v>
      </c>
      <c r="K148" s="6" t="s">
        <v>462</v>
      </c>
      <c r="L148" t="s">
        <v>148</v>
      </c>
      <c r="M148" t="s">
        <v>2826</v>
      </c>
      <c r="N148" t="b">
        <v>1</v>
      </c>
      <c r="O148" t="s">
        <v>2892</v>
      </c>
      <c r="Q148" t="b">
        <v>0</v>
      </c>
      <c r="R148" t="s">
        <v>149</v>
      </c>
      <c r="S148" t="s">
        <v>2896</v>
      </c>
      <c r="T148" cm="1">
        <f t="array" ref="T148">_xlfn.XLOOKUP(tblNotify[[#This Row],[person_id]],tblPeople[person_id],tblPeople[elements_exposed],"NOT FOUND")&amp;""</f>
        <v>0</v>
      </c>
      <c r="U148">
        <f>INDEX(tblPeople[elements_exposed],MATCH(tblNotify[[#This Row],[person_id]],tblPeople[person_id],0))&amp;""</f>
        <v>0</v>
      </c>
      <c r="V148">
        <f>_xlfn.TEXTJOIN(" ",TRUE,tblNotify[[#This Row],[first_name]],tblNotify[[#This Row],[middle_initial]],tblNotify[[#This Row],[last_name]],tblNotify[[#This Row],[name_suffix]])</f>
        <v>0</v>
      </c>
      <c r="W148" cm="1">
        <f t="array" ref="W14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48">
        <f>tblNotify[[#This Row],[status_xl]]=tblNotify[[#This Row],[notify_status]]</f>
        <v>0</v>
      </c>
    </row>
    <row r="149" spans="1:24">
      <c r="A149" s="6" t="s">
        <v>1753</v>
      </c>
      <c r="B149" t="s">
        <v>35</v>
      </c>
      <c r="C149" t="s">
        <v>1748</v>
      </c>
      <c r="D149" t="s">
        <v>855</v>
      </c>
      <c r="G149" t="s">
        <v>498</v>
      </c>
      <c r="I149" t="s">
        <v>499</v>
      </c>
      <c r="J149" t="s">
        <v>35</v>
      </c>
      <c r="K149" s="6" t="s">
        <v>500</v>
      </c>
      <c r="L149" t="s">
        <v>148</v>
      </c>
      <c r="M149" t="s">
        <v>2826</v>
      </c>
      <c r="N149" t="b">
        <v>1</v>
      </c>
      <c r="O149" t="s">
        <v>2904</v>
      </c>
      <c r="Q149" t="b">
        <v>0</v>
      </c>
      <c r="R149" t="s">
        <v>149</v>
      </c>
      <c r="S149" t="s">
        <v>2896</v>
      </c>
      <c r="T149" cm="1">
        <f t="array" ref="T149">_xlfn.XLOOKUP(tblNotify[[#This Row],[person_id]],tblPeople[person_id],tblPeople[elements_exposed],"NOT FOUND")&amp;""</f>
        <v>0</v>
      </c>
      <c r="U149">
        <f>INDEX(tblPeople[elements_exposed],MATCH(tblNotify[[#This Row],[person_id]],tblPeople[person_id],0))&amp;""</f>
        <v>0</v>
      </c>
      <c r="V149">
        <f>_xlfn.TEXTJOIN(" ",TRUE,tblNotify[[#This Row],[first_name]],tblNotify[[#This Row],[middle_initial]],tblNotify[[#This Row],[last_name]],tblNotify[[#This Row],[name_suffix]])</f>
        <v>0</v>
      </c>
      <c r="W149" cm="1">
        <f t="array" ref="W14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49">
        <f>tblNotify[[#This Row],[status_xl]]=tblNotify[[#This Row],[notify_status]]</f>
        <v>0</v>
      </c>
    </row>
    <row r="150" spans="1:24">
      <c r="A150" s="6" t="s">
        <v>1766</v>
      </c>
      <c r="B150" t="s">
        <v>40</v>
      </c>
      <c r="C150" t="s">
        <v>1758</v>
      </c>
      <c r="D150" t="s">
        <v>331</v>
      </c>
      <c r="G150" t="s">
        <v>1759</v>
      </c>
      <c r="I150" t="s">
        <v>1760</v>
      </c>
      <c r="J150" t="s">
        <v>40</v>
      </c>
      <c r="K150" s="6" t="s">
        <v>1761</v>
      </c>
      <c r="L150" t="s">
        <v>148</v>
      </c>
      <c r="M150" t="s">
        <v>2826</v>
      </c>
      <c r="N150" t="b">
        <v>1</v>
      </c>
      <c r="O150" t="s">
        <v>2904</v>
      </c>
      <c r="Q150" t="b">
        <v>0</v>
      </c>
      <c r="R150" t="s">
        <v>205</v>
      </c>
      <c r="S150" t="s">
        <v>2896</v>
      </c>
      <c r="T150" cm="1">
        <f t="array" ref="T150">_xlfn.XLOOKUP(tblNotify[[#This Row],[person_id]],tblPeople[person_id],tblPeople[elements_exposed],"NOT FOUND")&amp;""</f>
        <v>0</v>
      </c>
      <c r="U150">
        <f>INDEX(tblPeople[elements_exposed],MATCH(tblNotify[[#This Row],[person_id]],tblPeople[person_id],0))&amp;""</f>
        <v>0</v>
      </c>
      <c r="V150">
        <f>_xlfn.TEXTJOIN(" ",TRUE,tblNotify[[#This Row],[first_name]],tblNotify[[#This Row],[middle_initial]],tblNotify[[#This Row],[last_name]],tblNotify[[#This Row],[name_suffix]])</f>
        <v>0</v>
      </c>
      <c r="W150" cm="1">
        <f t="array" ref="W15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50">
        <f>tblNotify[[#This Row],[status_xl]]=tblNotify[[#This Row],[notify_status]]</f>
        <v>0</v>
      </c>
    </row>
    <row r="151" spans="1:24">
      <c r="A151" s="6" t="s">
        <v>1779</v>
      </c>
      <c r="B151" t="s">
        <v>38</v>
      </c>
      <c r="C151" t="s">
        <v>1771</v>
      </c>
      <c r="D151" t="s">
        <v>1770</v>
      </c>
      <c r="G151" t="s">
        <v>1772</v>
      </c>
      <c r="I151" t="s">
        <v>1773</v>
      </c>
      <c r="J151" t="s">
        <v>38</v>
      </c>
      <c r="K151" s="6" t="s">
        <v>1774</v>
      </c>
      <c r="L151" t="s">
        <v>148</v>
      </c>
      <c r="M151" t="s">
        <v>2826</v>
      </c>
      <c r="N151" t="b">
        <v>1</v>
      </c>
      <c r="O151" t="s">
        <v>2892</v>
      </c>
      <c r="Q151" t="b">
        <v>0</v>
      </c>
      <c r="R151" t="s">
        <v>205</v>
      </c>
      <c r="S151" t="s">
        <v>2896</v>
      </c>
      <c r="T151" cm="1">
        <f t="array" ref="T151">_xlfn.XLOOKUP(tblNotify[[#This Row],[person_id]],tblPeople[person_id],tblPeople[elements_exposed],"NOT FOUND")&amp;""</f>
        <v>0</v>
      </c>
      <c r="U151">
        <f>INDEX(tblPeople[elements_exposed],MATCH(tblNotify[[#This Row],[person_id]],tblPeople[person_id],0))&amp;""</f>
        <v>0</v>
      </c>
      <c r="V151">
        <f>_xlfn.TEXTJOIN(" ",TRUE,tblNotify[[#This Row],[first_name]],tblNotify[[#This Row],[middle_initial]],tblNotify[[#This Row],[last_name]],tblNotify[[#This Row],[name_suffix]])</f>
        <v>0</v>
      </c>
      <c r="W151" cm="1">
        <f t="array" ref="W15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51">
        <f>tblNotify[[#This Row],[status_xl]]=tblNotify[[#This Row],[notify_status]]</f>
        <v>0</v>
      </c>
    </row>
    <row r="152" spans="1:24">
      <c r="A152" s="6" t="s">
        <v>1785</v>
      </c>
      <c r="B152" t="s">
        <v>39</v>
      </c>
      <c r="C152" t="s">
        <v>1781</v>
      </c>
      <c r="D152" t="s">
        <v>433</v>
      </c>
      <c r="E152" t="s">
        <v>259</v>
      </c>
      <c r="G152" t="s">
        <v>409</v>
      </c>
      <c r="I152" t="s">
        <v>410</v>
      </c>
      <c r="J152" t="s">
        <v>39</v>
      </c>
      <c r="K152" s="6" t="s">
        <v>411</v>
      </c>
      <c r="L152" t="s">
        <v>148</v>
      </c>
      <c r="M152" t="s">
        <v>2826</v>
      </c>
      <c r="N152" t="b">
        <v>1</v>
      </c>
      <c r="O152" t="s">
        <v>2892</v>
      </c>
      <c r="Q152" t="b">
        <v>0</v>
      </c>
      <c r="R152" t="s">
        <v>149</v>
      </c>
      <c r="S152" t="s">
        <v>2896</v>
      </c>
      <c r="T152" cm="1">
        <f t="array" ref="T152">_xlfn.XLOOKUP(tblNotify[[#This Row],[person_id]],tblPeople[person_id],tblPeople[elements_exposed],"NOT FOUND")&amp;""</f>
        <v>0</v>
      </c>
      <c r="U152">
        <f>INDEX(tblPeople[elements_exposed],MATCH(tblNotify[[#This Row],[person_id]],tblPeople[person_id],0))&amp;""</f>
        <v>0</v>
      </c>
      <c r="V152">
        <f>_xlfn.TEXTJOIN(" ",TRUE,tblNotify[[#This Row],[first_name]],tblNotify[[#This Row],[middle_initial]],tblNotify[[#This Row],[last_name]],tblNotify[[#This Row],[name_suffix]])</f>
        <v>0</v>
      </c>
      <c r="W152" cm="1">
        <f t="array" ref="W15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52">
        <f>tblNotify[[#This Row],[status_xl]]=tblNotify[[#This Row],[notify_status]]</f>
        <v>0</v>
      </c>
    </row>
    <row r="153" spans="1:24">
      <c r="A153" s="6" t="s">
        <v>1795</v>
      </c>
      <c r="B153" t="s">
        <v>39</v>
      </c>
      <c r="C153" t="s">
        <v>1788</v>
      </c>
      <c r="D153" t="s">
        <v>1787</v>
      </c>
      <c r="E153" t="s">
        <v>1180</v>
      </c>
      <c r="G153" t="s">
        <v>1789</v>
      </c>
      <c r="I153" t="s">
        <v>410</v>
      </c>
      <c r="J153" t="s">
        <v>39</v>
      </c>
      <c r="K153" s="6" t="s">
        <v>1790</v>
      </c>
      <c r="L153" t="s">
        <v>148</v>
      </c>
      <c r="M153" t="s">
        <v>2826</v>
      </c>
      <c r="N153" t="b">
        <v>1</v>
      </c>
      <c r="O153" t="s">
        <v>2892</v>
      </c>
      <c r="Q153" t="b">
        <v>0</v>
      </c>
      <c r="R153" t="s">
        <v>205</v>
      </c>
      <c r="S153" t="s">
        <v>2896</v>
      </c>
      <c r="T153" cm="1">
        <f t="array" ref="T153">_xlfn.XLOOKUP(tblNotify[[#This Row],[person_id]],tblPeople[person_id],tblPeople[elements_exposed],"NOT FOUND")&amp;""</f>
        <v>0</v>
      </c>
      <c r="U153">
        <f>INDEX(tblPeople[elements_exposed],MATCH(tblNotify[[#This Row],[person_id]],tblPeople[person_id],0))&amp;""</f>
        <v>0</v>
      </c>
      <c r="V153">
        <f>_xlfn.TEXTJOIN(" ",TRUE,tblNotify[[#This Row],[first_name]],tblNotify[[#This Row],[middle_initial]],tblNotify[[#This Row],[last_name]],tblNotify[[#This Row],[name_suffix]])</f>
        <v>0</v>
      </c>
      <c r="W153" cm="1">
        <f t="array" ref="W15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53">
        <f>tblNotify[[#This Row],[status_xl]]=tblNotify[[#This Row],[notify_status]]</f>
        <v>0</v>
      </c>
    </row>
    <row r="154" spans="1:24">
      <c r="A154" s="6" t="s">
        <v>1823</v>
      </c>
      <c r="B154" t="s">
        <v>33</v>
      </c>
      <c r="C154" t="s">
        <v>268</v>
      </c>
      <c r="D154" t="s">
        <v>1818</v>
      </c>
      <c r="G154" t="s">
        <v>269</v>
      </c>
      <c r="I154" t="s">
        <v>636</v>
      </c>
      <c r="J154" t="s">
        <v>33</v>
      </c>
      <c r="K154" s="6" t="s">
        <v>271</v>
      </c>
      <c r="L154" t="s">
        <v>148</v>
      </c>
      <c r="M154" t="s">
        <v>2844</v>
      </c>
      <c r="N154" t="b">
        <v>1</v>
      </c>
      <c r="O154" t="s">
        <v>2892</v>
      </c>
      <c r="P154" t="s">
        <v>2920</v>
      </c>
      <c r="Q154" t="b">
        <v>1</v>
      </c>
      <c r="R154" t="s">
        <v>149</v>
      </c>
      <c r="S154" t="s">
        <v>2896</v>
      </c>
      <c r="T154" cm="1">
        <f t="array" ref="T154">_xlfn.XLOOKUP(tblNotify[[#This Row],[person_id]],tblPeople[person_id],tblPeople[elements_exposed],"NOT FOUND")&amp;""</f>
        <v>0</v>
      </c>
      <c r="U154">
        <f>INDEX(tblPeople[elements_exposed],MATCH(tblNotify[[#This Row],[person_id]],tblPeople[person_id],0))&amp;""</f>
        <v>0</v>
      </c>
      <c r="V154">
        <f>_xlfn.TEXTJOIN(" ",TRUE,tblNotify[[#This Row],[first_name]],tblNotify[[#This Row],[middle_initial]],tblNotify[[#This Row],[last_name]],tblNotify[[#This Row],[name_suffix]])</f>
        <v>0</v>
      </c>
      <c r="W154" cm="1">
        <f t="array" ref="W15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54">
        <f>tblNotify[[#This Row],[status_xl]]=tblNotify[[#This Row],[notify_status]]</f>
        <v>0</v>
      </c>
    </row>
    <row r="155" spans="1:24">
      <c r="A155" s="6" t="s">
        <v>1829</v>
      </c>
      <c r="B155" t="s">
        <v>37</v>
      </c>
      <c r="C155" t="s">
        <v>601</v>
      </c>
      <c r="D155" t="s">
        <v>468</v>
      </c>
      <c r="E155" t="s">
        <v>1200</v>
      </c>
      <c r="G155" t="s">
        <v>509</v>
      </c>
      <c r="I155" t="s">
        <v>510</v>
      </c>
      <c r="J155" t="s">
        <v>37</v>
      </c>
      <c r="K155" s="6" t="s">
        <v>511</v>
      </c>
      <c r="L155" t="s">
        <v>148</v>
      </c>
      <c r="M155" t="s">
        <v>2826</v>
      </c>
      <c r="N155" t="b">
        <v>1</v>
      </c>
      <c r="O155" t="s">
        <v>2892</v>
      </c>
      <c r="Q155" t="b">
        <v>0</v>
      </c>
      <c r="R155" t="s">
        <v>149</v>
      </c>
      <c r="S155" t="s">
        <v>2896</v>
      </c>
      <c r="T155" cm="1">
        <f t="array" ref="T155">_xlfn.XLOOKUP(tblNotify[[#This Row],[person_id]],tblPeople[person_id],tblPeople[elements_exposed],"NOT FOUND")&amp;""</f>
        <v>0</v>
      </c>
      <c r="U155">
        <f>INDEX(tblPeople[elements_exposed],MATCH(tblNotify[[#This Row],[person_id]],tblPeople[person_id],0))&amp;""</f>
        <v>0</v>
      </c>
      <c r="V155">
        <f>_xlfn.TEXTJOIN(" ",TRUE,tblNotify[[#This Row],[first_name]],tblNotify[[#This Row],[middle_initial]],tblNotify[[#This Row],[last_name]],tblNotify[[#This Row],[name_suffix]])</f>
        <v>0</v>
      </c>
      <c r="W155" cm="1">
        <f t="array" ref="W15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55">
        <f>tblNotify[[#This Row],[status_xl]]=tblNotify[[#This Row],[notify_status]]</f>
        <v>0</v>
      </c>
    </row>
    <row r="156" spans="1:24">
      <c r="A156" s="6" t="s">
        <v>1844</v>
      </c>
      <c r="B156" t="s">
        <v>33</v>
      </c>
      <c r="C156" t="s">
        <v>1838</v>
      </c>
      <c r="D156" t="s">
        <v>1837</v>
      </c>
      <c r="E156" t="s">
        <v>142</v>
      </c>
      <c r="G156" t="s">
        <v>1839</v>
      </c>
      <c r="I156" t="s">
        <v>636</v>
      </c>
      <c r="J156" t="s">
        <v>33</v>
      </c>
      <c r="K156" s="6" t="s">
        <v>1010</v>
      </c>
      <c r="L156" t="s">
        <v>148</v>
      </c>
      <c r="M156" t="s">
        <v>2826</v>
      </c>
      <c r="N156" t="b">
        <v>1</v>
      </c>
      <c r="O156" t="s">
        <v>2892</v>
      </c>
      <c r="Q156" t="b">
        <v>0</v>
      </c>
      <c r="R156" t="s">
        <v>205</v>
      </c>
      <c r="S156" t="s">
        <v>2896</v>
      </c>
      <c r="T156" cm="1">
        <f t="array" ref="T156">_xlfn.XLOOKUP(tblNotify[[#This Row],[person_id]],tblPeople[person_id],tblPeople[elements_exposed],"NOT FOUND")&amp;""</f>
        <v>0</v>
      </c>
      <c r="U156">
        <f>INDEX(tblPeople[elements_exposed],MATCH(tblNotify[[#This Row],[person_id]],tblPeople[person_id],0))&amp;""</f>
        <v>0</v>
      </c>
      <c r="V156">
        <f>_xlfn.TEXTJOIN(" ",TRUE,tblNotify[[#This Row],[first_name]],tblNotify[[#This Row],[middle_initial]],tblNotify[[#This Row],[last_name]],tblNotify[[#This Row],[name_suffix]])</f>
        <v>0</v>
      </c>
      <c r="W156" cm="1">
        <f t="array" ref="W15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56">
        <f>tblNotify[[#This Row],[status_xl]]=tblNotify[[#This Row],[notify_status]]</f>
        <v>0</v>
      </c>
    </row>
    <row r="157" spans="1:24">
      <c r="A157" s="6" t="s">
        <v>1851</v>
      </c>
      <c r="B157" t="s">
        <v>34</v>
      </c>
      <c r="C157" t="s">
        <v>931</v>
      </c>
      <c r="D157" t="s">
        <v>1846</v>
      </c>
      <c r="E157" t="s">
        <v>224</v>
      </c>
      <c r="G157" t="s">
        <v>1278</v>
      </c>
      <c r="I157" t="s">
        <v>1279</v>
      </c>
      <c r="J157" t="s">
        <v>34</v>
      </c>
      <c r="K157" s="6" t="s">
        <v>1280</v>
      </c>
      <c r="L157" t="s">
        <v>148</v>
      </c>
      <c r="M157" t="s">
        <v>2826</v>
      </c>
      <c r="N157" t="b">
        <v>1</v>
      </c>
      <c r="O157" t="s">
        <v>2892</v>
      </c>
      <c r="Q157" t="b">
        <v>0</v>
      </c>
      <c r="R157" t="s">
        <v>149</v>
      </c>
      <c r="S157" t="s">
        <v>2896</v>
      </c>
      <c r="T157" cm="1">
        <f t="array" ref="T157">_xlfn.XLOOKUP(tblNotify[[#This Row],[person_id]],tblPeople[person_id],tblPeople[elements_exposed],"NOT FOUND")&amp;""</f>
        <v>0</v>
      </c>
      <c r="U157">
        <f>INDEX(tblPeople[elements_exposed],MATCH(tblNotify[[#This Row],[person_id]],tblPeople[person_id],0))&amp;""</f>
        <v>0</v>
      </c>
      <c r="V157">
        <f>_xlfn.TEXTJOIN(" ",TRUE,tblNotify[[#This Row],[first_name]],tblNotify[[#This Row],[middle_initial]],tblNotify[[#This Row],[last_name]],tblNotify[[#This Row],[name_suffix]])</f>
        <v>0</v>
      </c>
      <c r="W157" cm="1">
        <f t="array" ref="W15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57">
        <f>tblNotify[[#This Row],[status_xl]]=tblNotify[[#This Row],[notify_status]]</f>
        <v>0</v>
      </c>
    </row>
    <row r="158" spans="1:24">
      <c r="A158" s="6" t="s">
        <v>1868</v>
      </c>
      <c r="B158" t="s">
        <v>38</v>
      </c>
      <c r="C158" t="s">
        <v>1859</v>
      </c>
      <c r="D158" t="s">
        <v>1473</v>
      </c>
      <c r="G158" t="s">
        <v>1860</v>
      </c>
      <c r="I158" t="s">
        <v>1861</v>
      </c>
      <c r="J158" t="s">
        <v>38</v>
      </c>
      <c r="K158" s="6" t="s">
        <v>1862</v>
      </c>
      <c r="L158" t="s">
        <v>148</v>
      </c>
      <c r="M158" t="s">
        <v>2826</v>
      </c>
      <c r="N158" t="b">
        <v>1</v>
      </c>
      <c r="O158" t="s">
        <v>2892</v>
      </c>
      <c r="Q158" t="b">
        <v>0</v>
      </c>
      <c r="R158" t="s">
        <v>205</v>
      </c>
      <c r="S158" t="s">
        <v>2896</v>
      </c>
      <c r="T158" cm="1">
        <f t="array" ref="T158">_xlfn.XLOOKUP(tblNotify[[#This Row],[person_id]],tblPeople[person_id],tblPeople[elements_exposed],"NOT FOUND")&amp;""</f>
        <v>0</v>
      </c>
      <c r="U158">
        <f>INDEX(tblPeople[elements_exposed],MATCH(tblNotify[[#This Row],[person_id]],tblPeople[person_id],0))&amp;""</f>
        <v>0</v>
      </c>
      <c r="V158">
        <f>_xlfn.TEXTJOIN(" ",TRUE,tblNotify[[#This Row],[first_name]],tblNotify[[#This Row],[middle_initial]],tblNotify[[#This Row],[last_name]],tblNotify[[#This Row],[name_suffix]])</f>
        <v>0</v>
      </c>
      <c r="W158" cm="1">
        <f t="array" ref="W15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58">
        <f>tblNotify[[#This Row],[status_xl]]=tblNotify[[#This Row],[notify_status]]</f>
        <v>0</v>
      </c>
    </row>
    <row r="159" spans="1:24">
      <c r="A159" s="6" t="s">
        <v>1889</v>
      </c>
      <c r="B159" t="s">
        <v>40</v>
      </c>
      <c r="C159" t="s">
        <v>1884</v>
      </c>
      <c r="D159" t="s">
        <v>247</v>
      </c>
      <c r="E159" t="s">
        <v>324</v>
      </c>
      <c r="G159" t="s">
        <v>602</v>
      </c>
      <c r="I159" t="s">
        <v>603</v>
      </c>
      <c r="J159" t="s">
        <v>40</v>
      </c>
      <c r="K159" s="6" t="s">
        <v>604</v>
      </c>
      <c r="L159" t="s">
        <v>148</v>
      </c>
      <c r="M159" t="s">
        <v>2826</v>
      </c>
      <c r="N159" t="b">
        <v>1</v>
      </c>
      <c r="O159" t="s">
        <v>2904</v>
      </c>
      <c r="Q159" t="b">
        <v>0</v>
      </c>
      <c r="R159" t="s">
        <v>149</v>
      </c>
      <c r="S159" t="s">
        <v>2896</v>
      </c>
      <c r="T159" cm="1">
        <f t="array" ref="T159">_xlfn.XLOOKUP(tblNotify[[#This Row],[person_id]],tblPeople[person_id],tblPeople[elements_exposed],"NOT FOUND")&amp;""</f>
        <v>0</v>
      </c>
      <c r="U159">
        <f>INDEX(tblPeople[elements_exposed],MATCH(tblNotify[[#This Row],[person_id]],tblPeople[person_id],0))&amp;""</f>
        <v>0</v>
      </c>
      <c r="V159">
        <f>_xlfn.TEXTJOIN(" ",TRUE,tblNotify[[#This Row],[first_name]],tblNotify[[#This Row],[middle_initial]],tblNotify[[#This Row],[last_name]],tblNotify[[#This Row],[name_suffix]])</f>
        <v>0</v>
      </c>
      <c r="W159" cm="1">
        <f t="array" ref="W15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59">
        <f>tblNotify[[#This Row],[status_xl]]=tblNotify[[#This Row],[notify_status]]</f>
        <v>0</v>
      </c>
    </row>
    <row r="160" spans="1:24">
      <c r="A160" s="6" t="s">
        <v>1895</v>
      </c>
      <c r="B160" t="s">
        <v>38</v>
      </c>
      <c r="C160" t="s">
        <v>547</v>
      </c>
      <c r="D160" t="s">
        <v>1891</v>
      </c>
      <c r="G160" t="s">
        <v>1334</v>
      </c>
      <c r="I160" t="s">
        <v>1335</v>
      </c>
      <c r="J160" t="s">
        <v>38</v>
      </c>
      <c r="K160" s="6" t="s">
        <v>1336</v>
      </c>
      <c r="L160" t="s">
        <v>148</v>
      </c>
      <c r="M160" t="s">
        <v>2826</v>
      </c>
      <c r="N160" t="b">
        <v>1</v>
      </c>
      <c r="O160" t="s">
        <v>2892</v>
      </c>
      <c r="Q160" t="b">
        <v>0</v>
      </c>
      <c r="R160" t="s">
        <v>149</v>
      </c>
      <c r="S160" t="s">
        <v>2893</v>
      </c>
      <c r="T160" cm="1">
        <f t="array" ref="T160">_xlfn.XLOOKUP(tblNotify[[#This Row],[person_id]],tblPeople[person_id],tblPeople[elements_exposed],"NOT FOUND")&amp;""</f>
        <v>0</v>
      </c>
      <c r="U160">
        <f>INDEX(tblPeople[elements_exposed],MATCH(tblNotify[[#This Row],[person_id]],tblPeople[person_id],0))&amp;""</f>
        <v>0</v>
      </c>
      <c r="V160">
        <f>_xlfn.TEXTJOIN(" ",TRUE,tblNotify[[#This Row],[first_name]],tblNotify[[#This Row],[middle_initial]],tblNotify[[#This Row],[last_name]],tblNotify[[#This Row],[name_suffix]])</f>
        <v>0</v>
      </c>
      <c r="W160" cm="1">
        <f t="array" ref="W16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60">
        <f>tblNotify[[#This Row],[status_xl]]=tblNotify[[#This Row],[notify_status]]</f>
        <v>0</v>
      </c>
    </row>
    <row r="161" spans="1:24">
      <c r="A161" s="6" t="s">
        <v>1901</v>
      </c>
      <c r="B161" t="s">
        <v>37</v>
      </c>
      <c r="C161" t="s">
        <v>236</v>
      </c>
      <c r="D161" t="s">
        <v>1897</v>
      </c>
      <c r="G161" t="s">
        <v>237</v>
      </c>
      <c r="I161" t="s">
        <v>238</v>
      </c>
      <c r="J161" t="s">
        <v>37</v>
      </c>
      <c r="K161" s="6" t="s">
        <v>239</v>
      </c>
      <c r="L161" t="s">
        <v>148</v>
      </c>
      <c r="M161" t="s">
        <v>2844</v>
      </c>
      <c r="N161" t="b">
        <v>1</v>
      </c>
      <c r="O161" t="s">
        <v>2892</v>
      </c>
      <c r="P161" t="s">
        <v>2919</v>
      </c>
      <c r="Q161" t="b">
        <v>1</v>
      </c>
      <c r="R161" t="s">
        <v>149</v>
      </c>
      <c r="S161" t="s">
        <v>2893</v>
      </c>
      <c r="T161" cm="1">
        <f t="array" ref="T161">_xlfn.XLOOKUP(tblNotify[[#This Row],[person_id]],tblPeople[person_id],tblPeople[elements_exposed],"NOT FOUND")&amp;""</f>
        <v>0</v>
      </c>
      <c r="U161">
        <f>INDEX(tblPeople[elements_exposed],MATCH(tblNotify[[#This Row],[person_id]],tblPeople[person_id],0))&amp;""</f>
        <v>0</v>
      </c>
      <c r="V161">
        <f>_xlfn.TEXTJOIN(" ",TRUE,tblNotify[[#This Row],[first_name]],tblNotify[[#This Row],[middle_initial]],tblNotify[[#This Row],[last_name]],tblNotify[[#This Row],[name_suffix]])</f>
        <v>0</v>
      </c>
      <c r="W161" cm="1">
        <f t="array" ref="W16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61">
        <f>tblNotify[[#This Row],[status_xl]]=tblNotify[[#This Row],[notify_status]]</f>
        <v>0</v>
      </c>
    </row>
    <row r="162" spans="1:24">
      <c r="A162" s="6" t="s">
        <v>1907</v>
      </c>
      <c r="B162" t="s">
        <v>33</v>
      </c>
      <c r="C162" t="s">
        <v>988</v>
      </c>
      <c r="D162" t="s">
        <v>1209</v>
      </c>
      <c r="G162" t="s">
        <v>1160</v>
      </c>
      <c r="I162" t="s">
        <v>1161</v>
      </c>
      <c r="J162" t="s">
        <v>33</v>
      </c>
      <c r="K162" s="6" t="s">
        <v>1162</v>
      </c>
      <c r="L162" t="s">
        <v>148</v>
      </c>
      <c r="M162" t="s">
        <v>2826</v>
      </c>
      <c r="N162" t="b">
        <v>1</v>
      </c>
      <c r="O162" t="s">
        <v>2892</v>
      </c>
      <c r="Q162" t="b">
        <v>0</v>
      </c>
      <c r="R162" t="s">
        <v>205</v>
      </c>
      <c r="S162" t="s">
        <v>2896</v>
      </c>
      <c r="T162" cm="1">
        <f t="array" ref="T162">_xlfn.XLOOKUP(tblNotify[[#This Row],[person_id]],tblPeople[person_id],tblPeople[elements_exposed],"NOT FOUND")&amp;""</f>
        <v>0</v>
      </c>
      <c r="U162">
        <f>INDEX(tblPeople[elements_exposed],MATCH(tblNotify[[#This Row],[person_id]],tblPeople[person_id],0))&amp;""</f>
        <v>0</v>
      </c>
      <c r="V162">
        <f>_xlfn.TEXTJOIN(" ",TRUE,tblNotify[[#This Row],[first_name]],tblNotify[[#This Row],[middle_initial]],tblNotify[[#This Row],[last_name]],tblNotify[[#This Row],[name_suffix]])</f>
        <v>0</v>
      </c>
      <c r="W162" cm="1">
        <f t="array" ref="W16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62">
        <f>tblNotify[[#This Row],[status_xl]]=tblNotify[[#This Row],[notify_status]]</f>
        <v>0</v>
      </c>
    </row>
    <row r="163" spans="1:24">
      <c r="A163" s="6" t="s">
        <v>1924</v>
      </c>
      <c r="B163" t="s">
        <v>40</v>
      </c>
      <c r="C163" t="s">
        <v>1916</v>
      </c>
      <c r="D163" t="s">
        <v>1286</v>
      </c>
      <c r="E163" t="s">
        <v>142</v>
      </c>
      <c r="G163" t="s">
        <v>1917</v>
      </c>
      <c r="I163" t="s">
        <v>1918</v>
      </c>
      <c r="J163" t="s">
        <v>40</v>
      </c>
      <c r="K163" s="6" t="s">
        <v>1919</v>
      </c>
      <c r="L163" t="s">
        <v>148</v>
      </c>
      <c r="M163" t="s">
        <v>2826</v>
      </c>
      <c r="N163" t="b">
        <v>1</v>
      </c>
      <c r="O163" t="s">
        <v>2904</v>
      </c>
      <c r="Q163" t="b">
        <v>0</v>
      </c>
      <c r="R163" t="s">
        <v>205</v>
      </c>
      <c r="S163" t="s">
        <v>2896</v>
      </c>
      <c r="T163" cm="1">
        <f t="array" ref="T163">_xlfn.XLOOKUP(tblNotify[[#This Row],[person_id]],tblPeople[person_id],tblPeople[elements_exposed],"NOT FOUND")&amp;""</f>
        <v>0</v>
      </c>
      <c r="U163">
        <f>INDEX(tblPeople[elements_exposed],MATCH(tblNotify[[#This Row],[person_id]],tblPeople[person_id],0))&amp;""</f>
        <v>0</v>
      </c>
      <c r="V163">
        <f>_xlfn.TEXTJOIN(" ",TRUE,tblNotify[[#This Row],[first_name]],tblNotify[[#This Row],[middle_initial]],tblNotify[[#This Row],[last_name]],tblNotify[[#This Row],[name_suffix]])</f>
        <v>0</v>
      </c>
      <c r="W163" cm="1">
        <f t="array" ref="W16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63">
        <f>tblNotify[[#This Row],[status_xl]]=tblNotify[[#This Row],[notify_status]]</f>
        <v>0</v>
      </c>
    </row>
    <row r="164" spans="1:24">
      <c r="A164" s="6" t="s">
        <v>1929</v>
      </c>
      <c r="B164" t="s">
        <v>33</v>
      </c>
      <c r="C164" t="s">
        <v>547</v>
      </c>
      <c r="D164" t="s">
        <v>308</v>
      </c>
      <c r="E164" t="s">
        <v>299</v>
      </c>
      <c r="G164" t="s">
        <v>548</v>
      </c>
      <c r="I164" t="s">
        <v>549</v>
      </c>
      <c r="J164" t="s">
        <v>33</v>
      </c>
      <c r="K164" s="6" t="s">
        <v>550</v>
      </c>
      <c r="L164" t="s">
        <v>148</v>
      </c>
      <c r="M164" t="s">
        <v>2844</v>
      </c>
      <c r="N164" t="b">
        <v>1</v>
      </c>
      <c r="O164" t="s">
        <v>2892</v>
      </c>
      <c r="P164" t="s">
        <v>2920</v>
      </c>
      <c r="Q164" t="b">
        <v>1</v>
      </c>
      <c r="R164" t="s">
        <v>149</v>
      </c>
      <c r="S164" t="s">
        <v>2893</v>
      </c>
      <c r="T164" cm="1">
        <f t="array" ref="T164">_xlfn.XLOOKUP(tblNotify[[#This Row],[person_id]],tblPeople[person_id],tblPeople[elements_exposed],"NOT FOUND")&amp;""</f>
        <v>0</v>
      </c>
      <c r="U164">
        <f>INDEX(tblPeople[elements_exposed],MATCH(tblNotify[[#This Row],[person_id]],tblPeople[person_id],0))&amp;""</f>
        <v>0</v>
      </c>
      <c r="V164">
        <f>_xlfn.TEXTJOIN(" ",TRUE,tblNotify[[#This Row],[first_name]],tblNotify[[#This Row],[middle_initial]],tblNotify[[#This Row],[last_name]],tblNotify[[#This Row],[name_suffix]])</f>
        <v>0</v>
      </c>
      <c r="W164" cm="1">
        <f t="array" ref="W16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64">
        <f>tblNotify[[#This Row],[status_xl]]=tblNotify[[#This Row],[notify_status]]</f>
        <v>0</v>
      </c>
    </row>
    <row r="165" spans="1:24">
      <c r="A165" s="6" t="s">
        <v>2050</v>
      </c>
      <c r="B165" t="s">
        <v>37</v>
      </c>
      <c r="C165" t="s">
        <v>2042</v>
      </c>
      <c r="D165" t="s">
        <v>678</v>
      </c>
      <c r="E165" t="s">
        <v>212</v>
      </c>
      <c r="G165" t="s">
        <v>2043</v>
      </c>
      <c r="I165" t="s">
        <v>2044</v>
      </c>
      <c r="J165" t="s">
        <v>37</v>
      </c>
      <c r="K165" s="6" t="s">
        <v>2045</v>
      </c>
      <c r="L165" t="s">
        <v>148</v>
      </c>
      <c r="M165" t="s">
        <v>2882</v>
      </c>
      <c r="N165" t="b">
        <v>0</v>
      </c>
      <c r="P165" t="s">
        <v>2919</v>
      </c>
      <c r="Q165" t="b">
        <v>1</v>
      </c>
      <c r="R165" t="s">
        <v>205</v>
      </c>
      <c r="S165" t="s">
        <v>2918</v>
      </c>
      <c r="T165" cm="1">
        <f t="array" ref="T165">_xlfn.XLOOKUP(tblNotify[[#This Row],[person_id]],tblPeople[person_id],tblPeople[elements_exposed],"NOT FOUND")&amp;""</f>
        <v>0</v>
      </c>
      <c r="U165">
        <f>INDEX(tblPeople[elements_exposed],MATCH(tblNotify[[#This Row],[person_id]],tblPeople[person_id],0))&amp;""</f>
        <v>0</v>
      </c>
      <c r="V165">
        <f>_xlfn.TEXTJOIN(" ",TRUE,tblNotify[[#This Row],[first_name]],tblNotify[[#This Row],[middle_initial]],tblNotify[[#This Row],[last_name]],tblNotify[[#This Row],[name_suffix]])</f>
        <v>0</v>
      </c>
      <c r="W165" cm="1">
        <f t="array" ref="W16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65">
        <f>tblNotify[[#This Row],[status_xl]]=tblNotify[[#This Row],[notify_status]]</f>
        <v>0</v>
      </c>
    </row>
    <row r="166" spans="1:24">
      <c r="A166" s="6" t="s">
        <v>2056</v>
      </c>
      <c r="B166" t="s">
        <v>37</v>
      </c>
      <c r="C166" t="s">
        <v>2042</v>
      </c>
      <c r="D166" t="s">
        <v>2053</v>
      </c>
      <c r="G166" t="s">
        <v>2043</v>
      </c>
      <c r="I166" t="s">
        <v>2044</v>
      </c>
      <c r="J166" t="s">
        <v>37</v>
      </c>
      <c r="K166" s="6" t="s">
        <v>2045</v>
      </c>
      <c r="L166" t="s">
        <v>148</v>
      </c>
      <c r="N166" t="b">
        <v>0</v>
      </c>
      <c r="P166" t="s">
        <v>2921</v>
      </c>
      <c r="Q166" t="b">
        <v>0</v>
      </c>
      <c r="R166" t="s">
        <v>205</v>
      </c>
      <c r="S166" t="s">
        <v>2918</v>
      </c>
      <c r="T166" cm="1">
        <f t="array" ref="T166">_xlfn.XLOOKUP(tblNotify[[#This Row],[person_id]],tblPeople[person_id],tblPeople[elements_exposed],"NOT FOUND")&amp;""</f>
        <v>0</v>
      </c>
      <c r="U166">
        <f>INDEX(tblPeople[elements_exposed],MATCH(tblNotify[[#This Row],[person_id]],tblPeople[person_id],0))&amp;""</f>
        <v>0</v>
      </c>
      <c r="V166">
        <f>_xlfn.TEXTJOIN(" ",TRUE,tblNotify[[#This Row],[first_name]],tblNotify[[#This Row],[middle_initial]],tblNotify[[#This Row],[last_name]],tblNotify[[#This Row],[name_suffix]])</f>
        <v>0</v>
      </c>
      <c r="W166" cm="1">
        <f t="array" ref="W16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66">
        <f>tblNotify[[#This Row],[status_xl]]=tblNotify[[#This Row],[notify_status]]</f>
        <v>0</v>
      </c>
    </row>
    <row r="167" spans="1:24">
      <c r="A167" s="6" t="s">
        <v>2062</v>
      </c>
      <c r="B167" t="s">
        <v>38</v>
      </c>
      <c r="C167" t="s">
        <v>2058</v>
      </c>
      <c r="D167" t="s">
        <v>356</v>
      </c>
      <c r="E167" t="s">
        <v>1639</v>
      </c>
      <c r="G167" t="s">
        <v>2059</v>
      </c>
      <c r="I167" t="s">
        <v>471</v>
      </c>
      <c r="J167" t="s">
        <v>38</v>
      </c>
      <c r="K167" s="6" t="s">
        <v>2060</v>
      </c>
      <c r="L167" t="s">
        <v>148</v>
      </c>
      <c r="M167" t="s">
        <v>2882</v>
      </c>
      <c r="N167" t="b">
        <v>0</v>
      </c>
      <c r="P167" t="s">
        <v>2919</v>
      </c>
      <c r="Q167" t="b">
        <v>1</v>
      </c>
      <c r="R167" t="s">
        <v>205</v>
      </c>
      <c r="S167" t="s">
        <v>2918</v>
      </c>
      <c r="T167" cm="1">
        <f t="array" ref="T167">_xlfn.XLOOKUP(tblNotify[[#This Row],[person_id]],tblPeople[person_id],tblPeople[elements_exposed],"NOT FOUND")&amp;""</f>
        <v>0</v>
      </c>
      <c r="U167">
        <f>INDEX(tblPeople[elements_exposed],MATCH(tblNotify[[#This Row],[person_id]],tblPeople[person_id],0))&amp;""</f>
        <v>0</v>
      </c>
      <c r="V167">
        <f>_xlfn.TEXTJOIN(" ",TRUE,tblNotify[[#This Row],[first_name]],tblNotify[[#This Row],[middle_initial]],tblNotify[[#This Row],[last_name]],tblNotify[[#This Row],[name_suffix]])</f>
        <v>0</v>
      </c>
      <c r="W167" cm="1">
        <f t="array" ref="W16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67">
        <f>tblNotify[[#This Row],[status_xl]]=tblNotify[[#This Row],[notify_status]]</f>
        <v>0</v>
      </c>
    </row>
    <row r="168" spans="1:24">
      <c r="A168" s="6" t="s">
        <v>2066</v>
      </c>
      <c r="B168" t="s">
        <v>38</v>
      </c>
      <c r="C168" t="s">
        <v>2058</v>
      </c>
      <c r="D168" t="s">
        <v>2064</v>
      </c>
      <c r="G168" t="s">
        <v>2059</v>
      </c>
      <c r="I168" t="s">
        <v>471</v>
      </c>
      <c r="J168" t="s">
        <v>38</v>
      </c>
      <c r="K168" s="6" t="s">
        <v>2060</v>
      </c>
      <c r="L168" t="s">
        <v>148</v>
      </c>
      <c r="N168" t="b">
        <v>0</v>
      </c>
      <c r="P168" t="s">
        <v>2922</v>
      </c>
      <c r="Q168" t="b">
        <v>0</v>
      </c>
      <c r="R168" t="s">
        <v>205</v>
      </c>
      <c r="S168" t="s">
        <v>2918</v>
      </c>
      <c r="T168" cm="1">
        <f t="array" ref="T168">_xlfn.XLOOKUP(tblNotify[[#This Row],[person_id]],tblPeople[person_id],tblPeople[elements_exposed],"NOT FOUND")&amp;""</f>
        <v>0</v>
      </c>
      <c r="U168">
        <f>INDEX(tblPeople[elements_exposed],MATCH(tblNotify[[#This Row],[person_id]],tblPeople[person_id],0))&amp;""</f>
        <v>0</v>
      </c>
      <c r="V168">
        <f>_xlfn.TEXTJOIN(" ",TRUE,tblNotify[[#This Row],[first_name]],tblNotify[[#This Row],[middle_initial]],tblNotify[[#This Row],[last_name]],tblNotify[[#This Row],[name_suffix]])</f>
        <v>0</v>
      </c>
      <c r="W168" cm="1">
        <f t="array" ref="W16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68">
        <f>tblNotify[[#This Row],[status_xl]]=tblNotify[[#This Row],[notify_status]]</f>
        <v>0</v>
      </c>
    </row>
    <row r="169" spans="1:24">
      <c r="A169" s="6" t="s">
        <v>2073</v>
      </c>
      <c r="B169" t="s">
        <v>37</v>
      </c>
      <c r="C169" t="s">
        <v>508</v>
      </c>
      <c r="D169" t="s">
        <v>507</v>
      </c>
      <c r="G169" t="s">
        <v>509</v>
      </c>
      <c r="I169" t="s">
        <v>510</v>
      </c>
      <c r="J169" t="s">
        <v>37</v>
      </c>
      <c r="K169" s="6" t="s">
        <v>511</v>
      </c>
      <c r="L169" t="s">
        <v>148</v>
      </c>
      <c r="N169" t="b">
        <v>0</v>
      </c>
      <c r="P169" t="s">
        <v>2923</v>
      </c>
      <c r="Q169" t="b">
        <v>0</v>
      </c>
      <c r="R169" t="s">
        <v>149</v>
      </c>
      <c r="S169" t="s">
        <v>2918</v>
      </c>
      <c r="T169" cm="1">
        <f t="array" ref="T169">_xlfn.XLOOKUP(tblNotify[[#This Row],[person_id]],tblPeople[person_id],tblPeople[elements_exposed],"NOT FOUND")&amp;""</f>
        <v>0</v>
      </c>
      <c r="U169">
        <f>INDEX(tblPeople[elements_exposed],MATCH(tblNotify[[#This Row],[person_id]],tblPeople[person_id],0))&amp;""</f>
        <v>0</v>
      </c>
      <c r="V169">
        <f>_xlfn.TEXTJOIN(" ",TRUE,tblNotify[[#This Row],[first_name]],tblNotify[[#This Row],[middle_initial]],tblNotify[[#This Row],[last_name]],tblNotify[[#This Row],[name_suffix]])</f>
        <v>0</v>
      </c>
      <c r="W169" cm="1">
        <f t="array" ref="W16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69">
        <f>tblNotify[[#This Row],[status_xl]]=tblNotify[[#This Row],[notify_status]]</f>
        <v>0</v>
      </c>
    </row>
    <row r="170" spans="1:24">
      <c r="A170" s="6" t="s">
        <v>2080</v>
      </c>
      <c r="B170" t="s">
        <v>38</v>
      </c>
      <c r="C170" t="s">
        <v>143</v>
      </c>
      <c r="D170" t="s">
        <v>2075</v>
      </c>
      <c r="E170" t="s">
        <v>235</v>
      </c>
      <c r="G170" t="s">
        <v>2076</v>
      </c>
      <c r="I170" t="s">
        <v>2077</v>
      </c>
      <c r="J170" t="s">
        <v>38</v>
      </c>
      <c r="K170" s="6" t="s">
        <v>2078</v>
      </c>
      <c r="L170" t="s">
        <v>148</v>
      </c>
      <c r="M170" t="s">
        <v>2882</v>
      </c>
      <c r="N170" t="b">
        <v>0</v>
      </c>
      <c r="P170" t="s">
        <v>2919</v>
      </c>
      <c r="Q170" t="b">
        <v>1</v>
      </c>
      <c r="R170" t="s">
        <v>205</v>
      </c>
      <c r="S170" t="s">
        <v>2918</v>
      </c>
      <c r="T170" cm="1">
        <f t="array" ref="T170">_xlfn.XLOOKUP(tblNotify[[#This Row],[person_id]],tblPeople[person_id],tblPeople[elements_exposed],"NOT FOUND")&amp;""</f>
        <v>0</v>
      </c>
      <c r="U170">
        <f>INDEX(tblPeople[elements_exposed],MATCH(tblNotify[[#This Row],[person_id]],tblPeople[person_id],0))&amp;""</f>
        <v>0</v>
      </c>
      <c r="V170">
        <f>_xlfn.TEXTJOIN(" ",TRUE,tblNotify[[#This Row],[first_name]],tblNotify[[#This Row],[middle_initial]],tblNotify[[#This Row],[last_name]],tblNotify[[#This Row],[name_suffix]])</f>
        <v>0</v>
      </c>
      <c r="W170" cm="1">
        <f t="array" ref="W17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70">
        <f>tblNotify[[#This Row],[status_xl]]=tblNotify[[#This Row],[notify_status]]</f>
        <v>0</v>
      </c>
    </row>
    <row r="171" spans="1:24">
      <c r="A171" s="6" t="s">
        <v>2083</v>
      </c>
      <c r="B171" t="s">
        <v>38</v>
      </c>
      <c r="C171" t="s">
        <v>143</v>
      </c>
      <c r="D171" t="s">
        <v>1007</v>
      </c>
      <c r="G171" t="s">
        <v>2076</v>
      </c>
      <c r="I171" t="s">
        <v>2077</v>
      </c>
      <c r="J171" t="s">
        <v>38</v>
      </c>
      <c r="K171" s="6" t="s">
        <v>2078</v>
      </c>
      <c r="L171" t="s">
        <v>148</v>
      </c>
      <c r="N171" t="b">
        <v>0</v>
      </c>
      <c r="P171" t="s">
        <v>2924</v>
      </c>
      <c r="Q171" t="b">
        <v>0</v>
      </c>
      <c r="R171" t="s">
        <v>205</v>
      </c>
      <c r="S171" t="s">
        <v>2918</v>
      </c>
      <c r="T171" cm="1">
        <f t="array" ref="T171">_xlfn.XLOOKUP(tblNotify[[#This Row],[person_id]],tblPeople[person_id],tblPeople[elements_exposed],"NOT FOUND")&amp;""</f>
        <v>0</v>
      </c>
      <c r="U171">
        <f>INDEX(tblPeople[elements_exposed],MATCH(tblNotify[[#This Row],[person_id]],tblPeople[person_id],0))&amp;""</f>
        <v>0</v>
      </c>
      <c r="V171">
        <f>_xlfn.TEXTJOIN(" ",TRUE,tblNotify[[#This Row],[first_name]],tblNotify[[#This Row],[middle_initial]],tblNotify[[#This Row],[last_name]],tblNotify[[#This Row],[name_suffix]])</f>
        <v>0</v>
      </c>
      <c r="W171" cm="1">
        <f t="array" ref="W17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71">
        <f>tblNotify[[#This Row],[status_xl]]=tblNotify[[#This Row],[notify_status]]</f>
        <v>0</v>
      </c>
    </row>
    <row r="172" spans="1:24">
      <c r="A172" s="6" t="s">
        <v>2088</v>
      </c>
      <c r="B172" t="s">
        <v>33</v>
      </c>
      <c r="C172" t="s">
        <v>2085</v>
      </c>
      <c r="D172" t="s">
        <v>1324</v>
      </c>
      <c r="E172" t="s">
        <v>142</v>
      </c>
      <c r="G172" t="s">
        <v>333</v>
      </c>
      <c r="I172" t="s">
        <v>334</v>
      </c>
      <c r="J172" t="s">
        <v>33</v>
      </c>
      <c r="K172" s="6" t="s">
        <v>335</v>
      </c>
      <c r="L172" t="s">
        <v>148</v>
      </c>
      <c r="M172" t="s">
        <v>2882</v>
      </c>
      <c r="N172" t="b">
        <v>0</v>
      </c>
      <c r="P172" t="s">
        <v>2919</v>
      </c>
      <c r="Q172" t="b">
        <v>1</v>
      </c>
      <c r="R172" t="s">
        <v>149</v>
      </c>
      <c r="S172" t="s">
        <v>2918</v>
      </c>
      <c r="T172" cm="1">
        <f t="array" ref="T172">_xlfn.XLOOKUP(tblNotify[[#This Row],[person_id]],tblPeople[person_id],tblPeople[elements_exposed],"NOT FOUND")&amp;""</f>
        <v>0</v>
      </c>
      <c r="U172">
        <f>INDEX(tblPeople[elements_exposed],MATCH(tblNotify[[#This Row],[person_id]],tblPeople[person_id],0))&amp;""</f>
        <v>0</v>
      </c>
      <c r="V172">
        <f>_xlfn.TEXTJOIN(" ",TRUE,tblNotify[[#This Row],[first_name]],tblNotify[[#This Row],[middle_initial]],tblNotify[[#This Row],[last_name]],tblNotify[[#This Row],[name_suffix]])</f>
        <v>0</v>
      </c>
      <c r="W172" cm="1">
        <f t="array" ref="W17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72">
        <f>tblNotify[[#This Row],[status_xl]]=tblNotify[[#This Row],[notify_status]]</f>
        <v>0</v>
      </c>
    </row>
    <row r="173" spans="1:24">
      <c r="A173" s="6" t="s">
        <v>2091</v>
      </c>
      <c r="B173" t="s">
        <v>33</v>
      </c>
      <c r="C173" t="s">
        <v>2085</v>
      </c>
      <c r="D173" t="s">
        <v>1390</v>
      </c>
      <c r="G173" t="s">
        <v>333</v>
      </c>
      <c r="I173" t="s">
        <v>334</v>
      </c>
      <c r="J173" t="s">
        <v>33</v>
      </c>
      <c r="K173" s="6" t="s">
        <v>335</v>
      </c>
      <c r="L173" t="s">
        <v>148</v>
      </c>
      <c r="N173" t="b">
        <v>0</v>
      </c>
      <c r="P173" t="s">
        <v>2925</v>
      </c>
      <c r="Q173" t="b">
        <v>0</v>
      </c>
      <c r="R173" t="s">
        <v>149</v>
      </c>
      <c r="S173" t="s">
        <v>2918</v>
      </c>
      <c r="T173" cm="1">
        <f t="array" ref="T173">_xlfn.XLOOKUP(tblNotify[[#This Row],[person_id]],tblPeople[person_id],tblPeople[elements_exposed],"NOT FOUND")&amp;""</f>
        <v>0</v>
      </c>
      <c r="U173">
        <f>INDEX(tblPeople[elements_exposed],MATCH(tblNotify[[#This Row],[person_id]],tblPeople[person_id],0))&amp;""</f>
        <v>0</v>
      </c>
      <c r="V173">
        <f>_xlfn.TEXTJOIN(" ",TRUE,tblNotify[[#This Row],[first_name]],tblNotify[[#This Row],[middle_initial]],tblNotify[[#This Row],[last_name]],tblNotify[[#This Row],[name_suffix]])</f>
        <v>0</v>
      </c>
      <c r="W173" cm="1">
        <f t="array" ref="W17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73">
        <f>tblNotify[[#This Row],[status_xl]]=tblNotify[[#This Row],[notify_status]]</f>
        <v>0</v>
      </c>
    </row>
    <row r="174" spans="1:24">
      <c r="A174" s="6" t="s">
        <v>2095</v>
      </c>
      <c r="B174" t="s">
        <v>33</v>
      </c>
      <c r="C174" t="s">
        <v>268</v>
      </c>
      <c r="D174" t="s">
        <v>266</v>
      </c>
      <c r="G174" t="s">
        <v>269</v>
      </c>
      <c r="I174" t="s">
        <v>636</v>
      </c>
      <c r="J174" t="s">
        <v>33</v>
      </c>
      <c r="K174" s="6" t="s">
        <v>271</v>
      </c>
      <c r="L174" t="s">
        <v>148</v>
      </c>
      <c r="N174" t="b">
        <v>0</v>
      </c>
      <c r="P174" t="s">
        <v>2926</v>
      </c>
      <c r="Q174" t="b">
        <v>0</v>
      </c>
      <c r="R174" t="s">
        <v>149</v>
      </c>
      <c r="S174" t="s">
        <v>2918</v>
      </c>
      <c r="T174" cm="1">
        <f t="array" ref="T174">_xlfn.XLOOKUP(tblNotify[[#This Row],[person_id]],tblPeople[person_id],tblPeople[elements_exposed],"NOT FOUND")&amp;""</f>
        <v>0</v>
      </c>
      <c r="U174">
        <f>INDEX(tblPeople[elements_exposed],MATCH(tblNotify[[#This Row],[person_id]],tblPeople[person_id],0))&amp;""</f>
        <v>0</v>
      </c>
      <c r="V174">
        <f>_xlfn.TEXTJOIN(" ",TRUE,tblNotify[[#This Row],[first_name]],tblNotify[[#This Row],[middle_initial]],tblNotify[[#This Row],[last_name]],tblNotify[[#This Row],[name_suffix]])</f>
        <v>0</v>
      </c>
      <c r="W174" cm="1">
        <f t="array" ref="W17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74">
        <f>tblNotify[[#This Row],[status_xl]]=tblNotify[[#This Row],[notify_status]]</f>
        <v>0</v>
      </c>
    </row>
    <row r="175" spans="1:24">
      <c r="A175" s="6" t="s">
        <v>2101</v>
      </c>
      <c r="B175" t="s">
        <v>36</v>
      </c>
      <c r="C175" t="s">
        <v>547</v>
      </c>
      <c r="D175" t="s">
        <v>1324</v>
      </c>
      <c r="G175" t="s">
        <v>1325</v>
      </c>
      <c r="I175" t="s">
        <v>1326</v>
      </c>
      <c r="J175" t="s">
        <v>36</v>
      </c>
      <c r="K175" s="6" t="s">
        <v>1327</v>
      </c>
      <c r="L175" t="s">
        <v>148</v>
      </c>
      <c r="N175" t="b">
        <v>0</v>
      </c>
      <c r="P175" t="s">
        <v>2927</v>
      </c>
      <c r="Q175" t="b">
        <v>0</v>
      </c>
      <c r="R175" t="s">
        <v>149</v>
      </c>
      <c r="S175" t="s">
        <v>2918</v>
      </c>
      <c r="T175" cm="1">
        <f t="array" ref="T175">_xlfn.XLOOKUP(tblNotify[[#This Row],[person_id]],tblPeople[person_id],tblPeople[elements_exposed],"NOT FOUND")&amp;""</f>
        <v>0</v>
      </c>
      <c r="U175">
        <f>INDEX(tblPeople[elements_exposed],MATCH(tblNotify[[#This Row],[person_id]],tblPeople[person_id],0))&amp;""</f>
        <v>0</v>
      </c>
      <c r="V175">
        <f>_xlfn.TEXTJOIN(" ",TRUE,tblNotify[[#This Row],[first_name]],tblNotify[[#This Row],[middle_initial]],tblNotify[[#This Row],[last_name]],tblNotify[[#This Row],[name_suffix]])</f>
        <v>0</v>
      </c>
      <c r="W175" cm="1">
        <f t="array" ref="W17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75">
        <f>tblNotify[[#This Row],[status_xl]]=tblNotify[[#This Row],[notify_status]]</f>
        <v>0</v>
      </c>
    </row>
    <row r="176" spans="1:24">
      <c r="A176" s="6" t="s">
        <v>2108</v>
      </c>
      <c r="B176" t="s">
        <v>39</v>
      </c>
      <c r="C176" t="s">
        <v>2103</v>
      </c>
      <c r="D176" t="s">
        <v>1421</v>
      </c>
      <c r="E176" t="s">
        <v>142</v>
      </c>
      <c r="G176" t="s">
        <v>2104</v>
      </c>
      <c r="I176" t="s">
        <v>2105</v>
      </c>
      <c r="J176" t="s">
        <v>39</v>
      </c>
      <c r="K176" s="6" t="s">
        <v>2106</v>
      </c>
      <c r="L176" t="s">
        <v>148</v>
      </c>
      <c r="M176" t="s">
        <v>2882</v>
      </c>
      <c r="N176" t="b">
        <v>0</v>
      </c>
      <c r="P176" t="s">
        <v>2919</v>
      </c>
      <c r="Q176" t="b">
        <v>1</v>
      </c>
      <c r="R176" t="s">
        <v>205</v>
      </c>
      <c r="S176" t="s">
        <v>2918</v>
      </c>
      <c r="T176" cm="1">
        <f t="array" ref="T176">_xlfn.XLOOKUP(tblNotify[[#This Row],[person_id]],tblPeople[person_id],tblPeople[elements_exposed],"NOT FOUND")&amp;""</f>
        <v>0</v>
      </c>
      <c r="U176">
        <f>INDEX(tblPeople[elements_exposed],MATCH(tblNotify[[#This Row],[person_id]],tblPeople[person_id],0))&amp;""</f>
        <v>0</v>
      </c>
      <c r="V176">
        <f>_xlfn.TEXTJOIN(" ",TRUE,tblNotify[[#This Row],[first_name]],tblNotify[[#This Row],[middle_initial]],tblNotify[[#This Row],[last_name]],tblNotify[[#This Row],[name_suffix]])</f>
        <v>0</v>
      </c>
      <c r="W176" cm="1">
        <f t="array" ref="W17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76">
        <f>tblNotify[[#This Row],[status_xl]]=tblNotify[[#This Row],[notify_status]]</f>
        <v>0</v>
      </c>
    </row>
    <row r="177" spans="1:24">
      <c r="A177" s="6" t="s">
        <v>2111</v>
      </c>
      <c r="B177" t="s">
        <v>39</v>
      </c>
      <c r="C177" t="s">
        <v>2103</v>
      </c>
      <c r="D177" t="s">
        <v>1622</v>
      </c>
      <c r="G177" t="s">
        <v>2104</v>
      </c>
      <c r="I177" t="s">
        <v>2105</v>
      </c>
      <c r="J177" t="s">
        <v>39</v>
      </c>
      <c r="K177" s="6" t="s">
        <v>2106</v>
      </c>
      <c r="L177" t="s">
        <v>148</v>
      </c>
      <c r="N177" t="b">
        <v>0</v>
      </c>
      <c r="P177" t="s">
        <v>2928</v>
      </c>
      <c r="Q177" t="b">
        <v>0</v>
      </c>
      <c r="R177" t="s">
        <v>205</v>
      </c>
      <c r="S177" t="s">
        <v>2918</v>
      </c>
      <c r="T177" cm="1">
        <f t="array" ref="T177">_xlfn.XLOOKUP(tblNotify[[#This Row],[person_id]],tblPeople[person_id],tblPeople[elements_exposed],"NOT FOUND")&amp;""</f>
        <v>0</v>
      </c>
      <c r="U177">
        <f>INDEX(tblPeople[elements_exposed],MATCH(tblNotify[[#This Row],[person_id]],tblPeople[person_id],0))&amp;""</f>
        <v>0</v>
      </c>
      <c r="V177">
        <f>_xlfn.TEXTJOIN(" ",TRUE,tblNotify[[#This Row],[first_name]],tblNotify[[#This Row],[middle_initial]],tblNotify[[#This Row],[last_name]],tblNotify[[#This Row],[name_suffix]])</f>
        <v>0</v>
      </c>
      <c r="W177" cm="1">
        <f t="array" ref="W17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77">
        <f>tblNotify[[#This Row],[status_xl]]=tblNotify[[#This Row],[notify_status]]</f>
        <v>0</v>
      </c>
    </row>
    <row r="178" spans="1:24">
      <c r="A178" s="6" t="s">
        <v>2117</v>
      </c>
      <c r="B178" t="s">
        <v>34</v>
      </c>
      <c r="C178" t="s">
        <v>315</v>
      </c>
      <c r="D178" t="s">
        <v>776</v>
      </c>
      <c r="G178" t="s">
        <v>2113</v>
      </c>
      <c r="I178" t="s">
        <v>2114</v>
      </c>
      <c r="J178" t="s">
        <v>34</v>
      </c>
      <c r="K178" s="6" t="s">
        <v>2115</v>
      </c>
      <c r="L178" t="s">
        <v>148</v>
      </c>
      <c r="M178" t="s">
        <v>2882</v>
      </c>
      <c r="N178" t="b">
        <v>0</v>
      </c>
      <c r="P178" t="s">
        <v>2919</v>
      </c>
      <c r="Q178" t="b">
        <v>1</v>
      </c>
      <c r="R178" t="s">
        <v>205</v>
      </c>
      <c r="S178" t="s">
        <v>2918</v>
      </c>
      <c r="T178" cm="1">
        <f t="array" ref="T178">_xlfn.XLOOKUP(tblNotify[[#This Row],[person_id]],tblPeople[person_id],tblPeople[elements_exposed],"NOT FOUND")&amp;""</f>
        <v>0</v>
      </c>
      <c r="U178">
        <f>INDEX(tblPeople[elements_exposed],MATCH(tblNotify[[#This Row],[person_id]],tblPeople[person_id],0))&amp;""</f>
        <v>0</v>
      </c>
      <c r="V178">
        <f>_xlfn.TEXTJOIN(" ",TRUE,tblNotify[[#This Row],[first_name]],tblNotify[[#This Row],[middle_initial]],tblNotify[[#This Row],[last_name]],tblNotify[[#This Row],[name_suffix]])</f>
        <v>0</v>
      </c>
      <c r="W178" cm="1">
        <f t="array" ref="W17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78">
        <f>tblNotify[[#This Row],[status_xl]]=tblNotify[[#This Row],[notify_status]]</f>
        <v>0</v>
      </c>
    </row>
    <row r="179" spans="1:24">
      <c r="A179" s="6" t="s">
        <v>2121</v>
      </c>
      <c r="B179" t="s">
        <v>34</v>
      </c>
      <c r="C179" t="s">
        <v>315</v>
      </c>
      <c r="D179" t="s">
        <v>2119</v>
      </c>
      <c r="G179" t="s">
        <v>2113</v>
      </c>
      <c r="I179" t="s">
        <v>2114</v>
      </c>
      <c r="J179" t="s">
        <v>34</v>
      </c>
      <c r="K179" s="6" t="s">
        <v>2115</v>
      </c>
      <c r="L179" t="s">
        <v>148</v>
      </c>
      <c r="N179" t="b">
        <v>0</v>
      </c>
      <c r="P179" t="s">
        <v>2929</v>
      </c>
      <c r="Q179" t="b">
        <v>0</v>
      </c>
      <c r="R179" t="s">
        <v>205</v>
      </c>
      <c r="S179" t="s">
        <v>2918</v>
      </c>
      <c r="T179" cm="1">
        <f t="array" ref="T179">_xlfn.XLOOKUP(tblNotify[[#This Row],[person_id]],tblPeople[person_id],tblPeople[elements_exposed],"NOT FOUND")&amp;""</f>
        <v>0</v>
      </c>
      <c r="U179">
        <f>INDEX(tblPeople[elements_exposed],MATCH(tblNotify[[#This Row],[person_id]],tblPeople[person_id],0))&amp;""</f>
        <v>0</v>
      </c>
      <c r="V179">
        <f>_xlfn.TEXTJOIN(" ",TRUE,tblNotify[[#This Row],[first_name]],tblNotify[[#This Row],[middle_initial]],tblNotify[[#This Row],[last_name]],tblNotify[[#This Row],[name_suffix]])</f>
        <v>0</v>
      </c>
      <c r="W179" cm="1">
        <f t="array" ref="W17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79">
        <f>tblNotify[[#This Row],[status_xl]]=tblNotify[[#This Row],[notify_status]]</f>
        <v>0</v>
      </c>
    </row>
    <row r="180" spans="1:24">
      <c r="A180" s="6" t="s">
        <v>2126</v>
      </c>
      <c r="B180" t="s">
        <v>38</v>
      </c>
      <c r="C180" t="s">
        <v>2124</v>
      </c>
      <c r="D180" t="s">
        <v>2123</v>
      </c>
      <c r="E180" t="s">
        <v>142</v>
      </c>
      <c r="G180" t="s">
        <v>395</v>
      </c>
      <c r="I180" t="s">
        <v>396</v>
      </c>
      <c r="J180" t="s">
        <v>38</v>
      </c>
      <c r="K180" s="6" t="s">
        <v>397</v>
      </c>
      <c r="L180" t="s">
        <v>148</v>
      </c>
      <c r="M180" t="s">
        <v>2882</v>
      </c>
      <c r="N180" t="b">
        <v>0</v>
      </c>
      <c r="P180" t="s">
        <v>2919</v>
      </c>
      <c r="Q180" t="b">
        <v>1</v>
      </c>
      <c r="R180" t="s">
        <v>149</v>
      </c>
      <c r="S180" t="s">
        <v>2918</v>
      </c>
      <c r="T180" cm="1">
        <f t="array" ref="T180">_xlfn.XLOOKUP(tblNotify[[#This Row],[person_id]],tblPeople[person_id],tblPeople[elements_exposed],"NOT FOUND")&amp;""</f>
        <v>0</v>
      </c>
      <c r="U180">
        <f>INDEX(tblPeople[elements_exposed],MATCH(tblNotify[[#This Row],[person_id]],tblPeople[person_id],0))&amp;""</f>
        <v>0</v>
      </c>
      <c r="V180">
        <f>_xlfn.TEXTJOIN(" ",TRUE,tblNotify[[#This Row],[first_name]],tblNotify[[#This Row],[middle_initial]],tblNotify[[#This Row],[last_name]],tblNotify[[#This Row],[name_suffix]])</f>
        <v>0</v>
      </c>
      <c r="W180" cm="1">
        <f t="array" ref="W18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80">
        <f>tblNotify[[#This Row],[status_xl]]=tblNotify[[#This Row],[notify_status]]</f>
        <v>0</v>
      </c>
    </row>
    <row r="181" spans="1:24">
      <c r="A181" s="6" t="s">
        <v>2129</v>
      </c>
      <c r="B181" t="s">
        <v>38</v>
      </c>
      <c r="C181" t="s">
        <v>2124</v>
      </c>
      <c r="D181" t="s">
        <v>832</v>
      </c>
      <c r="G181" t="s">
        <v>395</v>
      </c>
      <c r="I181" t="s">
        <v>396</v>
      </c>
      <c r="J181" t="s">
        <v>38</v>
      </c>
      <c r="K181" s="6" t="s">
        <v>397</v>
      </c>
      <c r="L181" t="s">
        <v>148</v>
      </c>
      <c r="N181" t="b">
        <v>0</v>
      </c>
      <c r="P181" t="s">
        <v>2930</v>
      </c>
      <c r="Q181" t="b">
        <v>0</v>
      </c>
      <c r="R181" t="s">
        <v>149</v>
      </c>
      <c r="S181" t="s">
        <v>2918</v>
      </c>
      <c r="T181" cm="1">
        <f t="array" ref="T181">_xlfn.XLOOKUP(tblNotify[[#This Row],[person_id]],tblPeople[person_id],tblPeople[elements_exposed],"NOT FOUND")&amp;""</f>
        <v>0</v>
      </c>
      <c r="U181">
        <f>INDEX(tblPeople[elements_exposed],MATCH(tblNotify[[#This Row],[person_id]],tblPeople[person_id],0))&amp;""</f>
        <v>0</v>
      </c>
      <c r="V181">
        <f>_xlfn.TEXTJOIN(" ",TRUE,tblNotify[[#This Row],[first_name]],tblNotify[[#This Row],[middle_initial]],tblNotify[[#This Row],[last_name]],tblNotify[[#This Row],[name_suffix]])</f>
        <v>0</v>
      </c>
      <c r="W181" cm="1">
        <f t="array" ref="W18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81">
        <f>tblNotify[[#This Row],[status_xl]]=tblNotify[[#This Row],[notify_status]]</f>
        <v>0</v>
      </c>
    </row>
    <row r="182" spans="1:24">
      <c r="A182" s="6" t="s">
        <v>2134</v>
      </c>
      <c r="B182" t="s">
        <v>37</v>
      </c>
      <c r="C182" t="s">
        <v>2132</v>
      </c>
      <c r="D182" t="s">
        <v>2131</v>
      </c>
      <c r="G182" t="s">
        <v>237</v>
      </c>
      <c r="I182" t="s">
        <v>238</v>
      </c>
      <c r="J182" t="s">
        <v>37</v>
      </c>
      <c r="K182" s="6" t="s">
        <v>239</v>
      </c>
      <c r="L182" t="s">
        <v>148</v>
      </c>
      <c r="M182" t="s">
        <v>2882</v>
      </c>
      <c r="N182" t="b">
        <v>0</v>
      </c>
      <c r="P182" t="s">
        <v>2919</v>
      </c>
      <c r="Q182" t="b">
        <v>1</v>
      </c>
      <c r="R182" t="s">
        <v>149</v>
      </c>
      <c r="S182" t="s">
        <v>2918</v>
      </c>
      <c r="T182" cm="1">
        <f t="array" ref="T182">_xlfn.XLOOKUP(tblNotify[[#This Row],[person_id]],tblPeople[person_id],tblPeople[elements_exposed],"NOT FOUND")&amp;""</f>
        <v>0</v>
      </c>
      <c r="U182">
        <f>INDEX(tblPeople[elements_exposed],MATCH(tblNotify[[#This Row],[person_id]],tblPeople[person_id],0))&amp;""</f>
        <v>0</v>
      </c>
      <c r="V182">
        <f>_xlfn.TEXTJOIN(" ",TRUE,tblNotify[[#This Row],[first_name]],tblNotify[[#This Row],[middle_initial]],tblNotify[[#This Row],[last_name]],tblNotify[[#This Row],[name_suffix]])</f>
        <v>0</v>
      </c>
      <c r="W182" cm="1">
        <f t="array" ref="W18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82">
        <f>tblNotify[[#This Row],[status_xl]]=tblNotify[[#This Row],[notify_status]]</f>
        <v>0</v>
      </c>
    </row>
    <row r="183" spans="1:24">
      <c r="A183" s="6" t="s">
        <v>2137</v>
      </c>
      <c r="B183" t="s">
        <v>37</v>
      </c>
      <c r="C183" t="s">
        <v>2132</v>
      </c>
      <c r="D183" t="s">
        <v>2123</v>
      </c>
      <c r="G183" t="s">
        <v>237</v>
      </c>
      <c r="I183" t="s">
        <v>238</v>
      </c>
      <c r="J183" t="s">
        <v>37</v>
      </c>
      <c r="K183" s="6" t="s">
        <v>239</v>
      </c>
      <c r="L183" t="s">
        <v>148</v>
      </c>
      <c r="N183" t="b">
        <v>0</v>
      </c>
      <c r="P183" t="s">
        <v>2931</v>
      </c>
      <c r="Q183" t="b">
        <v>0</v>
      </c>
      <c r="R183" t="s">
        <v>149</v>
      </c>
      <c r="S183" t="s">
        <v>2918</v>
      </c>
      <c r="T183" cm="1">
        <f t="array" ref="T183">_xlfn.XLOOKUP(tblNotify[[#This Row],[person_id]],tblPeople[person_id],tblPeople[elements_exposed],"NOT FOUND")&amp;""</f>
        <v>0</v>
      </c>
      <c r="U183">
        <f>INDEX(tblPeople[elements_exposed],MATCH(tblNotify[[#This Row],[person_id]],tblPeople[person_id],0))&amp;""</f>
        <v>0</v>
      </c>
      <c r="V183">
        <f>_xlfn.TEXTJOIN(" ",TRUE,tblNotify[[#This Row],[first_name]],tblNotify[[#This Row],[middle_initial]],tblNotify[[#This Row],[last_name]],tblNotify[[#This Row],[name_suffix]])</f>
        <v>0</v>
      </c>
      <c r="W183" cm="1">
        <f t="array" ref="W18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83">
        <f>tblNotify[[#This Row],[status_xl]]=tblNotify[[#This Row],[notify_status]]</f>
        <v>0</v>
      </c>
    </row>
    <row r="184" spans="1:24">
      <c r="A184" s="6" t="s">
        <v>2145</v>
      </c>
      <c r="B184" t="s">
        <v>38</v>
      </c>
      <c r="C184" t="s">
        <v>2140</v>
      </c>
      <c r="D184" t="s">
        <v>2139</v>
      </c>
      <c r="G184" t="s">
        <v>2141</v>
      </c>
      <c r="I184" t="s">
        <v>2142</v>
      </c>
      <c r="J184" t="s">
        <v>38</v>
      </c>
      <c r="K184" s="6" t="s">
        <v>2143</v>
      </c>
      <c r="L184" t="s">
        <v>148</v>
      </c>
      <c r="M184" t="s">
        <v>2882</v>
      </c>
      <c r="N184" t="b">
        <v>0</v>
      </c>
      <c r="P184" t="s">
        <v>2919</v>
      </c>
      <c r="Q184" t="b">
        <v>1</v>
      </c>
      <c r="R184" t="s">
        <v>205</v>
      </c>
      <c r="S184" t="s">
        <v>2918</v>
      </c>
      <c r="T184" cm="1">
        <f t="array" ref="T184">_xlfn.XLOOKUP(tblNotify[[#This Row],[person_id]],tblPeople[person_id],tblPeople[elements_exposed],"NOT FOUND")&amp;""</f>
        <v>0</v>
      </c>
      <c r="U184">
        <f>INDEX(tblPeople[elements_exposed],MATCH(tblNotify[[#This Row],[person_id]],tblPeople[person_id],0))&amp;""</f>
        <v>0</v>
      </c>
      <c r="V184">
        <f>_xlfn.TEXTJOIN(" ",TRUE,tblNotify[[#This Row],[first_name]],tblNotify[[#This Row],[middle_initial]],tblNotify[[#This Row],[last_name]],tblNotify[[#This Row],[name_suffix]])</f>
        <v>0</v>
      </c>
      <c r="W184" cm="1">
        <f t="array" ref="W18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84">
        <f>tblNotify[[#This Row],[status_xl]]=tblNotify[[#This Row],[notify_status]]</f>
        <v>0</v>
      </c>
    </row>
    <row r="185" spans="1:24">
      <c r="A185" s="6" t="s">
        <v>2148</v>
      </c>
      <c r="B185" t="s">
        <v>38</v>
      </c>
      <c r="C185" t="s">
        <v>2140</v>
      </c>
      <c r="D185" t="s">
        <v>678</v>
      </c>
      <c r="G185" t="s">
        <v>2141</v>
      </c>
      <c r="I185" t="s">
        <v>2142</v>
      </c>
      <c r="J185" t="s">
        <v>38</v>
      </c>
      <c r="K185" s="6" t="s">
        <v>2143</v>
      </c>
      <c r="L185" t="s">
        <v>148</v>
      </c>
      <c r="N185" t="b">
        <v>0</v>
      </c>
      <c r="P185" t="s">
        <v>2932</v>
      </c>
      <c r="Q185" t="b">
        <v>0</v>
      </c>
      <c r="R185" t="s">
        <v>205</v>
      </c>
      <c r="S185" t="s">
        <v>2918</v>
      </c>
      <c r="T185" cm="1">
        <f t="array" ref="T185">_xlfn.XLOOKUP(tblNotify[[#This Row],[person_id]],tblPeople[person_id],tblPeople[elements_exposed],"NOT FOUND")&amp;""</f>
        <v>0</v>
      </c>
      <c r="U185">
        <f>INDEX(tblPeople[elements_exposed],MATCH(tblNotify[[#This Row],[person_id]],tblPeople[person_id],0))&amp;""</f>
        <v>0</v>
      </c>
      <c r="V185">
        <f>_xlfn.TEXTJOIN(" ",TRUE,tblNotify[[#This Row],[first_name]],tblNotify[[#This Row],[middle_initial]],tblNotify[[#This Row],[last_name]],tblNotify[[#This Row],[name_suffix]])</f>
        <v>0</v>
      </c>
      <c r="W185" cm="1">
        <f t="array" ref="W18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85">
        <f>tblNotify[[#This Row],[status_xl]]=tblNotify[[#This Row],[notify_status]]</f>
        <v>0</v>
      </c>
    </row>
    <row r="186" spans="1:24">
      <c r="A186" s="6" t="s">
        <v>2153</v>
      </c>
      <c r="B186" t="s">
        <v>35</v>
      </c>
      <c r="C186" t="s">
        <v>2150</v>
      </c>
      <c r="D186" t="s">
        <v>1603</v>
      </c>
      <c r="E186" t="s">
        <v>142</v>
      </c>
      <c r="G186" t="s">
        <v>301</v>
      </c>
      <c r="I186" t="s">
        <v>302</v>
      </c>
      <c r="J186" t="s">
        <v>35</v>
      </c>
      <c r="K186" s="6" t="s">
        <v>303</v>
      </c>
      <c r="L186" t="s">
        <v>148</v>
      </c>
      <c r="M186" t="s">
        <v>2882</v>
      </c>
      <c r="N186" t="b">
        <v>0</v>
      </c>
      <c r="P186" t="s">
        <v>2919</v>
      </c>
      <c r="Q186" t="b">
        <v>1</v>
      </c>
      <c r="R186" t="s">
        <v>149</v>
      </c>
      <c r="S186" t="s">
        <v>2918</v>
      </c>
      <c r="T186" cm="1">
        <f t="array" ref="T186">_xlfn.XLOOKUP(tblNotify[[#This Row],[person_id]],tblPeople[person_id],tblPeople[elements_exposed],"NOT FOUND")&amp;""</f>
        <v>0</v>
      </c>
      <c r="U186">
        <f>INDEX(tblPeople[elements_exposed],MATCH(tblNotify[[#This Row],[person_id]],tblPeople[person_id],0))&amp;""</f>
        <v>0</v>
      </c>
      <c r="V186">
        <f>_xlfn.TEXTJOIN(" ",TRUE,tblNotify[[#This Row],[first_name]],tblNotify[[#This Row],[middle_initial]],tblNotify[[#This Row],[last_name]],tblNotify[[#This Row],[name_suffix]])</f>
        <v>0</v>
      </c>
      <c r="W186" cm="1">
        <f t="array" ref="W18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86">
        <f>tblNotify[[#This Row],[status_xl]]=tblNotify[[#This Row],[notify_status]]</f>
        <v>0</v>
      </c>
    </row>
    <row r="187" spans="1:24">
      <c r="A187" s="6" t="s">
        <v>2158</v>
      </c>
      <c r="B187" t="s">
        <v>35</v>
      </c>
      <c r="C187" t="s">
        <v>2150</v>
      </c>
      <c r="D187" t="s">
        <v>2155</v>
      </c>
      <c r="G187" t="s">
        <v>301</v>
      </c>
      <c r="I187" t="s">
        <v>302</v>
      </c>
      <c r="J187" t="s">
        <v>35</v>
      </c>
      <c r="K187" s="6" t="s">
        <v>303</v>
      </c>
      <c r="L187" t="s">
        <v>148</v>
      </c>
      <c r="N187" t="b">
        <v>0</v>
      </c>
      <c r="P187" t="s">
        <v>2933</v>
      </c>
      <c r="Q187" t="b">
        <v>0</v>
      </c>
      <c r="R187" t="s">
        <v>149</v>
      </c>
      <c r="S187" t="s">
        <v>2918</v>
      </c>
      <c r="T187" cm="1">
        <f t="array" ref="T187">_xlfn.XLOOKUP(tblNotify[[#This Row],[person_id]],tblPeople[person_id],tblPeople[elements_exposed],"NOT FOUND")&amp;""</f>
        <v>0</v>
      </c>
      <c r="U187">
        <f>INDEX(tblPeople[elements_exposed],MATCH(tblNotify[[#This Row],[person_id]],tblPeople[person_id],0))&amp;""</f>
        <v>0</v>
      </c>
      <c r="V187">
        <f>_xlfn.TEXTJOIN(" ",TRUE,tblNotify[[#This Row],[first_name]],tblNotify[[#This Row],[middle_initial]],tblNotify[[#This Row],[last_name]],tblNotify[[#This Row],[name_suffix]])</f>
        <v>0</v>
      </c>
      <c r="W187" cm="1">
        <f t="array" ref="W18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87">
        <f>tblNotify[[#This Row],[status_xl]]=tblNotify[[#This Row],[notify_status]]</f>
        <v>0</v>
      </c>
    </row>
    <row r="188" spans="1:24">
      <c r="A188" s="6" t="s">
        <v>2166</v>
      </c>
      <c r="B188" t="s">
        <v>38</v>
      </c>
      <c r="C188" t="s">
        <v>2161</v>
      </c>
      <c r="D188" t="s">
        <v>2160</v>
      </c>
      <c r="E188" t="s">
        <v>212</v>
      </c>
      <c r="G188" t="s">
        <v>2162</v>
      </c>
      <c r="I188" t="s">
        <v>2163</v>
      </c>
      <c r="J188" t="s">
        <v>38</v>
      </c>
      <c r="K188" s="6" t="s">
        <v>2164</v>
      </c>
      <c r="L188" t="s">
        <v>148</v>
      </c>
      <c r="M188" t="s">
        <v>2882</v>
      </c>
      <c r="N188" t="b">
        <v>0</v>
      </c>
      <c r="P188" t="s">
        <v>2919</v>
      </c>
      <c r="Q188" t="b">
        <v>1</v>
      </c>
      <c r="R188" t="s">
        <v>205</v>
      </c>
      <c r="S188" t="s">
        <v>2918</v>
      </c>
      <c r="T188" cm="1">
        <f t="array" ref="T188">_xlfn.XLOOKUP(tblNotify[[#This Row],[person_id]],tblPeople[person_id],tblPeople[elements_exposed],"NOT FOUND")&amp;""</f>
        <v>0</v>
      </c>
      <c r="U188">
        <f>INDEX(tblPeople[elements_exposed],MATCH(tblNotify[[#This Row],[person_id]],tblPeople[person_id],0))&amp;""</f>
        <v>0</v>
      </c>
      <c r="V188">
        <f>_xlfn.TEXTJOIN(" ",TRUE,tblNotify[[#This Row],[first_name]],tblNotify[[#This Row],[middle_initial]],tblNotify[[#This Row],[last_name]],tblNotify[[#This Row],[name_suffix]])</f>
        <v>0</v>
      </c>
      <c r="W188" cm="1">
        <f t="array" ref="W18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88">
        <f>tblNotify[[#This Row],[status_xl]]=tblNotify[[#This Row],[notify_status]]</f>
        <v>0</v>
      </c>
    </row>
    <row r="189" spans="1:24">
      <c r="A189" s="6" t="s">
        <v>2170</v>
      </c>
      <c r="B189" t="s">
        <v>38</v>
      </c>
      <c r="C189" t="s">
        <v>2161</v>
      </c>
      <c r="D189" t="s">
        <v>517</v>
      </c>
      <c r="G189" t="s">
        <v>2162</v>
      </c>
      <c r="I189" t="s">
        <v>2163</v>
      </c>
      <c r="J189" t="s">
        <v>38</v>
      </c>
      <c r="K189" s="6" t="s">
        <v>2164</v>
      </c>
      <c r="L189" t="s">
        <v>148</v>
      </c>
      <c r="N189" t="b">
        <v>0</v>
      </c>
      <c r="P189" t="s">
        <v>2934</v>
      </c>
      <c r="Q189" t="b">
        <v>0</v>
      </c>
      <c r="R189" t="s">
        <v>205</v>
      </c>
      <c r="S189" t="s">
        <v>2918</v>
      </c>
      <c r="T189" cm="1">
        <f t="array" ref="T189">_xlfn.XLOOKUP(tblNotify[[#This Row],[person_id]],tblPeople[person_id],tblPeople[elements_exposed],"NOT FOUND")&amp;""</f>
        <v>0</v>
      </c>
      <c r="U189">
        <f>INDEX(tblPeople[elements_exposed],MATCH(tblNotify[[#This Row],[person_id]],tblPeople[person_id],0))&amp;""</f>
        <v>0</v>
      </c>
      <c r="V189">
        <f>_xlfn.TEXTJOIN(" ",TRUE,tblNotify[[#This Row],[first_name]],tblNotify[[#This Row],[middle_initial]],tblNotify[[#This Row],[last_name]],tblNotify[[#This Row],[name_suffix]])</f>
        <v>0</v>
      </c>
      <c r="W189" cm="1">
        <f t="array" ref="W18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89">
        <f>tblNotify[[#This Row],[status_xl]]=tblNotify[[#This Row],[notify_status]]</f>
        <v>0</v>
      </c>
    </row>
    <row r="190" spans="1:24">
      <c r="A190" s="6" t="s">
        <v>2175</v>
      </c>
      <c r="B190" t="s">
        <v>34</v>
      </c>
      <c r="C190" t="s">
        <v>2173</v>
      </c>
      <c r="D190" t="s">
        <v>2172</v>
      </c>
      <c r="E190" t="s">
        <v>434</v>
      </c>
      <c r="G190" t="s">
        <v>524</v>
      </c>
      <c r="I190" t="s">
        <v>525</v>
      </c>
      <c r="J190" t="s">
        <v>34</v>
      </c>
      <c r="K190" s="6" t="s">
        <v>526</v>
      </c>
      <c r="L190" t="s">
        <v>148</v>
      </c>
      <c r="M190" t="s">
        <v>2882</v>
      </c>
      <c r="N190" t="b">
        <v>0</v>
      </c>
      <c r="P190" t="s">
        <v>2919</v>
      </c>
      <c r="Q190" t="b">
        <v>1</v>
      </c>
      <c r="R190" t="s">
        <v>149</v>
      </c>
      <c r="S190" t="s">
        <v>2918</v>
      </c>
      <c r="T190" cm="1">
        <f t="array" ref="T190">_xlfn.XLOOKUP(tblNotify[[#This Row],[person_id]],tblPeople[person_id],tblPeople[elements_exposed],"NOT FOUND")&amp;""</f>
        <v>0</v>
      </c>
      <c r="U190">
        <f>INDEX(tblPeople[elements_exposed],MATCH(tblNotify[[#This Row],[person_id]],tblPeople[person_id],0))&amp;""</f>
        <v>0</v>
      </c>
      <c r="V190">
        <f>_xlfn.TEXTJOIN(" ",TRUE,tblNotify[[#This Row],[first_name]],tblNotify[[#This Row],[middle_initial]],tblNotify[[#This Row],[last_name]],tblNotify[[#This Row],[name_suffix]])</f>
        <v>0</v>
      </c>
      <c r="W190" cm="1">
        <f t="array" ref="W19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90">
        <f>tblNotify[[#This Row],[status_xl]]=tblNotify[[#This Row],[notify_status]]</f>
        <v>0</v>
      </c>
    </row>
    <row r="191" spans="1:24">
      <c r="A191" s="6" t="s">
        <v>2179</v>
      </c>
      <c r="B191" t="s">
        <v>34</v>
      </c>
      <c r="C191" t="s">
        <v>2173</v>
      </c>
      <c r="D191" t="s">
        <v>2177</v>
      </c>
      <c r="G191" t="s">
        <v>524</v>
      </c>
      <c r="I191" t="s">
        <v>525</v>
      </c>
      <c r="J191" t="s">
        <v>34</v>
      </c>
      <c r="K191" s="6" t="s">
        <v>526</v>
      </c>
      <c r="L191" t="s">
        <v>148</v>
      </c>
      <c r="N191" t="b">
        <v>0</v>
      </c>
      <c r="P191" t="s">
        <v>2935</v>
      </c>
      <c r="Q191" t="b">
        <v>0</v>
      </c>
      <c r="R191" t="s">
        <v>149</v>
      </c>
      <c r="S191" t="s">
        <v>2918</v>
      </c>
      <c r="T191" cm="1">
        <f t="array" ref="T191">_xlfn.XLOOKUP(tblNotify[[#This Row],[person_id]],tblPeople[person_id],tblPeople[elements_exposed],"NOT FOUND")&amp;""</f>
        <v>0</v>
      </c>
      <c r="U191">
        <f>INDEX(tblPeople[elements_exposed],MATCH(tblNotify[[#This Row],[person_id]],tblPeople[person_id],0))&amp;""</f>
        <v>0</v>
      </c>
      <c r="V191">
        <f>_xlfn.TEXTJOIN(" ",TRUE,tblNotify[[#This Row],[first_name]],tblNotify[[#This Row],[middle_initial]],tblNotify[[#This Row],[last_name]],tblNotify[[#This Row],[name_suffix]])</f>
        <v>0</v>
      </c>
      <c r="W191" cm="1">
        <f t="array" ref="W19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91">
        <f>tblNotify[[#This Row],[status_xl]]=tblNotify[[#This Row],[notify_status]]</f>
        <v>0</v>
      </c>
    </row>
    <row r="192" spans="1:24">
      <c r="A192" s="6" t="s">
        <v>2187</v>
      </c>
      <c r="B192" t="s">
        <v>40</v>
      </c>
      <c r="C192" t="s">
        <v>2182</v>
      </c>
      <c r="D192" t="s">
        <v>2181</v>
      </c>
      <c r="G192" t="s">
        <v>2183</v>
      </c>
      <c r="I192" t="s">
        <v>2184</v>
      </c>
      <c r="J192" t="s">
        <v>40</v>
      </c>
      <c r="K192" s="6" t="s">
        <v>2185</v>
      </c>
      <c r="L192" t="s">
        <v>148</v>
      </c>
      <c r="M192" t="s">
        <v>2882</v>
      </c>
      <c r="N192" t="b">
        <v>0</v>
      </c>
      <c r="P192" t="s">
        <v>2919</v>
      </c>
      <c r="Q192" t="b">
        <v>1</v>
      </c>
      <c r="R192" t="s">
        <v>205</v>
      </c>
      <c r="S192" t="s">
        <v>2918</v>
      </c>
      <c r="T192" cm="1">
        <f t="array" ref="T192">_xlfn.XLOOKUP(tblNotify[[#This Row],[person_id]],tblPeople[person_id],tblPeople[elements_exposed],"NOT FOUND")&amp;""</f>
        <v>0</v>
      </c>
      <c r="U192">
        <f>INDEX(tblPeople[elements_exposed],MATCH(tblNotify[[#This Row],[person_id]],tblPeople[person_id],0))&amp;""</f>
        <v>0</v>
      </c>
      <c r="V192">
        <f>_xlfn.TEXTJOIN(" ",TRUE,tblNotify[[#This Row],[first_name]],tblNotify[[#This Row],[middle_initial]],tblNotify[[#This Row],[last_name]],tblNotify[[#This Row],[name_suffix]])</f>
        <v>0</v>
      </c>
      <c r="W192" cm="1">
        <f t="array" ref="W19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92">
        <f>tblNotify[[#This Row],[status_xl]]=tblNotify[[#This Row],[notify_status]]</f>
        <v>0</v>
      </c>
    </row>
    <row r="193" spans="1:24">
      <c r="A193" s="6" t="s">
        <v>2190</v>
      </c>
      <c r="B193" t="s">
        <v>40</v>
      </c>
      <c r="C193" t="s">
        <v>2182</v>
      </c>
      <c r="D193" t="s">
        <v>517</v>
      </c>
      <c r="G193" t="s">
        <v>2183</v>
      </c>
      <c r="I193" t="s">
        <v>2184</v>
      </c>
      <c r="J193" t="s">
        <v>40</v>
      </c>
      <c r="K193" s="6" t="s">
        <v>2185</v>
      </c>
      <c r="L193" t="s">
        <v>148</v>
      </c>
      <c r="N193" t="b">
        <v>0</v>
      </c>
      <c r="P193" t="s">
        <v>2936</v>
      </c>
      <c r="Q193" t="b">
        <v>0</v>
      </c>
      <c r="R193" t="s">
        <v>205</v>
      </c>
      <c r="S193" t="s">
        <v>2918</v>
      </c>
      <c r="T193" cm="1">
        <f t="array" ref="T193">_xlfn.XLOOKUP(tblNotify[[#This Row],[person_id]],tblPeople[person_id],tblPeople[elements_exposed],"NOT FOUND")&amp;""</f>
        <v>0</v>
      </c>
      <c r="U193">
        <f>INDEX(tblPeople[elements_exposed],MATCH(tblNotify[[#This Row],[person_id]],tblPeople[person_id],0))&amp;""</f>
        <v>0</v>
      </c>
      <c r="V193">
        <f>_xlfn.TEXTJOIN(" ",TRUE,tblNotify[[#This Row],[first_name]],tblNotify[[#This Row],[middle_initial]],tblNotify[[#This Row],[last_name]],tblNotify[[#This Row],[name_suffix]])</f>
        <v>0</v>
      </c>
      <c r="W193" cm="1">
        <f t="array" ref="W19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93">
        <f>tblNotify[[#This Row],[status_xl]]=tblNotify[[#This Row],[notify_status]]</f>
        <v>0</v>
      </c>
    </row>
    <row r="194" spans="1:24">
      <c r="A194" s="6" t="s">
        <v>2195</v>
      </c>
      <c r="B194" t="s">
        <v>40</v>
      </c>
      <c r="C194" t="s">
        <v>2193</v>
      </c>
      <c r="D194" t="s">
        <v>2192</v>
      </c>
      <c r="E194" t="s">
        <v>212</v>
      </c>
      <c r="G194" t="s">
        <v>436</v>
      </c>
      <c r="I194" t="s">
        <v>437</v>
      </c>
      <c r="J194" t="s">
        <v>40</v>
      </c>
      <c r="K194" s="6" t="s">
        <v>438</v>
      </c>
      <c r="L194" t="s">
        <v>148</v>
      </c>
      <c r="M194" t="s">
        <v>2882</v>
      </c>
      <c r="N194" t="b">
        <v>0</v>
      </c>
      <c r="P194" t="s">
        <v>2919</v>
      </c>
      <c r="Q194" t="b">
        <v>1</v>
      </c>
      <c r="R194" t="s">
        <v>149</v>
      </c>
      <c r="S194" t="s">
        <v>2918</v>
      </c>
      <c r="T194" cm="1">
        <f t="array" ref="T194">_xlfn.XLOOKUP(tblNotify[[#This Row],[person_id]],tblPeople[person_id],tblPeople[elements_exposed],"NOT FOUND")&amp;""</f>
        <v>0</v>
      </c>
      <c r="U194">
        <f>INDEX(tblPeople[elements_exposed],MATCH(tblNotify[[#This Row],[person_id]],tblPeople[person_id],0))&amp;""</f>
        <v>0</v>
      </c>
      <c r="V194">
        <f>_xlfn.TEXTJOIN(" ",TRUE,tblNotify[[#This Row],[first_name]],tblNotify[[#This Row],[middle_initial]],tblNotify[[#This Row],[last_name]],tblNotify[[#This Row],[name_suffix]])</f>
        <v>0</v>
      </c>
      <c r="W194" cm="1">
        <f t="array" ref="W19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94">
        <f>tblNotify[[#This Row],[status_xl]]=tblNotify[[#This Row],[notify_status]]</f>
        <v>0</v>
      </c>
    </row>
    <row r="195" spans="1:24">
      <c r="A195" s="6" t="s">
        <v>2199</v>
      </c>
      <c r="B195" t="s">
        <v>40</v>
      </c>
      <c r="C195" t="s">
        <v>2193</v>
      </c>
      <c r="D195" t="s">
        <v>2197</v>
      </c>
      <c r="G195" t="s">
        <v>436</v>
      </c>
      <c r="I195" t="s">
        <v>437</v>
      </c>
      <c r="J195" t="s">
        <v>40</v>
      </c>
      <c r="K195" s="6" t="s">
        <v>438</v>
      </c>
      <c r="L195" t="s">
        <v>148</v>
      </c>
      <c r="N195" t="b">
        <v>0</v>
      </c>
      <c r="P195" t="s">
        <v>2937</v>
      </c>
      <c r="Q195" t="b">
        <v>0</v>
      </c>
      <c r="R195" t="s">
        <v>149</v>
      </c>
      <c r="S195" t="s">
        <v>2918</v>
      </c>
      <c r="T195" cm="1">
        <f t="array" ref="T195">_xlfn.XLOOKUP(tblNotify[[#This Row],[person_id]],tblPeople[person_id],tblPeople[elements_exposed],"NOT FOUND")&amp;""</f>
        <v>0</v>
      </c>
      <c r="U195">
        <f>INDEX(tblPeople[elements_exposed],MATCH(tblNotify[[#This Row],[person_id]],tblPeople[person_id],0))&amp;""</f>
        <v>0</v>
      </c>
      <c r="V195">
        <f>_xlfn.TEXTJOIN(" ",TRUE,tblNotify[[#This Row],[first_name]],tblNotify[[#This Row],[middle_initial]],tblNotify[[#This Row],[last_name]],tblNotify[[#This Row],[name_suffix]])</f>
        <v>0</v>
      </c>
      <c r="W195" cm="1">
        <f t="array" ref="W19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95">
        <f>tblNotify[[#This Row],[status_xl]]=tblNotify[[#This Row],[notify_status]]</f>
        <v>0</v>
      </c>
    </row>
    <row r="196" spans="1:24">
      <c r="A196" s="6" t="s">
        <v>2204</v>
      </c>
      <c r="B196" t="s">
        <v>39</v>
      </c>
      <c r="C196" t="s">
        <v>248</v>
      </c>
      <c r="D196" t="s">
        <v>247</v>
      </c>
      <c r="G196" t="s">
        <v>250</v>
      </c>
      <c r="I196" t="s">
        <v>251</v>
      </c>
      <c r="J196" t="s">
        <v>39</v>
      </c>
      <c r="K196" s="6" t="s">
        <v>252</v>
      </c>
      <c r="L196" t="s">
        <v>148</v>
      </c>
      <c r="N196" t="b">
        <v>0</v>
      </c>
      <c r="P196" t="s">
        <v>2938</v>
      </c>
      <c r="Q196" t="b">
        <v>0</v>
      </c>
      <c r="R196" t="s">
        <v>149</v>
      </c>
      <c r="S196" t="s">
        <v>2918</v>
      </c>
      <c r="T196" cm="1">
        <f t="array" ref="T196">_xlfn.XLOOKUP(tblNotify[[#This Row],[person_id]],tblPeople[person_id],tblPeople[elements_exposed],"NOT FOUND")&amp;""</f>
        <v>0</v>
      </c>
      <c r="U196">
        <f>INDEX(tblPeople[elements_exposed],MATCH(tblNotify[[#This Row],[person_id]],tblPeople[person_id],0))&amp;""</f>
        <v>0</v>
      </c>
      <c r="V196">
        <f>_xlfn.TEXTJOIN(" ",TRUE,tblNotify[[#This Row],[first_name]],tblNotify[[#This Row],[middle_initial]],tblNotify[[#This Row],[last_name]],tblNotify[[#This Row],[name_suffix]])</f>
        <v>0</v>
      </c>
      <c r="W196" cm="1">
        <f t="array" ref="W19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96">
        <f>tblNotify[[#This Row],[status_xl]]=tblNotify[[#This Row],[notify_status]]</f>
        <v>0</v>
      </c>
    </row>
    <row r="197" spans="1:24">
      <c r="A197" s="6" t="s">
        <v>2209</v>
      </c>
      <c r="B197" t="s">
        <v>38</v>
      </c>
      <c r="C197" t="s">
        <v>2207</v>
      </c>
      <c r="D197" t="s">
        <v>2206</v>
      </c>
      <c r="E197" t="s">
        <v>142</v>
      </c>
      <c r="G197" t="s">
        <v>470</v>
      </c>
      <c r="I197" t="s">
        <v>471</v>
      </c>
      <c r="J197" t="s">
        <v>38</v>
      </c>
      <c r="K197" s="6" t="s">
        <v>472</v>
      </c>
      <c r="L197" t="s">
        <v>148</v>
      </c>
      <c r="M197" t="s">
        <v>2882</v>
      </c>
      <c r="N197" t="b">
        <v>0</v>
      </c>
      <c r="P197" t="s">
        <v>2919</v>
      </c>
      <c r="Q197" t="b">
        <v>1</v>
      </c>
      <c r="R197" t="s">
        <v>149</v>
      </c>
      <c r="S197" t="s">
        <v>2918</v>
      </c>
      <c r="T197" cm="1">
        <f t="array" ref="T197">_xlfn.XLOOKUP(tblNotify[[#This Row],[person_id]],tblPeople[person_id],tblPeople[elements_exposed],"NOT FOUND")&amp;""</f>
        <v>0</v>
      </c>
      <c r="U197">
        <f>INDEX(tblPeople[elements_exposed],MATCH(tblNotify[[#This Row],[person_id]],tblPeople[person_id],0))&amp;""</f>
        <v>0</v>
      </c>
      <c r="V197">
        <f>_xlfn.TEXTJOIN(" ",TRUE,tblNotify[[#This Row],[first_name]],tblNotify[[#This Row],[middle_initial]],tblNotify[[#This Row],[last_name]],tblNotify[[#This Row],[name_suffix]])</f>
        <v>0</v>
      </c>
      <c r="W197" cm="1">
        <f t="array" ref="W19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97">
        <f>tblNotify[[#This Row],[status_xl]]=tblNotify[[#This Row],[notify_status]]</f>
        <v>0</v>
      </c>
    </row>
    <row r="198" spans="1:24">
      <c r="A198" s="6" t="s">
        <v>2211</v>
      </c>
      <c r="B198" t="s">
        <v>38</v>
      </c>
      <c r="C198" t="s">
        <v>2207</v>
      </c>
      <c r="D198" t="s">
        <v>1126</v>
      </c>
      <c r="G198" t="s">
        <v>470</v>
      </c>
      <c r="I198" t="s">
        <v>471</v>
      </c>
      <c r="J198" t="s">
        <v>38</v>
      </c>
      <c r="K198" s="6" t="s">
        <v>472</v>
      </c>
      <c r="L198" t="s">
        <v>148</v>
      </c>
      <c r="N198" t="b">
        <v>0</v>
      </c>
      <c r="P198" t="s">
        <v>2939</v>
      </c>
      <c r="Q198" t="b">
        <v>0</v>
      </c>
      <c r="R198" t="s">
        <v>149</v>
      </c>
      <c r="S198" t="s">
        <v>2918</v>
      </c>
      <c r="T198" cm="1">
        <f t="array" ref="T198">_xlfn.XLOOKUP(tblNotify[[#This Row],[person_id]],tblPeople[person_id],tblPeople[elements_exposed],"NOT FOUND")&amp;""</f>
        <v>0</v>
      </c>
      <c r="U198">
        <f>INDEX(tblPeople[elements_exposed],MATCH(tblNotify[[#This Row],[person_id]],tblPeople[person_id],0))&amp;""</f>
        <v>0</v>
      </c>
      <c r="V198">
        <f>_xlfn.TEXTJOIN(" ",TRUE,tblNotify[[#This Row],[first_name]],tblNotify[[#This Row],[middle_initial]],tblNotify[[#This Row],[last_name]],tblNotify[[#This Row],[name_suffix]])</f>
        <v>0</v>
      </c>
      <c r="W198" cm="1">
        <f t="array" ref="W19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98">
        <f>tblNotify[[#This Row],[status_xl]]=tblNotify[[#This Row],[notify_status]]</f>
        <v>0</v>
      </c>
    </row>
    <row r="199" spans="1:24">
      <c r="A199" s="6" t="s">
        <v>2218</v>
      </c>
      <c r="B199" t="s">
        <v>37</v>
      </c>
      <c r="C199" t="s">
        <v>2213</v>
      </c>
      <c r="D199" t="s">
        <v>1140</v>
      </c>
      <c r="E199" t="s">
        <v>1180</v>
      </c>
      <c r="G199" t="s">
        <v>2214</v>
      </c>
      <c r="I199" t="s">
        <v>2215</v>
      </c>
      <c r="J199" t="s">
        <v>37</v>
      </c>
      <c r="K199" s="6" t="s">
        <v>2216</v>
      </c>
      <c r="L199" t="s">
        <v>148</v>
      </c>
      <c r="M199" t="s">
        <v>2882</v>
      </c>
      <c r="N199" t="b">
        <v>0</v>
      </c>
      <c r="P199" t="s">
        <v>2919</v>
      </c>
      <c r="Q199" t="b">
        <v>1</v>
      </c>
      <c r="R199" t="s">
        <v>205</v>
      </c>
      <c r="S199" t="s">
        <v>2918</v>
      </c>
      <c r="T199" cm="1">
        <f t="array" ref="T199">_xlfn.XLOOKUP(tblNotify[[#This Row],[person_id]],tblPeople[person_id],tblPeople[elements_exposed],"NOT FOUND")&amp;""</f>
        <v>0</v>
      </c>
      <c r="U199">
        <f>INDEX(tblPeople[elements_exposed],MATCH(tblNotify[[#This Row],[person_id]],tblPeople[person_id],0))&amp;""</f>
        <v>0</v>
      </c>
      <c r="V199">
        <f>_xlfn.TEXTJOIN(" ",TRUE,tblNotify[[#This Row],[first_name]],tblNotify[[#This Row],[middle_initial]],tblNotify[[#This Row],[last_name]],tblNotify[[#This Row],[name_suffix]])</f>
        <v>0</v>
      </c>
      <c r="W199" cm="1">
        <f t="array" ref="W19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199">
        <f>tblNotify[[#This Row],[status_xl]]=tblNotify[[#This Row],[notify_status]]</f>
        <v>0</v>
      </c>
    </row>
    <row r="200" spans="1:24">
      <c r="A200" s="6" t="s">
        <v>2222</v>
      </c>
      <c r="B200" t="s">
        <v>37</v>
      </c>
      <c r="C200" t="s">
        <v>2213</v>
      </c>
      <c r="D200" t="s">
        <v>2220</v>
      </c>
      <c r="G200" t="s">
        <v>2214</v>
      </c>
      <c r="I200" t="s">
        <v>2215</v>
      </c>
      <c r="J200" t="s">
        <v>37</v>
      </c>
      <c r="K200" s="6" t="s">
        <v>2216</v>
      </c>
      <c r="L200" t="s">
        <v>148</v>
      </c>
      <c r="N200" t="b">
        <v>0</v>
      </c>
      <c r="P200" t="s">
        <v>2940</v>
      </c>
      <c r="Q200" t="b">
        <v>0</v>
      </c>
      <c r="R200" t="s">
        <v>205</v>
      </c>
      <c r="S200" t="s">
        <v>2918</v>
      </c>
      <c r="T200" cm="1">
        <f t="array" ref="T200">_xlfn.XLOOKUP(tblNotify[[#This Row],[person_id]],tblPeople[person_id],tblPeople[elements_exposed],"NOT FOUND")&amp;""</f>
        <v>0</v>
      </c>
      <c r="U200">
        <f>INDEX(tblPeople[elements_exposed],MATCH(tblNotify[[#This Row],[person_id]],tblPeople[person_id],0))&amp;""</f>
        <v>0</v>
      </c>
      <c r="V200">
        <f>_xlfn.TEXTJOIN(" ",TRUE,tblNotify[[#This Row],[first_name]],tblNotify[[#This Row],[middle_initial]],tblNotify[[#This Row],[last_name]],tblNotify[[#This Row],[name_suffix]])</f>
        <v>0</v>
      </c>
      <c r="W200" cm="1">
        <f t="array" ref="W20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00">
        <f>tblNotify[[#This Row],[status_xl]]=tblNotify[[#This Row],[notify_status]]</f>
        <v>0</v>
      </c>
    </row>
    <row r="201" spans="1:24">
      <c r="A201" s="6" t="s">
        <v>2226</v>
      </c>
      <c r="B201" t="s">
        <v>40</v>
      </c>
      <c r="C201" t="s">
        <v>435</v>
      </c>
      <c r="D201" t="s">
        <v>433</v>
      </c>
      <c r="G201" t="s">
        <v>436</v>
      </c>
      <c r="I201" t="s">
        <v>437</v>
      </c>
      <c r="J201" t="s">
        <v>40</v>
      </c>
      <c r="K201" s="6" t="s">
        <v>438</v>
      </c>
      <c r="L201" t="s">
        <v>148</v>
      </c>
      <c r="N201" t="b">
        <v>0</v>
      </c>
      <c r="P201" t="s">
        <v>2941</v>
      </c>
      <c r="Q201" t="b">
        <v>0</v>
      </c>
      <c r="R201" t="s">
        <v>149</v>
      </c>
      <c r="S201" t="s">
        <v>2918</v>
      </c>
      <c r="T201" cm="1">
        <f t="array" ref="T201">_xlfn.XLOOKUP(tblNotify[[#This Row],[person_id]],tblPeople[person_id],tblPeople[elements_exposed],"NOT FOUND")&amp;""</f>
        <v>0</v>
      </c>
      <c r="U201">
        <f>INDEX(tblPeople[elements_exposed],MATCH(tblNotify[[#This Row],[person_id]],tblPeople[person_id],0))&amp;""</f>
        <v>0</v>
      </c>
      <c r="V201">
        <f>_xlfn.TEXTJOIN(" ",TRUE,tblNotify[[#This Row],[first_name]],tblNotify[[#This Row],[middle_initial]],tblNotify[[#This Row],[last_name]],tblNotify[[#This Row],[name_suffix]])</f>
        <v>0</v>
      </c>
      <c r="W201" cm="1">
        <f t="array" ref="W20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01">
        <f>tblNotify[[#This Row],[status_xl]]=tblNotify[[#This Row],[notify_status]]</f>
        <v>0</v>
      </c>
    </row>
    <row r="202" spans="1:24">
      <c r="A202" s="6" t="s">
        <v>2230</v>
      </c>
      <c r="B202" t="s">
        <v>39</v>
      </c>
      <c r="C202" t="s">
        <v>2228</v>
      </c>
      <c r="D202" t="s">
        <v>1204</v>
      </c>
      <c r="E202" t="s">
        <v>324</v>
      </c>
      <c r="G202" t="s">
        <v>669</v>
      </c>
      <c r="I202" t="s">
        <v>671</v>
      </c>
      <c r="J202" t="s">
        <v>39</v>
      </c>
      <c r="K202" s="6" t="s">
        <v>672</v>
      </c>
      <c r="L202" t="s">
        <v>148</v>
      </c>
      <c r="M202" t="s">
        <v>2882</v>
      </c>
      <c r="N202" t="b">
        <v>0</v>
      </c>
      <c r="P202" t="s">
        <v>2919</v>
      </c>
      <c r="Q202" t="b">
        <v>1</v>
      </c>
      <c r="R202" t="s">
        <v>149</v>
      </c>
      <c r="S202" t="s">
        <v>2918</v>
      </c>
      <c r="T202" cm="1">
        <f t="array" ref="T202">_xlfn.XLOOKUP(tblNotify[[#This Row],[person_id]],tblPeople[person_id],tblPeople[elements_exposed],"NOT FOUND")&amp;""</f>
        <v>0</v>
      </c>
      <c r="U202">
        <f>INDEX(tblPeople[elements_exposed],MATCH(tblNotify[[#This Row],[person_id]],tblPeople[person_id],0))&amp;""</f>
        <v>0</v>
      </c>
      <c r="V202">
        <f>_xlfn.TEXTJOIN(" ",TRUE,tblNotify[[#This Row],[first_name]],tblNotify[[#This Row],[middle_initial]],tblNotify[[#This Row],[last_name]],tblNotify[[#This Row],[name_suffix]])</f>
        <v>0</v>
      </c>
      <c r="W202" cm="1">
        <f t="array" ref="W20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02">
        <f>tblNotify[[#This Row],[status_xl]]=tblNotify[[#This Row],[notify_status]]</f>
        <v>0</v>
      </c>
    </row>
    <row r="203" spans="1:24">
      <c r="A203" s="6" t="s">
        <v>2233</v>
      </c>
      <c r="B203" t="s">
        <v>39</v>
      </c>
      <c r="C203" t="s">
        <v>2228</v>
      </c>
      <c r="D203" t="s">
        <v>1413</v>
      </c>
      <c r="G203" t="s">
        <v>669</v>
      </c>
      <c r="I203" t="s">
        <v>671</v>
      </c>
      <c r="J203" t="s">
        <v>39</v>
      </c>
      <c r="K203" s="6" t="s">
        <v>672</v>
      </c>
      <c r="L203" t="s">
        <v>148</v>
      </c>
      <c r="N203" t="b">
        <v>0</v>
      </c>
      <c r="P203" t="s">
        <v>2942</v>
      </c>
      <c r="Q203" t="b">
        <v>0</v>
      </c>
      <c r="R203" t="s">
        <v>149</v>
      </c>
      <c r="S203" t="s">
        <v>2918</v>
      </c>
      <c r="T203" cm="1">
        <f t="array" ref="T203">_xlfn.XLOOKUP(tblNotify[[#This Row],[person_id]],tblPeople[person_id],tblPeople[elements_exposed],"NOT FOUND")&amp;""</f>
        <v>0</v>
      </c>
      <c r="U203">
        <f>INDEX(tblPeople[elements_exposed],MATCH(tblNotify[[#This Row],[person_id]],tblPeople[person_id],0))&amp;""</f>
        <v>0</v>
      </c>
      <c r="V203">
        <f>_xlfn.TEXTJOIN(" ",TRUE,tblNotify[[#This Row],[first_name]],tblNotify[[#This Row],[middle_initial]],tblNotify[[#This Row],[last_name]],tblNotify[[#This Row],[name_suffix]])</f>
        <v>0</v>
      </c>
      <c r="W203" cm="1">
        <f t="array" ref="W20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03">
        <f>tblNotify[[#This Row],[status_xl]]=tblNotify[[#This Row],[notify_status]]</f>
        <v>0</v>
      </c>
    </row>
    <row r="204" spans="1:24">
      <c r="A204" s="6" t="s">
        <v>2237</v>
      </c>
      <c r="B204" t="s">
        <v>37</v>
      </c>
      <c r="C204" t="s">
        <v>236</v>
      </c>
      <c r="D204" t="s">
        <v>234</v>
      </c>
      <c r="G204" t="s">
        <v>237</v>
      </c>
      <c r="I204" t="s">
        <v>238</v>
      </c>
      <c r="J204" t="s">
        <v>37</v>
      </c>
      <c r="K204" s="6" t="s">
        <v>239</v>
      </c>
      <c r="L204" t="s">
        <v>148</v>
      </c>
      <c r="N204" t="b">
        <v>0</v>
      </c>
      <c r="P204" t="s">
        <v>2943</v>
      </c>
      <c r="Q204" t="b">
        <v>0</v>
      </c>
      <c r="R204" t="s">
        <v>149</v>
      </c>
      <c r="S204" t="s">
        <v>2918</v>
      </c>
      <c r="T204" cm="1">
        <f t="array" ref="T204">_xlfn.XLOOKUP(tblNotify[[#This Row],[person_id]],tblPeople[person_id],tblPeople[elements_exposed],"NOT FOUND")&amp;""</f>
        <v>0</v>
      </c>
      <c r="U204">
        <f>INDEX(tblPeople[elements_exposed],MATCH(tblNotify[[#This Row],[person_id]],tblPeople[person_id],0))&amp;""</f>
        <v>0</v>
      </c>
      <c r="V204">
        <f>_xlfn.TEXTJOIN(" ",TRUE,tblNotify[[#This Row],[first_name]],tblNotify[[#This Row],[middle_initial]],tblNotify[[#This Row],[last_name]],tblNotify[[#This Row],[name_suffix]])</f>
        <v>0</v>
      </c>
      <c r="W204" cm="1">
        <f t="array" ref="W20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04">
        <f>tblNotify[[#This Row],[status_xl]]=tblNotify[[#This Row],[notify_status]]</f>
        <v>0</v>
      </c>
    </row>
    <row r="205" spans="1:24">
      <c r="A205" s="6" t="s">
        <v>2241</v>
      </c>
      <c r="B205" t="s">
        <v>37</v>
      </c>
      <c r="C205" t="s">
        <v>2239</v>
      </c>
      <c r="D205" t="s">
        <v>1473</v>
      </c>
      <c r="E205" t="s">
        <v>189</v>
      </c>
      <c r="G205" t="s">
        <v>226</v>
      </c>
      <c r="I205" t="s">
        <v>227</v>
      </c>
      <c r="J205" t="s">
        <v>37</v>
      </c>
      <c r="K205" s="6" t="s">
        <v>228</v>
      </c>
      <c r="L205" t="s">
        <v>148</v>
      </c>
      <c r="M205" t="s">
        <v>2882</v>
      </c>
      <c r="N205" t="b">
        <v>0</v>
      </c>
      <c r="P205" t="s">
        <v>2919</v>
      </c>
      <c r="Q205" t="b">
        <v>1</v>
      </c>
      <c r="R205" t="s">
        <v>149</v>
      </c>
      <c r="S205" t="s">
        <v>2918</v>
      </c>
      <c r="T205" cm="1">
        <f t="array" ref="T205">_xlfn.XLOOKUP(tblNotify[[#This Row],[person_id]],tblPeople[person_id],tblPeople[elements_exposed],"NOT FOUND")&amp;""</f>
        <v>0</v>
      </c>
      <c r="U205">
        <f>INDEX(tblPeople[elements_exposed],MATCH(tblNotify[[#This Row],[person_id]],tblPeople[person_id],0))&amp;""</f>
        <v>0</v>
      </c>
      <c r="V205">
        <f>_xlfn.TEXTJOIN(" ",TRUE,tblNotify[[#This Row],[first_name]],tblNotify[[#This Row],[middle_initial]],tblNotify[[#This Row],[last_name]],tblNotify[[#This Row],[name_suffix]])</f>
        <v>0</v>
      </c>
      <c r="W205" cm="1">
        <f t="array" ref="W20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05">
        <f>tblNotify[[#This Row],[status_xl]]=tblNotify[[#This Row],[notify_status]]</f>
        <v>0</v>
      </c>
    </row>
    <row r="206" spans="1:24">
      <c r="A206" s="6" t="s">
        <v>2244</v>
      </c>
      <c r="B206" t="s">
        <v>37</v>
      </c>
      <c r="C206" t="s">
        <v>2239</v>
      </c>
      <c r="D206" t="s">
        <v>562</v>
      </c>
      <c r="G206" t="s">
        <v>226</v>
      </c>
      <c r="I206" t="s">
        <v>227</v>
      </c>
      <c r="J206" t="s">
        <v>37</v>
      </c>
      <c r="K206" s="6" t="s">
        <v>228</v>
      </c>
      <c r="L206" t="s">
        <v>148</v>
      </c>
      <c r="N206" t="b">
        <v>0</v>
      </c>
      <c r="P206" t="s">
        <v>2944</v>
      </c>
      <c r="Q206" t="b">
        <v>0</v>
      </c>
      <c r="R206" t="s">
        <v>149</v>
      </c>
      <c r="S206" t="s">
        <v>2918</v>
      </c>
      <c r="T206" cm="1">
        <f t="array" ref="T206">_xlfn.XLOOKUP(tblNotify[[#This Row],[person_id]],tblPeople[person_id],tblPeople[elements_exposed],"NOT FOUND")&amp;""</f>
        <v>0</v>
      </c>
      <c r="U206">
        <f>INDEX(tblPeople[elements_exposed],MATCH(tblNotify[[#This Row],[person_id]],tblPeople[person_id],0))&amp;""</f>
        <v>0</v>
      </c>
      <c r="V206">
        <f>_xlfn.TEXTJOIN(" ",TRUE,tblNotify[[#This Row],[first_name]],tblNotify[[#This Row],[middle_initial]],tblNotify[[#This Row],[last_name]],tblNotify[[#This Row],[name_suffix]])</f>
        <v>0</v>
      </c>
      <c r="W206" cm="1">
        <f t="array" ref="W20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06">
        <f>tblNotify[[#This Row],[status_xl]]=tblNotify[[#This Row],[notify_status]]</f>
        <v>0</v>
      </c>
    </row>
    <row r="207" spans="1:24">
      <c r="A207" s="6" t="s">
        <v>2248</v>
      </c>
      <c r="B207" t="s">
        <v>39</v>
      </c>
      <c r="C207" t="s">
        <v>2246</v>
      </c>
      <c r="D207" t="s">
        <v>776</v>
      </c>
      <c r="G207" t="s">
        <v>250</v>
      </c>
      <c r="I207" t="s">
        <v>251</v>
      </c>
      <c r="J207" t="s">
        <v>39</v>
      </c>
      <c r="K207" s="6" t="s">
        <v>252</v>
      </c>
      <c r="L207" t="s">
        <v>148</v>
      </c>
      <c r="M207" t="s">
        <v>2882</v>
      </c>
      <c r="N207" t="b">
        <v>0</v>
      </c>
      <c r="P207" t="s">
        <v>2919</v>
      </c>
      <c r="Q207" t="b">
        <v>1</v>
      </c>
      <c r="R207" t="s">
        <v>149</v>
      </c>
      <c r="S207" t="s">
        <v>2918</v>
      </c>
      <c r="T207" cm="1">
        <f t="array" ref="T207">_xlfn.XLOOKUP(tblNotify[[#This Row],[person_id]],tblPeople[person_id],tblPeople[elements_exposed],"NOT FOUND")&amp;""</f>
        <v>0</v>
      </c>
      <c r="U207">
        <f>INDEX(tblPeople[elements_exposed],MATCH(tblNotify[[#This Row],[person_id]],tblPeople[person_id],0))&amp;""</f>
        <v>0</v>
      </c>
      <c r="V207">
        <f>_xlfn.TEXTJOIN(" ",TRUE,tblNotify[[#This Row],[first_name]],tblNotify[[#This Row],[middle_initial]],tblNotify[[#This Row],[last_name]],tblNotify[[#This Row],[name_suffix]])</f>
        <v>0</v>
      </c>
      <c r="W207" cm="1">
        <f t="array" ref="W207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07">
        <f>tblNotify[[#This Row],[status_xl]]=tblNotify[[#This Row],[notify_status]]</f>
        <v>0</v>
      </c>
    </row>
    <row r="208" spans="1:24">
      <c r="A208" s="6" t="s">
        <v>2251</v>
      </c>
      <c r="B208" t="s">
        <v>39</v>
      </c>
      <c r="C208" t="s">
        <v>2246</v>
      </c>
      <c r="D208" t="s">
        <v>507</v>
      </c>
      <c r="G208" t="s">
        <v>250</v>
      </c>
      <c r="I208" t="s">
        <v>251</v>
      </c>
      <c r="J208" t="s">
        <v>39</v>
      </c>
      <c r="K208" s="6" t="s">
        <v>252</v>
      </c>
      <c r="L208" t="s">
        <v>148</v>
      </c>
      <c r="N208" t="b">
        <v>0</v>
      </c>
      <c r="P208" t="s">
        <v>2945</v>
      </c>
      <c r="Q208" t="b">
        <v>0</v>
      </c>
      <c r="R208" t="s">
        <v>149</v>
      </c>
      <c r="S208" t="s">
        <v>2918</v>
      </c>
      <c r="T208" cm="1">
        <f t="array" ref="T208">_xlfn.XLOOKUP(tblNotify[[#This Row],[person_id]],tblPeople[person_id],tblPeople[elements_exposed],"NOT FOUND")&amp;""</f>
        <v>0</v>
      </c>
      <c r="U208">
        <f>INDEX(tblPeople[elements_exposed],MATCH(tblNotify[[#This Row],[person_id]],tblPeople[person_id],0))&amp;""</f>
        <v>0</v>
      </c>
      <c r="V208">
        <f>_xlfn.TEXTJOIN(" ",TRUE,tblNotify[[#This Row],[first_name]],tblNotify[[#This Row],[middle_initial]],tblNotify[[#This Row],[last_name]],tblNotify[[#This Row],[name_suffix]])</f>
        <v>0</v>
      </c>
      <c r="W208" cm="1">
        <f t="array" ref="W208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08">
        <f>tblNotify[[#This Row],[status_xl]]=tblNotify[[#This Row],[notify_status]]</f>
        <v>0</v>
      </c>
    </row>
    <row r="209" spans="1:24">
      <c r="A209" s="6" t="s">
        <v>2256</v>
      </c>
      <c r="B209" t="s">
        <v>38</v>
      </c>
      <c r="C209" t="s">
        <v>2254</v>
      </c>
      <c r="D209" t="s">
        <v>2253</v>
      </c>
      <c r="E209" t="s">
        <v>224</v>
      </c>
      <c r="G209" t="s">
        <v>1149</v>
      </c>
      <c r="I209" t="s">
        <v>1150</v>
      </c>
      <c r="J209" t="s">
        <v>38</v>
      </c>
      <c r="K209" s="6" t="s">
        <v>1151</v>
      </c>
      <c r="L209" t="s">
        <v>148</v>
      </c>
      <c r="M209" t="s">
        <v>2882</v>
      </c>
      <c r="N209" t="b">
        <v>0</v>
      </c>
      <c r="P209" t="s">
        <v>2919</v>
      </c>
      <c r="Q209" t="b">
        <v>1</v>
      </c>
      <c r="R209" t="s">
        <v>149</v>
      </c>
      <c r="S209" t="s">
        <v>2918</v>
      </c>
      <c r="T209" cm="1">
        <f t="array" ref="T209">_xlfn.XLOOKUP(tblNotify[[#This Row],[person_id]],tblPeople[person_id],tblPeople[elements_exposed],"NOT FOUND")&amp;""</f>
        <v>0</v>
      </c>
      <c r="U209">
        <f>INDEX(tblPeople[elements_exposed],MATCH(tblNotify[[#This Row],[person_id]],tblPeople[person_id],0))&amp;""</f>
        <v>0</v>
      </c>
      <c r="V209">
        <f>_xlfn.TEXTJOIN(" ",TRUE,tblNotify[[#This Row],[first_name]],tblNotify[[#This Row],[middle_initial]],tblNotify[[#This Row],[last_name]],tblNotify[[#This Row],[name_suffix]])</f>
        <v>0</v>
      </c>
      <c r="W209" cm="1">
        <f t="array" ref="W209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09">
        <f>tblNotify[[#This Row],[status_xl]]=tblNotify[[#This Row],[notify_status]]</f>
        <v>0</v>
      </c>
    </row>
    <row r="210" spans="1:24">
      <c r="A210" s="6" t="s">
        <v>2259</v>
      </c>
      <c r="B210" t="s">
        <v>38</v>
      </c>
      <c r="C210" t="s">
        <v>2254</v>
      </c>
      <c r="D210" t="s">
        <v>179</v>
      </c>
      <c r="G210" t="s">
        <v>1149</v>
      </c>
      <c r="I210" t="s">
        <v>1150</v>
      </c>
      <c r="J210" t="s">
        <v>38</v>
      </c>
      <c r="K210" s="6" t="s">
        <v>1151</v>
      </c>
      <c r="L210" t="s">
        <v>148</v>
      </c>
      <c r="N210" t="b">
        <v>0</v>
      </c>
      <c r="P210" t="s">
        <v>2946</v>
      </c>
      <c r="Q210" t="b">
        <v>0</v>
      </c>
      <c r="R210" t="s">
        <v>149</v>
      </c>
      <c r="S210" t="s">
        <v>2918</v>
      </c>
      <c r="T210" cm="1">
        <f t="array" ref="T210">_xlfn.XLOOKUP(tblNotify[[#This Row],[person_id]],tblPeople[person_id],tblPeople[elements_exposed],"NOT FOUND")&amp;""</f>
        <v>0</v>
      </c>
      <c r="U210">
        <f>INDEX(tblPeople[elements_exposed],MATCH(tblNotify[[#This Row],[person_id]],tblPeople[person_id],0))&amp;""</f>
        <v>0</v>
      </c>
      <c r="V210">
        <f>_xlfn.TEXTJOIN(" ",TRUE,tblNotify[[#This Row],[first_name]],tblNotify[[#This Row],[middle_initial]],tblNotify[[#This Row],[last_name]],tblNotify[[#This Row],[name_suffix]])</f>
        <v>0</v>
      </c>
      <c r="W210" cm="1">
        <f t="array" ref="W210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10">
        <f>tblNotify[[#This Row],[status_xl]]=tblNotify[[#This Row],[notify_status]]</f>
        <v>0</v>
      </c>
    </row>
    <row r="211" spans="1:24">
      <c r="A211" s="6" t="s">
        <v>2262</v>
      </c>
      <c r="B211" t="s">
        <v>33</v>
      </c>
      <c r="C211" t="s">
        <v>1310</v>
      </c>
      <c r="D211" t="s">
        <v>188</v>
      </c>
      <c r="E211" t="s">
        <v>1200</v>
      </c>
      <c r="G211" t="s">
        <v>269</v>
      </c>
      <c r="I211" t="s">
        <v>636</v>
      </c>
      <c r="J211" t="s">
        <v>33</v>
      </c>
      <c r="K211" s="6" t="s">
        <v>271</v>
      </c>
      <c r="L211" t="s">
        <v>148</v>
      </c>
      <c r="M211" t="s">
        <v>2882</v>
      </c>
      <c r="N211" t="b">
        <v>0</v>
      </c>
      <c r="P211" t="s">
        <v>2919</v>
      </c>
      <c r="Q211" t="b">
        <v>1</v>
      </c>
      <c r="R211" t="s">
        <v>149</v>
      </c>
      <c r="S211" t="s">
        <v>2918</v>
      </c>
      <c r="T211" cm="1">
        <f t="array" ref="T211">_xlfn.XLOOKUP(tblNotify[[#This Row],[person_id]],tblPeople[person_id],tblPeople[elements_exposed],"NOT FOUND")&amp;""</f>
        <v>0</v>
      </c>
      <c r="U211">
        <f>INDEX(tblPeople[elements_exposed],MATCH(tblNotify[[#This Row],[person_id]],tblPeople[person_id],0))&amp;""</f>
        <v>0</v>
      </c>
      <c r="V211">
        <f>_xlfn.TEXTJOIN(" ",TRUE,tblNotify[[#This Row],[first_name]],tblNotify[[#This Row],[middle_initial]],tblNotify[[#This Row],[last_name]],tblNotify[[#This Row],[name_suffix]])</f>
        <v>0</v>
      </c>
      <c r="W211" cm="1">
        <f t="array" ref="W211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11">
        <f>tblNotify[[#This Row],[status_xl]]=tblNotify[[#This Row],[notify_status]]</f>
        <v>0</v>
      </c>
    </row>
    <row r="212" spans="1:24">
      <c r="A212" s="6" t="s">
        <v>2265</v>
      </c>
      <c r="B212" t="s">
        <v>33</v>
      </c>
      <c r="C212" t="s">
        <v>1310</v>
      </c>
      <c r="D212" t="s">
        <v>1204</v>
      </c>
      <c r="G212" t="s">
        <v>269</v>
      </c>
      <c r="I212" t="s">
        <v>636</v>
      </c>
      <c r="J212" t="s">
        <v>33</v>
      </c>
      <c r="K212" s="6" t="s">
        <v>271</v>
      </c>
      <c r="L212" t="s">
        <v>148</v>
      </c>
      <c r="N212" t="b">
        <v>0</v>
      </c>
      <c r="P212" t="s">
        <v>2947</v>
      </c>
      <c r="Q212" t="b">
        <v>0</v>
      </c>
      <c r="R212" t="s">
        <v>149</v>
      </c>
      <c r="S212" t="s">
        <v>2918</v>
      </c>
      <c r="T212" cm="1">
        <f t="array" ref="T212">_xlfn.XLOOKUP(tblNotify[[#This Row],[person_id]],tblPeople[person_id],tblPeople[elements_exposed],"NOT FOUND")&amp;""</f>
        <v>0</v>
      </c>
      <c r="U212">
        <f>INDEX(tblPeople[elements_exposed],MATCH(tblNotify[[#This Row],[person_id]],tblPeople[person_id],0))&amp;""</f>
        <v>0</v>
      </c>
      <c r="V212">
        <f>_xlfn.TEXTJOIN(" ",TRUE,tblNotify[[#This Row],[first_name]],tblNotify[[#This Row],[middle_initial]],tblNotify[[#This Row],[last_name]],tblNotify[[#This Row],[name_suffix]])</f>
        <v>0</v>
      </c>
      <c r="W212" cm="1">
        <f t="array" ref="W212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12">
        <f>tblNotify[[#This Row],[status_xl]]=tblNotify[[#This Row],[notify_status]]</f>
        <v>0</v>
      </c>
    </row>
    <row r="213" spans="1:24">
      <c r="A213" s="6" t="s">
        <v>2269</v>
      </c>
      <c r="B213" t="s">
        <v>33</v>
      </c>
      <c r="C213" t="s">
        <v>547</v>
      </c>
      <c r="D213" t="s">
        <v>546</v>
      </c>
      <c r="G213" t="s">
        <v>548</v>
      </c>
      <c r="I213" t="s">
        <v>549</v>
      </c>
      <c r="J213" t="s">
        <v>33</v>
      </c>
      <c r="K213" s="6" t="s">
        <v>550</v>
      </c>
      <c r="L213" t="s">
        <v>148</v>
      </c>
      <c r="N213" t="b">
        <v>0</v>
      </c>
      <c r="P213" t="s">
        <v>2948</v>
      </c>
      <c r="Q213" t="b">
        <v>0</v>
      </c>
      <c r="R213" t="s">
        <v>149</v>
      </c>
      <c r="S213" t="s">
        <v>2918</v>
      </c>
      <c r="T213" cm="1">
        <f t="array" ref="T213">_xlfn.XLOOKUP(tblNotify[[#This Row],[person_id]],tblPeople[person_id],tblPeople[elements_exposed],"NOT FOUND")&amp;""</f>
        <v>0</v>
      </c>
      <c r="U213">
        <f>INDEX(tblPeople[elements_exposed],MATCH(tblNotify[[#This Row],[person_id]],tblPeople[person_id],0))&amp;""</f>
        <v>0</v>
      </c>
      <c r="V213">
        <f>_xlfn.TEXTJOIN(" ",TRUE,tblNotify[[#This Row],[first_name]],tblNotify[[#This Row],[middle_initial]],tblNotify[[#This Row],[last_name]],tblNotify[[#This Row],[name_suffix]])</f>
        <v>0</v>
      </c>
      <c r="W213" cm="1">
        <f t="array" ref="W213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13">
        <f>tblNotify[[#This Row],[status_xl]]=tblNotify[[#This Row],[notify_status]]</f>
        <v>0</v>
      </c>
    </row>
    <row r="214" spans="1:24">
      <c r="A214" s="6" t="s">
        <v>2277</v>
      </c>
      <c r="B214" t="s">
        <v>40</v>
      </c>
      <c r="C214" t="s">
        <v>2272</v>
      </c>
      <c r="D214" t="s">
        <v>2271</v>
      </c>
      <c r="E214" t="s">
        <v>163</v>
      </c>
      <c r="G214" t="s">
        <v>2273</v>
      </c>
      <c r="I214" t="s">
        <v>2274</v>
      </c>
      <c r="J214" t="s">
        <v>40</v>
      </c>
      <c r="K214" s="6" t="s">
        <v>2275</v>
      </c>
      <c r="L214" t="s">
        <v>148</v>
      </c>
      <c r="M214" t="s">
        <v>2882</v>
      </c>
      <c r="N214" t="b">
        <v>0</v>
      </c>
      <c r="P214" t="s">
        <v>2919</v>
      </c>
      <c r="Q214" t="b">
        <v>1</v>
      </c>
      <c r="R214" t="s">
        <v>205</v>
      </c>
      <c r="S214" t="s">
        <v>2918</v>
      </c>
      <c r="T214" cm="1">
        <f t="array" ref="T214">_xlfn.XLOOKUP(tblNotify[[#This Row],[person_id]],tblPeople[person_id],tblPeople[elements_exposed],"NOT FOUND")&amp;""</f>
        <v>0</v>
      </c>
      <c r="U214">
        <f>INDEX(tblPeople[elements_exposed],MATCH(tblNotify[[#This Row],[person_id]],tblPeople[person_id],0))&amp;""</f>
        <v>0</v>
      </c>
      <c r="V214">
        <f>_xlfn.TEXTJOIN(" ",TRUE,tblNotify[[#This Row],[first_name]],tblNotify[[#This Row],[middle_initial]],tblNotify[[#This Row],[last_name]],tblNotify[[#This Row],[name_suffix]])</f>
        <v>0</v>
      </c>
      <c r="W214" cm="1">
        <f t="array" ref="W214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14">
        <f>tblNotify[[#This Row],[status_xl]]=tblNotify[[#This Row],[notify_status]]</f>
        <v>0</v>
      </c>
    </row>
    <row r="215" spans="1:24">
      <c r="A215" s="6" t="s">
        <v>2280</v>
      </c>
      <c r="B215" t="s">
        <v>40</v>
      </c>
      <c r="C215" t="s">
        <v>2272</v>
      </c>
      <c r="D215" t="s">
        <v>188</v>
      </c>
      <c r="G215" t="s">
        <v>2273</v>
      </c>
      <c r="I215" t="s">
        <v>2274</v>
      </c>
      <c r="J215" t="s">
        <v>40</v>
      </c>
      <c r="K215" s="6" t="s">
        <v>2275</v>
      </c>
      <c r="L215" t="s">
        <v>148</v>
      </c>
      <c r="N215" t="b">
        <v>0</v>
      </c>
      <c r="P215" t="s">
        <v>2949</v>
      </c>
      <c r="Q215" t="b">
        <v>0</v>
      </c>
      <c r="R215" t="s">
        <v>205</v>
      </c>
      <c r="S215" t="s">
        <v>2918</v>
      </c>
      <c r="T215" cm="1">
        <f t="array" ref="T215">_xlfn.XLOOKUP(tblNotify[[#This Row],[person_id]],tblPeople[person_id],tblPeople[elements_exposed],"NOT FOUND")&amp;""</f>
        <v>0</v>
      </c>
      <c r="U215">
        <f>INDEX(tblPeople[elements_exposed],MATCH(tblNotify[[#This Row],[person_id]],tblPeople[person_id],0))&amp;""</f>
        <v>0</v>
      </c>
      <c r="V215">
        <f>_xlfn.TEXTJOIN(" ",TRUE,tblNotify[[#This Row],[first_name]],tblNotify[[#This Row],[middle_initial]],tblNotify[[#This Row],[last_name]],tblNotify[[#This Row],[name_suffix]])</f>
        <v>0</v>
      </c>
      <c r="W215" cm="1">
        <f t="array" ref="W215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15">
        <f>tblNotify[[#This Row],[status_xl]]=tblNotify[[#This Row],[notify_status]]</f>
        <v>0</v>
      </c>
    </row>
    <row r="216" spans="1:24">
      <c r="A216" s="6" t="s">
        <v>2284</v>
      </c>
      <c r="B216" t="s">
        <v>35</v>
      </c>
      <c r="C216" t="s">
        <v>300</v>
      </c>
      <c r="D216" t="s">
        <v>298</v>
      </c>
      <c r="G216" t="s">
        <v>301</v>
      </c>
      <c r="I216" t="s">
        <v>302</v>
      </c>
      <c r="J216" t="s">
        <v>35</v>
      </c>
      <c r="K216" s="6" t="s">
        <v>303</v>
      </c>
      <c r="L216" t="s">
        <v>148</v>
      </c>
      <c r="N216" t="b">
        <v>0</v>
      </c>
      <c r="P216" t="s">
        <v>2950</v>
      </c>
      <c r="Q216" t="b">
        <v>0</v>
      </c>
      <c r="R216" t="s">
        <v>149</v>
      </c>
      <c r="S216" t="s">
        <v>2918</v>
      </c>
      <c r="T216" cm="1">
        <f t="array" ref="T216">_xlfn.XLOOKUP(tblNotify[[#This Row],[person_id]],tblPeople[person_id],tblPeople[elements_exposed],"NOT FOUND")&amp;""</f>
        <v>0</v>
      </c>
      <c r="U216">
        <f>INDEX(tblPeople[elements_exposed],MATCH(tblNotify[[#This Row],[person_id]],tblPeople[person_id],0))&amp;""</f>
        <v>0</v>
      </c>
      <c r="V216">
        <f>_xlfn.TEXTJOIN(" ",TRUE,tblNotify[[#This Row],[first_name]],tblNotify[[#This Row],[middle_initial]],tblNotify[[#This Row],[last_name]],tblNotify[[#This Row],[name_suffix]])</f>
        <v>0</v>
      </c>
      <c r="W216" cm="1">
        <f t="array" ref="W216">IF(AND(tblNotify[[#This Row],[notify_required]],NOT(_xlfn.XLOOKUP(tblNotify[[#This Row],[person_id]],tblPeople[person_id],tblPeople[needs_review],FALSE))),"READY",IF(tblNotify[[#This Row],[notify_required]],"NEEDS_REVIEW","NOT_REQUIRED"))</f>
        <v>0</v>
      </c>
      <c r="X216">
        <f>tblNotify[[#This Row],[status_xl]]=tblNotify[[#This Row],[notify_status]]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H8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/>
  <cols>
    <col min="1" max="2" width="10.7109375" customWidth="1"/>
    <col min="3" max="3" width="14.7109375" customWidth="1"/>
    <col min="4" max="8" width="10.7109375" customWidth="1"/>
  </cols>
  <sheetData>
    <row r="1" spans="1:8">
      <c r="A1" t="s">
        <v>2951</v>
      </c>
      <c r="B1" t="s">
        <v>2952</v>
      </c>
      <c r="C1" t="s">
        <v>2953</v>
      </c>
      <c r="D1" t="s">
        <v>2954</v>
      </c>
      <c r="E1" t="s">
        <v>55</v>
      </c>
      <c r="F1" t="s">
        <v>56</v>
      </c>
      <c r="G1" t="s">
        <v>2292</v>
      </c>
      <c r="H1" t="s">
        <v>2955</v>
      </c>
    </row>
    <row r="2" spans="1:8">
      <c r="A2" t="s">
        <v>2956</v>
      </c>
      <c r="B2" t="s">
        <v>2957</v>
      </c>
      <c r="C2" s="6" t="s">
        <v>351</v>
      </c>
      <c r="D2" t="s">
        <v>2958</v>
      </c>
      <c r="E2" s="6" t="s">
        <v>329</v>
      </c>
      <c r="F2" s="6" t="s">
        <v>2959</v>
      </c>
    </row>
    <row r="3" spans="1:8">
      <c r="A3" t="s">
        <v>2956</v>
      </c>
      <c r="B3" t="s">
        <v>2957</v>
      </c>
      <c r="C3" s="6" t="s">
        <v>2960</v>
      </c>
      <c r="D3" t="s">
        <v>2961</v>
      </c>
      <c r="E3" s="6" t="s">
        <v>1103</v>
      </c>
      <c r="F3" s="6"/>
      <c r="G3" t="s">
        <v>1105</v>
      </c>
      <c r="H3" t="s">
        <v>2962</v>
      </c>
    </row>
    <row r="4" spans="1:8">
      <c r="A4" t="s">
        <v>2956</v>
      </c>
      <c r="B4" t="s">
        <v>2957</v>
      </c>
      <c r="C4" s="6" t="s">
        <v>351</v>
      </c>
      <c r="D4" t="s">
        <v>2963</v>
      </c>
      <c r="E4" s="6" t="s">
        <v>2964</v>
      </c>
      <c r="F4" s="6"/>
      <c r="G4" t="s">
        <v>2965</v>
      </c>
      <c r="H4" t="s">
        <v>2966</v>
      </c>
    </row>
    <row r="5" spans="1:8">
      <c r="A5" t="s">
        <v>2956</v>
      </c>
      <c r="B5" t="s">
        <v>2957</v>
      </c>
      <c r="C5" s="6" t="s">
        <v>2967</v>
      </c>
      <c r="D5" t="s">
        <v>2963</v>
      </c>
      <c r="E5" s="6" t="s">
        <v>2964</v>
      </c>
      <c r="F5" s="6"/>
      <c r="G5" t="s">
        <v>2965</v>
      </c>
      <c r="H5" t="s">
        <v>2968</v>
      </c>
    </row>
    <row r="6" spans="1:8">
      <c r="A6" t="s">
        <v>2956</v>
      </c>
      <c r="B6" t="s">
        <v>2957</v>
      </c>
      <c r="C6" s="6" t="s">
        <v>2969</v>
      </c>
      <c r="D6" t="s">
        <v>2963</v>
      </c>
      <c r="E6" s="6" t="s">
        <v>2964</v>
      </c>
      <c r="F6" s="6"/>
      <c r="G6" t="s">
        <v>2965</v>
      </c>
      <c r="H6" t="s">
        <v>2970</v>
      </c>
    </row>
    <row r="7" spans="1:8">
      <c r="A7" t="s">
        <v>2956</v>
      </c>
      <c r="B7" t="s">
        <v>2957</v>
      </c>
      <c r="C7" s="6" t="s">
        <v>254</v>
      </c>
      <c r="D7" t="s">
        <v>2963</v>
      </c>
      <c r="E7" s="6" t="s">
        <v>2964</v>
      </c>
      <c r="F7" s="6"/>
      <c r="G7" t="s">
        <v>2965</v>
      </c>
      <c r="H7" t="s">
        <v>2971</v>
      </c>
    </row>
    <row r="8" spans="1:8">
      <c r="A8" t="s">
        <v>2956</v>
      </c>
      <c r="B8" t="s">
        <v>2957</v>
      </c>
      <c r="C8" s="6" t="s">
        <v>2972</v>
      </c>
      <c r="D8" t="s">
        <v>2963</v>
      </c>
      <c r="E8" s="6" t="s">
        <v>2964</v>
      </c>
      <c r="F8" s="6"/>
      <c r="G8" t="s">
        <v>2965</v>
      </c>
      <c r="H8" t="s">
        <v>2973</v>
      </c>
    </row>
    <row r="9" spans="1:8">
      <c r="A9" t="s">
        <v>2956</v>
      </c>
      <c r="B9" t="s">
        <v>2957</v>
      </c>
      <c r="C9" s="6" t="s">
        <v>2974</v>
      </c>
      <c r="D9" t="s">
        <v>2963</v>
      </c>
      <c r="E9" s="6" t="s">
        <v>2964</v>
      </c>
      <c r="F9" s="6"/>
      <c r="G9" t="s">
        <v>2965</v>
      </c>
      <c r="H9" t="s">
        <v>2975</v>
      </c>
    </row>
    <row r="10" spans="1:8">
      <c r="A10" t="s">
        <v>2956</v>
      </c>
      <c r="B10" t="s">
        <v>2957</v>
      </c>
      <c r="C10" s="6" t="s">
        <v>2976</v>
      </c>
      <c r="D10" t="s">
        <v>2963</v>
      </c>
      <c r="E10" s="6" t="s">
        <v>2964</v>
      </c>
      <c r="F10" s="6"/>
      <c r="G10" t="s">
        <v>2965</v>
      </c>
      <c r="H10" t="s">
        <v>2977</v>
      </c>
    </row>
    <row r="11" spans="1:8">
      <c r="A11" t="s">
        <v>2956</v>
      </c>
      <c r="B11" t="s">
        <v>2957</v>
      </c>
      <c r="C11" s="6" t="s">
        <v>2960</v>
      </c>
      <c r="D11" t="s">
        <v>2963</v>
      </c>
      <c r="E11" s="6" t="s">
        <v>2964</v>
      </c>
      <c r="F11" s="6"/>
      <c r="G11" t="s">
        <v>2965</v>
      </c>
      <c r="H11" t="s">
        <v>2978</v>
      </c>
    </row>
    <row r="12" spans="1:8">
      <c r="A12" t="s">
        <v>2956</v>
      </c>
      <c r="B12" t="s">
        <v>2957</v>
      </c>
      <c r="C12" s="6" t="s">
        <v>2979</v>
      </c>
      <c r="D12" t="s">
        <v>2963</v>
      </c>
      <c r="E12" s="6" t="s">
        <v>2964</v>
      </c>
      <c r="F12" s="6"/>
      <c r="G12" t="s">
        <v>2965</v>
      </c>
      <c r="H12" t="s">
        <v>2980</v>
      </c>
    </row>
    <row r="13" spans="1:8">
      <c r="A13" t="s">
        <v>2956</v>
      </c>
      <c r="B13" t="s">
        <v>2957</v>
      </c>
      <c r="C13" s="6" t="s">
        <v>2981</v>
      </c>
      <c r="D13" t="s">
        <v>2963</v>
      </c>
      <c r="E13" s="6" t="s">
        <v>2964</v>
      </c>
      <c r="F13" s="6"/>
      <c r="G13" t="s">
        <v>2965</v>
      </c>
      <c r="H13" t="s">
        <v>2982</v>
      </c>
    </row>
    <row r="14" spans="1:8">
      <c r="A14" t="s">
        <v>2956</v>
      </c>
      <c r="B14" t="s">
        <v>2957</v>
      </c>
      <c r="C14" s="6" t="s">
        <v>2983</v>
      </c>
      <c r="D14" t="s">
        <v>2963</v>
      </c>
      <c r="E14" s="6" t="s">
        <v>2964</v>
      </c>
      <c r="F14" s="6"/>
      <c r="G14" t="s">
        <v>2965</v>
      </c>
      <c r="H14" t="s">
        <v>2984</v>
      </c>
    </row>
    <row r="15" spans="1:8">
      <c r="A15" t="s">
        <v>2956</v>
      </c>
      <c r="B15" t="s">
        <v>2957</v>
      </c>
      <c r="C15" s="6" t="s">
        <v>2985</v>
      </c>
      <c r="D15" t="s">
        <v>2963</v>
      </c>
      <c r="E15" s="6" t="s">
        <v>2964</v>
      </c>
      <c r="F15" s="6"/>
      <c r="G15" t="s">
        <v>2965</v>
      </c>
      <c r="H15" t="s">
        <v>2986</v>
      </c>
    </row>
    <row r="16" spans="1:8">
      <c r="A16" t="s">
        <v>2956</v>
      </c>
      <c r="B16" t="s">
        <v>2957</v>
      </c>
      <c r="C16" s="6" t="s">
        <v>2987</v>
      </c>
      <c r="D16" t="s">
        <v>2963</v>
      </c>
      <c r="E16" s="6" t="s">
        <v>2964</v>
      </c>
      <c r="F16" s="6"/>
      <c r="G16" t="s">
        <v>2965</v>
      </c>
      <c r="H16" t="s">
        <v>2988</v>
      </c>
    </row>
    <row r="17" spans="1:8">
      <c r="A17" t="s">
        <v>2956</v>
      </c>
      <c r="B17" t="s">
        <v>2957</v>
      </c>
      <c r="C17" s="6" t="s">
        <v>2989</v>
      </c>
      <c r="D17" t="s">
        <v>2963</v>
      </c>
      <c r="E17" s="6" t="s">
        <v>2964</v>
      </c>
      <c r="F17" s="6"/>
      <c r="G17" t="s">
        <v>2965</v>
      </c>
      <c r="H17" t="s">
        <v>2990</v>
      </c>
    </row>
    <row r="18" spans="1:8">
      <c r="A18" t="s">
        <v>2956</v>
      </c>
      <c r="B18" t="s">
        <v>2957</v>
      </c>
      <c r="C18" s="6" t="s">
        <v>2991</v>
      </c>
      <c r="D18" t="s">
        <v>2963</v>
      </c>
      <c r="E18" s="6" t="s">
        <v>2964</v>
      </c>
      <c r="F18" s="6"/>
      <c r="G18" t="s">
        <v>2965</v>
      </c>
      <c r="H18" t="s">
        <v>2992</v>
      </c>
    </row>
    <row r="19" spans="1:8">
      <c r="A19" t="s">
        <v>2956</v>
      </c>
      <c r="B19" t="s">
        <v>2957</v>
      </c>
      <c r="C19" s="6" t="s">
        <v>2993</v>
      </c>
      <c r="D19" t="s">
        <v>2963</v>
      </c>
      <c r="E19" s="6" t="s">
        <v>2964</v>
      </c>
      <c r="F19" s="6"/>
      <c r="G19" t="s">
        <v>2965</v>
      </c>
      <c r="H19" t="s">
        <v>2994</v>
      </c>
    </row>
    <row r="20" spans="1:8">
      <c r="A20" t="s">
        <v>2956</v>
      </c>
      <c r="B20" t="s">
        <v>2957</v>
      </c>
      <c r="C20" s="6" t="s">
        <v>2995</v>
      </c>
      <c r="D20" t="s">
        <v>2963</v>
      </c>
      <c r="E20" s="6" t="s">
        <v>2964</v>
      </c>
      <c r="F20" s="6"/>
      <c r="G20" t="s">
        <v>2965</v>
      </c>
      <c r="H20" t="s">
        <v>2996</v>
      </c>
    </row>
    <row r="21" spans="1:8">
      <c r="A21" t="s">
        <v>2956</v>
      </c>
      <c r="B21" t="s">
        <v>2957</v>
      </c>
      <c r="C21" s="6" t="s">
        <v>2997</v>
      </c>
      <c r="D21" t="s">
        <v>2963</v>
      </c>
      <c r="E21" s="6" t="s">
        <v>2964</v>
      </c>
      <c r="F21" s="6"/>
      <c r="G21" t="s">
        <v>2965</v>
      </c>
      <c r="H21" t="s">
        <v>2998</v>
      </c>
    </row>
    <row r="22" spans="1:8">
      <c r="A22" t="s">
        <v>2956</v>
      </c>
      <c r="B22" t="s">
        <v>2957</v>
      </c>
      <c r="C22" s="6" t="s">
        <v>2999</v>
      </c>
      <c r="D22" t="s">
        <v>2963</v>
      </c>
      <c r="E22" s="6" t="s">
        <v>2964</v>
      </c>
      <c r="F22" s="6"/>
      <c r="G22" t="s">
        <v>2965</v>
      </c>
      <c r="H22" t="s">
        <v>3000</v>
      </c>
    </row>
    <row r="23" spans="1:8">
      <c r="A23" t="s">
        <v>2956</v>
      </c>
      <c r="B23" t="s">
        <v>2957</v>
      </c>
      <c r="C23" s="6" t="s">
        <v>3001</v>
      </c>
      <c r="D23" t="s">
        <v>2963</v>
      </c>
      <c r="E23" s="6" t="s">
        <v>2964</v>
      </c>
      <c r="F23" s="6"/>
      <c r="G23" t="s">
        <v>2965</v>
      </c>
      <c r="H23" t="s">
        <v>3002</v>
      </c>
    </row>
    <row r="24" spans="1:8">
      <c r="A24" t="s">
        <v>2956</v>
      </c>
      <c r="B24" t="s">
        <v>2957</v>
      </c>
      <c r="C24" s="6" t="s">
        <v>3003</v>
      </c>
      <c r="D24" t="s">
        <v>2963</v>
      </c>
      <c r="E24" s="6" t="s">
        <v>2964</v>
      </c>
      <c r="F24" s="6"/>
      <c r="G24" t="s">
        <v>2965</v>
      </c>
      <c r="H24" t="s">
        <v>3004</v>
      </c>
    </row>
    <row r="25" spans="1:8">
      <c r="A25" t="s">
        <v>2956</v>
      </c>
      <c r="B25" t="s">
        <v>2957</v>
      </c>
      <c r="C25" s="6" t="s">
        <v>3005</v>
      </c>
      <c r="D25" t="s">
        <v>2963</v>
      </c>
      <c r="E25" s="6" t="s">
        <v>2964</v>
      </c>
      <c r="F25" s="6"/>
      <c r="G25" t="s">
        <v>2965</v>
      </c>
      <c r="H25" t="s">
        <v>3006</v>
      </c>
    </row>
    <row r="26" spans="1:8">
      <c r="A26" t="s">
        <v>2956</v>
      </c>
      <c r="B26" t="s">
        <v>2957</v>
      </c>
      <c r="C26" s="6" t="s">
        <v>3007</v>
      </c>
      <c r="D26" t="s">
        <v>2963</v>
      </c>
      <c r="E26" s="6" t="s">
        <v>2964</v>
      </c>
      <c r="F26" s="6"/>
      <c r="G26" t="s">
        <v>2965</v>
      </c>
      <c r="H26" t="s">
        <v>3008</v>
      </c>
    </row>
    <row r="27" spans="1:8">
      <c r="A27" t="s">
        <v>2956</v>
      </c>
      <c r="B27" t="s">
        <v>2957</v>
      </c>
      <c r="C27" s="6" t="s">
        <v>3009</v>
      </c>
      <c r="D27" t="s">
        <v>2963</v>
      </c>
      <c r="E27" s="6" t="s">
        <v>2964</v>
      </c>
      <c r="F27" s="6"/>
      <c r="G27" t="s">
        <v>2965</v>
      </c>
      <c r="H27" t="s">
        <v>3010</v>
      </c>
    </row>
    <row r="28" spans="1:8">
      <c r="A28" t="s">
        <v>2956</v>
      </c>
      <c r="B28" t="s">
        <v>2957</v>
      </c>
      <c r="C28" s="6" t="s">
        <v>3011</v>
      </c>
      <c r="D28" t="s">
        <v>2963</v>
      </c>
      <c r="E28" s="6" t="s">
        <v>2964</v>
      </c>
      <c r="F28" s="6"/>
      <c r="G28" t="s">
        <v>2965</v>
      </c>
      <c r="H28" t="s">
        <v>3012</v>
      </c>
    </row>
    <row r="29" spans="1:8">
      <c r="A29" t="s">
        <v>3013</v>
      </c>
      <c r="B29" t="s">
        <v>3014</v>
      </c>
      <c r="C29" s="6" t="s">
        <v>3015</v>
      </c>
      <c r="D29" t="s">
        <v>3016</v>
      </c>
      <c r="E29" s="6" t="s">
        <v>243</v>
      </c>
      <c r="F29" s="6" t="s">
        <v>2959</v>
      </c>
    </row>
    <row r="30" spans="1:8">
      <c r="A30" t="s">
        <v>3013</v>
      </c>
      <c r="B30" t="s">
        <v>3017</v>
      </c>
      <c r="C30" s="6" t="s">
        <v>3018</v>
      </c>
      <c r="D30" t="s">
        <v>3019</v>
      </c>
      <c r="E30" s="6" t="s">
        <v>243</v>
      </c>
      <c r="F30" s="6" t="s">
        <v>2959</v>
      </c>
    </row>
    <row r="31" spans="1:8">
      <c r="A31" t="s">
        <v>3013</v>
      </c>
      <c r="B31" t="s">
        <v>3014</v>
      </c>
      <c r="C31" s="6" t="s">
        <v>3015</v>
      </c>
      <c r="D31" t="s">
        <v>3016</v>
      </c>
      <c r="E31" s="6" t="s">
        <v>264</v>
      </c>
      <c r="F31" s="6" t="s">
        <v>2959</v>
      </c>
    </row>
    <row r="32" spans="1:8">
      <c r="A32" t="s">
        <v>3013</v>
      </c>
      <c r="B32" t="s">
        <v>3017</v>
      </c>
      <c r="C32" s="6" t="s">
        <v>3018</v>
      </c>
      <c r="D32" t="s">
        <v>3019</v>
      </c>
      <c r="E32" s="6" t="s">
        <v>264</v>
      </c>
      <c r="F32" s="6" t="s">
        <v>2959</v>
      </c>
    </row>
    <row r="33" spans="1:6">
      <c r="A33" t="s">
        <v>3013</v>
      </c>
      <c r="B33" t="s">
        <v>3014</v>
      </c>
      <c r="C33" s="6" t="s">
        <v>3015</v>
      </c>
      <c r="D33" t="s">
        <v>3016</v>
      </c>
      <c r="E33" s="6" t="s">
        <v>279</v>
      </c>
      <c r="F33" s="6" t="s">
        <v>2959</v>
      </c>
    </row>
    <row r="34" spans="1:6">
      <c r="A34" t="s">
        <v>3013</v>
      </c>
      <c r="B34" t="s">
        <v>3017</v>
      </c>
      <c r="C34" s="6" t="s">
        <v>3018</v>
      </c>
      <c r="D34" t="s">
        <v>3019</v>
      </c>
      <c r="E34" s="6" t="s">
        <v>279</v>
      </c>
      <c r="F34" s="6" t="s">
        <v>2959</v>
      </c>
    </row>
    <row r="35" spans="1:6">
      <c r="A35" t="s">
        <v>3013</v>
      </c>
      <c r="B35" t="s">
        <v>3014</v>
      </c>
      <c r="C35" s="6" t="s">
        <v>3015</v>
      </c>
      <c r="D35" t="s">
        <v>3016</v>
      </c>
      <c r="E35" s="6" t="s">
        <v>293</v>
      </c>
      <c r="F35" s="6" t="s">
        <v>2959</v>
      </c>
    </row>
    <row r="36" spans="1:6">
      <c r="A36" t="s">
        <v>3013</v>
      </c>
      <c r="B36" t="s">
        <v>3017</v>
      </c>
      <c r="C36" s="6" t="s">
        <v>3018</v>
      </c>
      <c r="D36" t="s">
        <v>3019</v>
      </c>
      <c r="E36" s="6" t="s">
        <v>293</v>
      </c>
      <c r="F36" s="6" t="s">
        <v>2959</v>
      </c>
    </row>
    <row r="37" spans="1:6">
      <c r="A37" t="s">
        <v>3013</v>
      </c>
      <c r="B37" t="s">
        <v>3014</v>
      </c>
      <c r="C37" s="6" t="s">
        <v>3015</v>
      </c>
      <c r="D37" t="s">
        <v>3016</v>
      </c>
      <c r="E37" s="6" t="s">
        <v>296</v>
      </c>
      <c r="F37" s="6" t="s">
        <v>2959</v>
      </c>
    </row>
    <row r="38" spans="1:6">
      <c r="A38" t="s">
        <v>3013</v>
      </c>
      <c r="B38" t="s">
        <v>3017</v>
      </c>
      <c r="C38" s="6" t="s">
        <v>3018</v>
      </c>
      <c r="D38" t="s">
        <v>3019</v>
      </c>
      <c r="E38" s="6" t="s">
        <v>296</v>
      </c>
      <c r="F38" s="6" t="s">
        <v>2959</v>
      </c>
    </row>
    <row r="39" spans="1:6">
      <c r="A39" t="s">
        <v>3013</v>
      </c>
      <c r="B39" t="s">
        <v>3014</v>
      </c>
      <c r="C39" s="6" t="s">
        <v>3015</v>
      </c>
      <c r="D39" t="s">
        <v>3016</v>
      </c>
      <c r="E39" s="6" t="s">
        <v>312</v>
      </c>
      <c r="F39" s="6" t="s">
        <v>2959</v>
      </c>
    </row>
    <row r="40" spans="1:6">
      <c r="A40" t="s">
        <v>3013</v>
      </c>
      <c r="B40" t="s">
        <v>3017</v>
      </c>
      <c r="C40" s="6" t="s">
        <v>3018</v>
      </c>
      <c r="D40" t="s">
        <v>3019</v>
      </c>
      <c r="E40" s="6" t="s">
        <v>312</v>
      </c>
      <c r="F40" s="6" t="s">
        <v>2959</v>
      </c>
    </row>
    <row r="41" spans="1:6">
      <c r="A41" t="s">
        <v>3013</v>
      </c>
      <c r="B41" t="s">
        <v>3014</v>
      </c>
      <c r="C41" s="6" t="s">
        <v>3015</v>
      </c>
      <c r="D41" t="s">
        <v>3016</v>
      </c>
      <c r="E41" s="6" t="s">
        <v>329</v>
      </c>
      <c r="F41" s="6" t="s">
        <v>2959</v>
      </c>
    </row>
    <row r="42" spans="1:6">
      <c r="A42" t="s">
        <v>3013</v>
      </c>
      <c r="B42" t="s">
        <v>3017</v>
      </c>
      <c r="C42" s="6" t="s">
        <v>3018</v>
      </c>
      <c r="D42" t="s">
        <v>3019</v>
      </c>
      <c r="E42" s="6" t="s">
        <v>329</v>
      </c>
      <c r="F42" s="6" t="s">
        <v>2959</v>
      </c>
    </row>
    <row r="43" spans="1:6">
      <c r="A43" t="s">
        <v>3013</v>
      </c>
      <c r="B43" t="s">
        <v>3014</v>
      </c>
      <c r="C43" s="6" t="s">
        <v>3015</v>
      </c>
      <c r="D43" t="s">
        <v>3016</v>
      </c>
      <c r="E43" s="6" t="s">
        <v>338</v>
      </c>
      <c r="F43" s="6" t="s">
        <v>2959</v>
      </c>
    </row>
    <row r="44" spans="1:6">
      <c r="A44" t="s">
        <v>3013</v>
      </c>
      <c r="B44" t="s">
        <v>3017</v>
      </c>
      <c r="C44" s="6" t="s">
        <v>3018</v>
      </c>
      <c r="D44" t="s">
        <v>3019</v>
      </c>
      <c r="E44" s="6" t="s">
        <v>338</v>
      </c>
      <c r="F44" s="6" t="s">
        <v>2959</v>
      </c>
    </row>
    <row r="45" spans="1:6">
      <c r="A45" t="s">
        <v>3013</v>
      </c>
      <c r="B45" t="s">
        <v>3020</v>
      </c>
      <c r="C45" s="6" t="s">
        <v>3021</v>
      </c>
      <c r="D45" t="s">
        <v>3019</v>
      </c>
      <c r="E45" s="6" t="s">
        <v>418</v>
      </c>
      <c r="F45" s="6" t="s">
        <v>2959</v>
      </c>
    </row>
    <row r="46" spans="1:6">
      <c r="A46" t="s">
        <v>3013</v>
      </c>
      <c r="B46" t="s">
        <v>3020</v>
      </c>
      <c r="C46" s="6" t="s">
        <v>3021</v>
      </c>
      <c r="D46" t="s">
        <v>3019</v>
      </c>
      <c r="E46" s="6" t="s">
        <v>431</v>
      </c>
      <c r="F46" s="6" t="s">
        <v>2959</v>
      </c>
    </row>
    <row r="47" spans="1:6">
      <c r="A47" t="s">
        <v>3013</v>
      </c>
      <c r="B47" t="s">
        <v>3020</v>
      </c>
      <c r="C47" s="6" t="s">
        <v>3022</v>
      </c>
      <c r="D47" t="s">
        <v>3019</v>
      </c>
      <c r="E47" s="6" t="s">
        <v>431</v>
      </c>
      <c r="F47" s="6" t="s">
        <v>2959</v>
      </c>
    </row>
    <row r="48" spans="1:6">
      <c r="A48" t="s">
        <v>3013</v>
      </c>
      <c r="B48" t="s">
        <v>3020</v>
      </c>
      <c r="C48" s="6" t="s">
        <v>3021</v>
      </c>
      <c r="D48" t="s">
        <v>3019</v>
      </c>
      <c r="E48" s="6" t="s">
        <v>442</v>
      </c>
      <c r="F48" s="6" t="s">
        <v>2959</v>
      </c>
    </row>
    <row r="49" spans="1:8">
      <c r="A49" t="s">
        <v>3013</v>
      </c>
      <c r="B49" t="s">
        <v>3020</v>
      </c>
      <c r="C49" s="6" t="s">
        <v>3021</v>
      </c>
      <c r="D49" t="s">
        <v>3019</v>
      </c>
      <c r="E49" s="6" t="s">
        <v>453</v>
      </c>
      <c r="F49" s="6" t="s">
        <v>2959</v>
      </c>
    </row>
    <row r="50" spans="1:8">
      <c r="A50" t="s">
        <v>3013</v>
      </c>
      <c r="B50" t="s">
        <v>3020</v>
      </c>
      <c r="C50" s="6" t="s">
        <v>3022</v>
      </c>
      <c r="D50" t="s">
        <v>3019</v>
      </c>
      <c r="E50" s="6" t="s">
        <v>453</v>
      </c>
      <c r="F50" s="6" t="s">
        <v>2959</v>
      </c>
    </row>
    <row r="51" spans="1:8">
      <c r="A51" t="s">
        <v>3013</v>
      </c>
      <c r="B51" t="s">
        <v>3020</v>
      </c>
      <c r="C51" s="6" t="s">
        <v>3021</v>
      </c>
      <c r="D51" t="s">
        <v>3019</v>
      </c>
      <c r="E51" s="6" t="s">
        <v>456</v>
      </c>
      <c r="F51" s="6" t="s">
        <v>2959</v>
      </c>
    </row>
    <row r="52" spans="1:8">
      <c r="A52" t="s">
        <v>3013</v>
      </c>
      <c r="B52" t="s">
        <v>3020</v>
      </c>
      <c r="C52" s="6" t="s">
        <v>3021</v>
      </c>
      <c r="D52" t="s">
        <v>3019</v>
      </c>
      <c r="E52" s="6" t="s">
        <v>466</v>
      </c>
      <c r="F52" s="6" t="s">
        <v>2959</v>
      </c>
    </row>
    <row r="53" spans="1:8">
      <c r="A53" t="s">
        <v>3013</v>
      </c>
      <c r="B53" t="s">
        <v>3020</v>
      </c>
      <c r="C53" s="6" t="s">
        <v>3022</v>
      </c>
      <c r="D53" t="s">
        <v>3019</v>
      </c>
      <c r="E53" s="6" t="s">
        <v>466</v>
      </c>
      <c r="F53" s="6" t="s">
        <v>2959</v>
      </c>
    </row>
    <row r="54" spans="1:8">
      <c r="A54" t="s">
        <v>3013</v>
      </c>
      <c r="B54" t="s">
        <v>3020</v>
      </c>
      <c r="C54" s="6" t="s">
        <v>3021</v>
      </c>
      <c r="D54" t="s">
        <v>3019</v>
      </c>
      <c r="E54" s="6" t="s">
        <v>477</v>
      </c>
      <c r="F54" s="6" t="s">
        <v>2959</v>
      </c>
    </row>
    <row r="55" spans="1:8">
      <c r="A55" t="s">
        <v>3013</v>
      </c>
      <c r="B55" t="s">
        <v>3020</v>
      </c>
      <c r="C55" s="6" t="s">
        <v>3021</v>
      </c>
      <c r="D55" t="s">
        <v>3019</v>
      </c>
      <c r="E55" s="6" t="s">
        <v>487</v>
      </c>
      <c r="F55" s="6" t="s">
        <v>2959</v>
      </c>
    </row>
    <row r="56" spans="1:8">
      <c r="A56" t="s">
        <v>3013</v>
      </c>
      <c r="B56" t="s">
        <v>3020</v>
      </c>
      <c r="C56" s="6" t="s">
        <v>3022</v>
      </c>
      <c r="D56" t="s">
        <v>3019</v>
      </c>
      <c r="E56" s="6" t="s">
        <v>487</v>
      </c>
      <c r="F56" s="6" t="s">
        <v>2959</v>
      </c>
    </row>
    <row r="57" spans="1:8">
      <c r="A57" t="s">
        <v>3013</v>
      </c>
      <c r="B57" t="s">
        <v>3020</v>
      </c>
      <c r="C57" s="6" t="s">
        <v>3021</v>
      </c>
      <c r="D57" t="s">
        <v>3023</v>
      </c>
      <c r="E57" s="6" t="s">
        <v>2964</v>
      </c>
      <c r="F57" s="6"/>
      <c r="G57" t="s">
        <v>2965</v>
      </c>
      <c r="H57" t="s">
        <v>2966</v>
      </c>
    </row>
    <row r="58" spans="1:8">
      <c r="A58" t="s">
        <v>3013</v>
      </c>
      <c r="B58" t="s">
        <v>3020</v>
      </c>
      <c r="C58" s="6" t="s">
        <v>3022</v>
      </c>
      <c r="D58" t="s">
        <v>3023</v>
      </c>
      <c r="E58" s="6" t="s">
        <v>2964</v>
      </c>
      <c r="F58" s="6"/>
      <c r="G58" t="s">
        <v>2965</v>
      </c>
      <c r="H58" t="s">
        <v>2968</v>
      </c>
    </row>
    <row r="59" spans="1:8">
      <c r="A59" t="s">
        <v>3013</v>
      </c>
      <c r="B59" t="s">
        <v>3020</v>
      </c>
      <c r="C59" s="6" t="s">
        <v>3018</v>
      </c>
      <c r="D59" t="s">
        <v>3023</v>
      </c>
      <c r="E59" s="6" t="s">
        <v>2964</v>
      </c>
      <c r="F59" s="6"/>
      <c r="G59" t="s">
        <v>2965</v>
      </c>
      <c r="H59" t="s">
        <v>2970</v>
      </c>
    </row>
    <row r="60" spans="1:8">
      <c r="A60" t="s">
        <v>3013</v>
      </c>
      <c r="B60" t="s">
        <v>3020</v>
      </c>
      <c r="C60" s="6" t="s">
        <v>3024</v>
      </c>
      <c r="D60" t="s">
        <v>3023</v>
      </c>
      <c r="E60" s="6" t="s">
        <v>2964</v>
      </c>
      <c r="F60" s="6"/>
      <c r="G60" t="s">
        <v>2965</v>
      </c>
      <c r="H60" t="s">
        <v>2971</v>
      </c>
    </row>
    <row r="61" spans="1:8">
      <c r="A61" t="s">
        <v>3013</v>
      </c>
      <c r="B61" t="s">
        <v>3020</v>
      </c>
      <c r="C61" s="6" t="s">
        <v>3025</v>
      </c>
      <c r="D61" t="s">
        <v>3023</v>
      </c>
      <c r="E61" s="6" t="s">
        <v>2964</v>
      </c>
      <c r="F61" s="6"/>
      <c r="G61" t="s">
        <v>2965</v>
      </c>
      <c r="H61" t="s">
        <v>2973</v>
      </c>
    </row>
    <row r="62" spans="1:8">
      <c r="A62" t="s">
        <v>3013</v>
      </c>
      <c r="B62" t="s">
        <v>3020</v>
      </c>
      <c r="C62" s="6" t="s">
        <v>3026</v>
      </c>
      <c r="D62" t="s">
        <v>3023</v>
      </c>
      <c r="E62" s="6" t="s">
        <v>2964</v>
      </c>
      <c r="F62" s="6"/>
      <c r="G62" t="s">
        <v>2965</v>
      </c>
      <c r="H62" t="s">
        <v>2975</v>
      </c>
    </row>
    <row r="63" spans="1:8">
      <c r="A63" t="s">
        <v>3013</v>
      </c>
      <c r="B63" t="s">
        <v>3020</v>
      </c>
      <c r="C63" s="6" t="s">
        <v>3027</v>
      </c>
      <c r="D63" t="s">
        <v>3023</v>
      </c>
      <c r="E63" s="6" t="s">
        <v>2964</v>
      </c>
      <c r="F63" s="6"/>
      <c r="G63" t="s">
        <v>2965</v>
      </c>
      <c r="H63" t="s">
        <v>2977</v>
      </c>
    </row>
    <row r="64" spans="1:8">
      <c r="A64" t="s">
        <v>3013</v>
      </c>
      <c r="B64" t="s">
        <v>3020</v>
      </c>
      <c r="C64" s="6" t="s">
        <v>3028</v>
      </c>
      <c r="D64" t="s">
        <v>3023</v>
      </c>
      <c r="E64" s="6" t="s">
        <v>2964</v>
      </c>
      <c r="F64" s="6"/>
      <c r="G64" t="s">
        <v>2965</v>
      </c>
      <c r="H64" t="s">
        <v>2978</v>
      </c>
    </row>
    <row r="65" spans="1:8">
      <c r="A65" t="s">
        <v>3013</v>
      </c>
      <c r="B65" t="s">
        <v>3020</v>
      </c>
      <c r="C65" s="6" t="s">
        <v>3029</v>
      </c>
      <c r="D65" t="s">
        <v>3023</v>
      </c>
      <c r="E65" s="6" t="s">
        <v>2964</v>
      </c>
      <c r="F65" s="6"/>
      <c r="G65" t="s">
        <v>2965</v>
      </c>
      <c r="H65" t="s">
        <v>2980</v>
      </c>
    </row>
    <row r="66" spans="1:8">
      <c r="A66" t="s">
        <v>3013</v>
      </c>
      <c r="B66" t="s">
        <v>3020</v>
      </c>
      <c r="C66" s="6" t="s">
        <v>3030</v>
      </c>
      <c r="D66" t="s">
        <v>3023</v>
      </c>
      <c r="E66" s="6" t="s">
        <v>2964</v>
      </c>
      <c r="F66" s="6"/>
      <c r="G66" t="s">
        <v>2965</v>
      </c>
      <c r="H66" t="s">
        <v>2982</v>
      </c>
    </row>
    <row r="67" spans="1:8">
      <c r="A67" t="s">
        <v>3013</v>
      </c>
      <c r="B67" t="s">
        <v>3020</v>
      </c>
      <c r="C67" s="6" t="s">
        <v>3031</v>
      </c>
      <c r="D67" t="s">
        <v>3023</v>
      </c>
      <c r="E67" s="6" t="s">
        <v>2964</v>
      </c>
      <c r="F67" s="6"/>
      <c r="G67" t="s">
        <v>2965</v>
      </c>
      <c r="H67" t="s">
        <v>2984</v>
      </c>
    </row>
    <row r="68" spans="1:8">
      <c r="A68" t="s">
        <v>3013</v>
      </c>
      <c r="B68" t="s">
        <v>3020</v>
      </c>
      <c r="C68" s="6" t="s">
        <v>3032</v>
      </c>
      <c r="D68" t="s">
        <v>3023</v>
      </c>
      <c r="E68" s="6" t="s">
        <v>2964</v>
      </c>
      <c r="F68" s="6"/>
      <c r="G68" t="s">
        <v>2965</v>
      </c>
      <c r="H68" t="s">
        <v>2986</v>
      </c>
    </row>
    <row r="69" spans="1:8">
      <c r="A69" t="s">
        <v>3013</v>
      </c>
      <c r="B69" t="s">
        <v>3020</v>
      </c>
      <c r="C69" s="6" t="s">
        <v>3033</v>
      </c>
      <c r="D69" t="s">
        <v>3023</v>
      </c>
      <c r="E69" s="6" t="s">
        <v>2964</v>
      </c>
      <c r="F69" s="6"/>
      <c r="G69" t="s">
        <v>2965</v>
      </c>
      <c r="H69" t="s">
        <v>2988</v>
      </c>
    </row>
    <row r="70" spans="1:8">
      <c r="A70" t="s">
        <v>3013</v>
      </c>
      <c r="B70" t="s">
        <v>3020</v>
      </c>
      <c r="C70" s="6" t="s">
        <v>3034</v>
      </c>
      <c r="D70" t="s">
        <v>3023</v>
      </c>
      <c r="E70" s="6" t="s">
        <v>2964</v>
      </c>
      <c r="F70" s="6"/>
      <c r="G70" t="s">
        <v>2965</v>
      </c>
      <c r="H70" t="s">
        <v>2990</v>
      </c>
    </row>
    <row r="71" spans="1:8">
      <c r="A71" t="s">
        <v>3013</v>
      </c>
      <c r="B71" t="s">
        <v>3020</v>
      </c>
      <c r="C71" s="6" t="s">
        <v>3035</v>
      </c>
      <c r="D71" t="s">
        <v>3023</v>
      </c>
      <c r="E71" s="6" t="s">
        <v>2964</v>
      </c>
      <c r="F71" s="6"/>
      <c r="G71" t="s">
        <v>2965</v>
      </c>
      <c r="H71" t="s">
        <v>2992</v>
      </c>
    </row>
    <row r="72" spans="1:8">
      <c r="A72" t="s">
        <v>3013</v>
      </c>
      <c r="B72" t="s">
        <v>3020</v>
      </c>
      <c r="C72" s="6" t="s">
        <v>3036</v>
      </c>
      <c r="D72" t="s">
        <v>3023</v>
      </c>
      <c r="E72" s="6" t="s">
        <v>2964</v>
      </c>
      <c r="F72" s="6"/>
      <c r="G72" t="s">
        <v>2965</v>
      </c>
      <c r="H72" t="s">
        <v>2994</v>
      </c>
    </row>
    <row r="73" spans="1:8">
      <c r="A73" t="s">
        <v>3013</v>
      </c>
      <c r="B73" t="s">
        <v>3020</v>
      </c>
      <c r="C73" s="6" t="s">
        <v>3037</v>
      </c>
      <c r="D73" t="s">
        <v>3023</v>
      </c>
      <c r="E73" s="6" t="s">
        <v>2964</v>
      </c>
      <c r="F73" s="6"/>
      <c r="G73" t="s">
        <v>2965</v>
      </c>
      <c r="H73" t="s">
        <v>2996</v>
      </c>
    </row>
    <row r="74" spans="1:8">
      <c r="A74" t="s">
        <v>3013</v>
      </c>
      <c r="B74" t="s">
        <v>3020</v>
      </c>
      <c r="C74" s="6" t="s">
        <v>3038</v>
      </c>
      <c r="D74" t="s">
        <v>3023</v>
      </c>
      <c r="E74" s="6" t="s">
        <v>2964</v>
      </c>
      <c r="F74" s="6"/>
      <c r="G74" t="s">
        <v>2965</v>
      </c>
      <c r="H74" t="s">
        <v>2998</v>
      </c>
    </row>
    <row r="75" spans="1:8">
      <c r="A75" t="s">
        <v>3013</v>
      </c>
      <c r="B75" t="s">
        <v>3020</v>
      </c>
      <c r="C75" s="6" t="s">
        <v>3039</v>
      </c>
      <c r="D75" t="s">
        <v>3023</v>
      </c>
      <c r="E75" s="6" t="s">
        <v>2964</v>
      </c>
      <c r="F75" s="6"/>
      <c r="G75" t="s">
        <v>2965</v>
      </c>
      <c r="H75" t="s">
        <v>3000</v>
      </c>
    </row>
    <row r="76" spans="1:8">
      <c r="A76" t="s">
        <v>3013</v>
      </c>
      <c r="B76" t="s">
        <v>3020</v>
      </c>
      <c r="C76" s="6" t="s">
        <v>3040</v>
      </c>
      <c r="D76" t="s">
        <v>3023</v>
      </c>
      <c r="E76" s="6" t="s">
        <v>2964</v>
      </c>
      <c r="F76" s="6"/>
      <c r="G76" t="s">
        <v>2965</v>
      </c>
      <c r="H76" t="s">
        <v>3002</v>
      </c>
    </row>
    <row r="77" spans="1:8">
      <c r="A77" t="s">
        <v>3013</v>
      </c>
      <c r="B77" t="s">
        <v>3020</v>
      </c>
      <c r="C77" s="6" t="s">
        <v>3041</v>
      </c>
      <c r="D77" t="s">
        <v>3023</v>
      </c>
      <c r="E77" s="6" t="s">
        <v>2964</v>
      </c>
      <c r="F77" s="6"/>
      <c r="G77" t="s">
        <v>2965</v>
      </c>
      <c r="H77" t="s">
        <v>3004</v>
      </c>
    </row>
    <row r="78" spans="1:8">
      <c r="A78" t="s">
        <v>3013</v>
      </c>
      <c r="B78" t="s">
        <v>3020</v>
      </c>
      <c r="C78" s="6" t="s">
        <v>3042</v>
      </c>
      <c r="D78" t="s">
        <v>3023</v>
      </c>
      <c r="E78" s="6" t="s">
        <v>2964</v>
      </c>
      <c r="F78" s="6"/>
      <c r="G78" t="s">
        <v>2965</v>
      </c>
      <c r="H78" t="s">
        <v>3006</v>
      </c>
    </row>
    <row r="79" spans="1:8">
      <c r="A79" t="s">
        <v>3013</v>
      </c>
      <c r="B79" t="s">
        <v>3020</v>
      </c>
      <c r="C79" s="6" t="s">
        <v>3043</v>
      </c>
      <c r="D79" t="s">
        <v>3023</v>
      </c>
      <c r="E79" s="6" t="s">
        <v>2964</v>
      </c>
      <c r="F79" s="6"/>
      <c r="G79" t="s">
        <v>2965</v>
      </c>
      <c r="H79" t="s">
        <v>3008</v>
      </c>
    </row>
    <row r="80" spans="1:8">
      <c r="A80" t="s">
        <v>3013</v>
      </c>
      <c r="B80" t="s">
        <v>3020</v>
      </c>
      <c r="C80" s="6" t="s">
        <v>3044</v>
      </c>
      <c r="D80" t="s">
        <v>3023</v>
      </c>
      <c r="E80" s="6" t="s">
        <v>2964</v>
      </c>
      <c r="F80" s="6"/>
      <c r="G80" t="s">
        <v>2965</v>
      </c>
      <c r="H80" t="s">
        <v>3010</v>
      </c>
    </row>
    <row r="81" spans="1:8">
      <c r="A81" t="s">
        <v>3013</v>
      </c>
      <c r="B81" t="s">
        <v>3020</v>
      </c>
      <c r="C81" s="6" t="s">
        <v>3045</v>
      </c>
      <c r="D81" t="s">
        <v>3023</v>
      </c>
      <c r="E81" s="6" t="s">
        <v>2964</v>
      </c>
      <c r="F81" s="6"/>
      <c r="G81" t="s">
        <v>2965</v>
      </c>
      <c r="H81" t="s">
        <v>3012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B19"/>
  <sheetViews>
    <sheetView workbookViewId="0"/>
  </sheetViews>
  <sheetFormatPr defaultRowHeight="15"/>
  <cols>
    <col min="1" max="1" width="26.7109375" customWidth="1"/>
    <col min="2" max="2" width="60.7109375" customWidth="1"/>
  </cols>
  <sheetData>
    <row r="1" spans="1:2">
      <c r="A1" s="1" t="s">
        <v>3046</v>
      </c>
    </row>
    <row r="3" spans="1:2">
      <c r="A3" s="2" t="s">
        <v>3047</v>
      </c>
      <c r="B3" t="s">
        <v>2</v>
      </c>
    </row>
    <row r="4" spans="1:2">
      <c r="A4" s="2" t="s">
        <v>3048</v>
      </c>
      <c r="B4" t="s">
        <v>3049</v>
      </c>
    </row>
    <row r="5" spans="1:2">
      <c r="A5" s="2" t="s">
        <v>3050</v>
      </c>
      <c r="B5" t="s">
        <v>3051</v>
      </c>
    </row>
    <row r="6" spans="1:2">
      <c r="A6" s="2" t="s">
        <v>3052</v>
      </c>
      <c r="B6" t="s">
        <v>3053</v>
      </c>
    </row>
    <row r="8" spans="1:2">
      <c r="A8" t="s">
        <v>3054</v>
      </c>
    </row>
    <row r="9" spans="1:2">
      <c r="A9" t="s">
        <v>3055</v>
      </c>
    </row>
    <row r="10" spans="1:2">
      <c r="A10" t="s">
        <v>3056</v>
      </c>
    </row>
    <row r="11" spans="1:2">
      <c r="A11" t="s">
        <v>3057</v>
      </c>
    </row>
    <row r="12" spans="1:2">
      <c r="A12" t="s">
        <v>3058</v>
      </c>
    </row>
    <row r="13" spans="1:2">
      <c r="A13" t="s">
        <v>3059</v>
      </c>
    </row>
    <row r="14" spans="1:2">
      <c r="A14" t="s">
        <v>3057</v>
      </c>
    </row>
    <row r="15" spans="1:2">
      <c r="A15" t="s">
        <v>3060</v>
      </c>
    </row>
    <row r="16" spans="1:2">
      <c r="A16" t="s">
        <v>3061</v>
      </c>
    </row>
    <row r="17" spans="1:1">
      <c r="A17" t="s">
        <v>3062</v>
      </c>
    </row>
    <row r="18" spans="1:1">
      <c r="A18" t="s">
        <v>3057</v>
      </c>
    </row>
    <row r="19" spans="1:1">
      <c r="A19" t="s">
        <v>3063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Summary</vt:lpstr>
      <vt:lpstr>Mentions</vt:lpstr>
      <vt:lpstr>Review_Queue</vt:lpstr>
      <vt:lpstr>People</vt:lpstr>
      <vt:lpstr>Notification_List</vt:lpstr>
      <vt:lpstr>Excluded</vt:lpstr>
      <vt:lpstr>About</vt:lpstr>
      <vt:lpstr>RunDate</vt:lpstr>
      <vt:lpstr>RunId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2026-10-20T01:17:40Z</dcterms:created>
  <dcterms:modified xsi:type="dcterms:W3CDTF">2026-10-20T01:17:40Z</dcterms:modified>
</cp:coreProperties>
</file>