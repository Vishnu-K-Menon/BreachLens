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it\BreachLens\excel\manual\"/>
    </mc:Choice>
  </mc:AlternateContent>
  <xr:revisionPtr revIDLastSave="0" documentId="13_ncr:1_{6772BB9E-6766-4897-89D3-61504A36D3F1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Summary" sheetId="3" r:id="rId1"/>
    <sheet name="Roster" sheetId="1" r:id="rId2"/>
    <sheet name="States" sheetId="2" r:id="rId3"/>
  </sheet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3" l="1"/>
  <c r="C14" i="3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</calcChain>
</file>

<file path=xl/sharedStrings.xml><?xml version="1.0" encoding="utf-8"?>
<sst xmlns="http://schemas.openxmlformats.org/spreadsheetml/2006/main" count="659" uniqueCount="508">
  <si>
    <t>Hire Date</t>
  </si>
  <si>
    <t>Department</t>
  </si>
  <si>
    <t>ID</t>
  </si>
  <si>
    <t>First</t>
  </si>
  <si>
    <t>Middle</t>
  </si>
  <si>
    <t>Last</t>
  </si>
  <si>
    <t>Suffix</t>
  </si>
  <si>
    <t>SSN</t>
  </si>
  <si>
    <t>DOB</t>
  </si>
  <si>
    <t>Street</t>
  </si>
  <si>
    <t>City</t>
  </si>
  <si>
    <t>State</t>
  </si>
  <si>
    <t>ZIP</t>
  </si>
  <si>
    <t>Phone</t>
  </si>
  <si>
    <t>Email</t>
  </si>
  <si>
    <t>429271</t>
  </si>
  <si>
    <t>Matthew</t>
  </si>
  <si>
    <t>Smith</t>
  </si>
  <si>
    <t>703-69-7795</t>
  </si>
  <si>
    <t>3121 CARR VALLEY</t>
  </si>
  <si>
    <t>Pittston</t>
  </si>
  <si>
    <t>PA</t>
  </si>
  <si>
    <t>+17175550167</t>
  </si>
  <si>
    <t>matthew.smith39@example.org</t>
  </si>
  <si>
    <t>Sales</t>
  </si>
  <si>
    <t>732870</t>
  </si>
  <si>
    <t>Shane</t>
  </si>
  <si>
    <t>Henderson</t>
  </si>
  <si>
    <t>250-19-0091</t>
  </si>
  <si>
    <t>710 W CESAR CHAVEZ ST</t>
  </si>
  <si>
    <t>Austin</t>
  </si>
  <si>
    <t>TX</t>
  </si>
  <si>
    <t>+15125550136</t>
  </si>
  <si>
    <t>shane.henderson70@example.org</t>
  </si>
  <si>
    <t>Warehouse</t>
  </si>
  <si>
    <t>826284</t>
  </si>
  <si>
    <t>Timothy</t>
  </si>
  <si>
    <t>Van Dyke</t>
  </si>
  <si>
    <t>II</t>
  </si>
  <si>
    <t>664-44-0208</t>
  </si>
  <si>
    <t>4603 ANDERSON KEYS</t>
  </si>
  <si>
    <t>Orlando</t>
  </si>
  <si>
    <t>FL</t>
  </si>
  <si>
    <t>+13055550128</t>
  </si>
  <si>
    <t>timothy.vandyke31@example.com</t>
  </si>
  <si>
    <t>Operations</t>
  </si>
  <si>
    <t>314895</t>
  </si>
  <si>
    <t>Philip</t>
  </si>
  <si>
    <t>David</t>
  </si>
  <si>
    <t>Cannon</t>
  </si>
  <si>
    <t>477-57-7245</t>
  </si>
  <si>
    <t>303 GENESEE ST</t>
  </si>
  <si>
    <t>Utica</t>
  </si>
  <si>
    <t>NY</t>
  </si>
  <si>
    <t>+17165550144</t>
  </si>
  <si>
    <t>philip.cannon15@example.net</t>
  </si>
  <si>
    <t>756272</t>
  </si>
  <si>
    <t>Bryan</t>
  </si>
  <si>
    <t>Walker</t>
  </si>
  <si>
    <t>820-78-3614</t>
  </si>
  <si>
    <t>1201 LEOPARD ST</t>
  </si>
  <si>
    <t>Corpus Christi</t>
  </si>
  <si>
    <t>+17135550134</t>
  </si>
  <si>
    <t>bryan.walker14@example.net</t>
  </si>
  <si>
    <t>Fleet</t>
  </si>
  <si>
    <t>780876</t>
  </si>
  <si>
    <t>Richard</t>
  </si>
  <si>
    <t>Rodney</t>
  </si>
  <si>
    <t>Gibson</t>
  </si>
  <si>
    <t>038-59-1443</t>
  </si>
  <si>
    <t>795 MASSACHUSETTS AVE</t>
  </si>
  <si>
    <t>Cambridge</t>
  </si>
  <si>
    <t>MA</t>
  </si>
  <si>
    <t>+14135550135</t>
  </si>
  <si>
    <t>richard.gibson87@example.com</t>
  </si>
  <si>
    <t>871906</t>
  </si>
  <si>
    <t>John</t>
  </si>
  <si>
    <t>Lewis</t>
  </si>
  <si>
    <t>024-63-8805</t>
  </si>
  <si>
    <t>706 S JEFFERSON ST</t>
  </si>
  <si>
    <t>Roanoke</t>
  </si>
  <si>
    <t>VA</t>
  </si>
  <si>
    <t>+18045550161</t>
  </si>
  <si>
    <t>john.lewis91@example.org</t>
  </si>
  <si>
    <t>950142</t>
  </si>
  <si>
    <t>Alicia</t>
  </si>
  <si>
    <t>Natasha</t>
  </si>
  <si>
    <t>Hickman</t>
  </si>
  <si>
    <t>360-83-8347</t>
  </si>
  <si>
    <t>65 NIAGARA SQ</t>
  </si>
  <si>
    <t>Buffalo</t>
  </si>
  <si>
    <t>+15185550130</t>
  </si>
  <si>
    <t>alicia.hickman22@example.org</t>
  </si>
  <si>
    <t>Customer Service</t>
  </si>
  <si>
    <t>879082</t>
  </si>
  <si>
    <t>Shannon</t>
  </si>
  <si>
    <t>Jason</t>
  </si>
  <si>
    <t>Nolan</t>
  </si>
  <si>
    <t>593-52-9668</t>
  </si>
  <si>
    <t>630 W 5TH ST</t>
  </si>
  <si>
    <t>Los Angeles</t>
  </si>
  <si>
    <t>CA</t>
  </si>
  <si>
    <t>+14155550183</t>
  </si>
  <si>
    <t>shannon.nolan42@example.com</t>
  </si>
  <si>
    <t>948583</t>
  </si>
  <si>
    <t>Madison</t>
  </si>
  <si>
    <t>Calderon</t>
  </si>
  <si>
    <t>666-44-1766</t>
  </si>
  <si>
    <t>340 N WASHINGTON AVE</t>
  </si>
  <si>
    <t>Scranton</t>
  </si>
  <si>
    <t>+14125550188</t>
  </si>
  <si>
    <t>madison.calderon75@example.com</t>
  </si>
  <si>
    <t>127261</t>
  </si>
  <si>
    <t xml:space="preserve">  Susan </t>
  </si>
  <si>
    <t xml:space="preserve">Williams  </t>
  </si>
  <si>
    <t>458-41-1945</t>
  </si>
  <si>
    <t>125 14TH ST</t>
  </si>
  <si>
    <t>Oakland</t>
  </si>
  <si>
    <t>+15105550143</t>
  </si>
  <si>
    <t>susan.williams47@example.com</t>
  </si>
  <si>
    <t>521024</t>
  </si>
  <si>
    <t>Tammy</t>
  </si>
  <si>
    <t>Gabriel</t>
  </si>
  <si>
    <t>Allison</t>
  </si>
  <si>
    <t>436-15-8923</t>
  </si>
  <si>
    <t>301 KING ST</t>
  </si>
  <si>
    <t>Alexandria</t>
  </si>
  <si>
    <t>+17035550138</t>
  </si>
  <si>
    <t>tammy.allison22@example.org</t>
  </si>
  <si>
    <t>IT</t>
  </si>
  <si>
    <t>224118</t>
  </si>
  <si>
    <t>Shawn</t>
  </si>
  <si>
    <t>Vincent</t>
  </si>
  <si>
    <t>Baker</t>
  </si>
  <si>
    <t>627-84-8667</t>
  </si>
  <si>
    <t>2090 KITTREDGE ST</t>
  </si>
  <si>
    <t>Berkeley</t>
  </si>
  <si>
    <t>+15105550106</t>
  </si>
  <si>
    <t>shawn.baker63@example.com</t>
  </si>
  <si>
    <t>153315</t>
  </si>
  <si>
    <t>Lee</t>
  </si>
  <si>
    <t>Kathryn</t>
  </si>
  <si>
    <t>Hernandez</t>
  </si>
  <si>
    <t>152-56-2089</t>
  </si>
  <si>
    <t>828 I ST</t>
  </si>
  <si>
    <t>Sacramento</t>
  </si>
  <si>
    <t>+16195550159</t>
  </si>
  <si>
    <t>lee.hernandez38@example.com</t>
  </si>
  <si>
    <t>969993</t>
  </si>
  <si>
    <t xml:space="preserve">  Danielle </t>
  </si>
  <si>
    <t>Scott</t>
  </si>
  <si>
    <t xml:space="preserve">Leblanc  </t>
  </si>
  <si>
    <t>831-73-4979</t>
  </si>
  <si>
    <t>5107 MOORE VILLAGE</t>
  </si>
  <si>
    <t>Lorton</t>
  </si>
  <si>
    <t>+15405550174</t>
  </si>
  <si>
    <t>danielle.leblanc73@example.org</t>
  </si>
  <si>
    <t>571167</t>
  </si>
  <si>
    <t>Joan</t>
  </si>
  <si>
    <t>Joshua</t>
  </si>
  <si>
    <t>481-62-7217</t>
  </si>
  <si>
    <t>101 E FRANKLIN ST</t>
  </si>
  <si>
    <t>Richmond</t>
  </si>
  <si>
    <t>+17035550186</t>
  </si>
  <si>
    <t>joan.henderson27@example.com</t>
  </si>
  <si>
    <t>247379</t>
  </si>
  <si>
    <t>Lindsey</t>
  </si>
  <si>
    <t>De La Vega</t>
  </si>
  <si>
    <t>846-94-9708</t>
  </si>
  <si>
    <t>10 E CHURCH ST</t>
  </si>
  <si>
    <t>Bethlehem</t>
  </si>
  <si>
    <t>+16105550177</t>
  </si>
  <si>
    <t>john.delavega95@example.net</t>
  </si>
  <si>
    <t>501640</t>
  </si>
  <si>
    <t xml:space="preserve">  Christopher </t>
  </si>
  <si>
    <t>Monica</t>
  </si>
  <si>
    <t xml:space="preserve">Gaines  </t>
  </si>
  <si>
    <t>735-44-3336</t>
  </si>
  <si>
    <t>100 LARKIN ST</t>
  </si>
  <si>
    <t>San Francisco</t>
  </si>
  <si>
    <t>+16195550190</t>
  </si>
  <si>
    <t>christopher.gaines11@example.net</t>
  </si>
  <si>
    <t>877014</t>
  </si>
  <si>
    <t>Jessica</t>
  </si>
  <si>
    <t>Owens</t>
  </si>
  <si>
    <t>738-53-8005</t>
  </si>
  <si>
    <t>4400 FORBES AVE</t>
  </si>
  <si>
    <t>Pittsburgh</t>
  </si>
  <si>
    <t>+16105550154</t>
  </si>
  <si>
    <t>jessica.owens91@example.net</t>
  </si>
  <si>
    <t>916934</t>
  </si>
  <si>
    <t>Ronald</t>
  </si>
  <si>
    <t>Parker</t>
  </si>
  <si>
    <t>611-56-5664</t>
  </si>
  <si>
    <t>7965 ALBERT ROAD</t>
  </si>
  <si>
    <t>Tivoli</t>
  </si>
  <si>
    <t>+17165550162</t>
  </si>
  <si>
    <t>ronald.parker73@example.net</t>
  </si>
  <si>
    <t>503447</t>
  </si>
  <si>
    <t>Yvonne</t>
  </si>
  <si>
    <t>Tanya</t>
  </si>
  <si>
    <t>Huff</t>
  </si>
  <si>
    <t>161-01-6694</t>
  </si>
  <si>
    <t>1015 N QUINCY ST</t>
  </si>
  <si>
    <t>Arlington</t>
  </si>
  <si>
    <t>+17035550171</t>
  </si>
  <si>
    <t>yvonne.huff77@example.net</t>
  </si>
  <si>
    <t>184271</t>
  </si>
  <si>
    <t>James</t>
  </si>
  <si>
    <t>Wright</t>
  </si>
  <si>
    <t>304-30-5913</t>
  </si>
  <si>
    <t>120 N DUKE ST</t>
  </si>
  <si>
    <t>Lancaster</t>
  </si>
  <si>
    <t>+14125550159</t>
  </si>
  <si>
    <t>scott.wright18@example.com</t>
  </si>
  <si>
    <t>734216</t>
  </si>
  <si>
    <t>O'Brien</t>
  </si>
  <si>
    <t>243-21-2901</t>
  </si>
  <si>
    <t>330 PARK BLVD UPPER</t>
  </si>
  <si>
    <t>San Diego</t>
  </si>
  <si>
    <t>+15105550181</t>
  </si>
  <si>
    <t>joshua.obrien36@example.com</t>
  </si>
  <si>
    <t>248465</t>
  </si>
  <si>
    <t>Anthony</t>
  </si>
  <si>
    <t>Stacey</t>
  </si>
  <si>
    <t>Humphrey</t>
  </si>
  <si>
    <t>826-69-3229</t>
  </si>
  <si>
    <t>40 S BROADWAY</t>
  </si>
  <si>
    <t>Yonkers</t>
  </si>
  <si>
    <t>+19145550122</t>
  </si>
  <si>
    <t>anthony.humphrey99@example.org</t>
  </si>
  <si>
    <t>898687</t>
  </si>
  <si>
    <t>Christy</t>
  </si>
  <si>
    <t>Ryan</t>
  </si>
  <si>
    <t>137-60-8703</t>
  </si>
  <si>
    <t>501 N OREGON ST APT6F</t>
  </si>
  <si>
    <t>El Paso</t>
  </si>
  <si>
    <t>+15125550149</t>
  </si>
  <si>
    <t>christy.ryan70@example.com</t>
  </si>
  <si>
    <t>Finance</t>
  </si>
  <si>
    <t>891769</t>
  </si>
  <si>
    <t>Karen</t>
  </si>
  <si>
    <t>Joseph</t>
  </si>
  <si>
    <t>Garcia-Lopez</t>
  </si>
  <si>
    <t>231-26-2415</t>
  </si>
  <si>
    <t>115 SOUTH AVE</t>
  </si>
  <si>
    <t>Rochester</t>
  </si>
  <si>
    <t>+15855550133</t>
  </si>
  <si>
    <t>karen.garcia-lopez15@example.org</t>
  </si>
  <si>
    <t>233412</t>
  </si>
  <si>
    <t>Robert</t>
  </si>
  <si>
    <t>Brent</t>
  </si>
  <si>
    <t>Pierce</t>
  </si>
  <si>
    <t>305-76-7026</t>
  </si>
  <si>
    <t>605 E MAIN ST</t>
  </si>
  <si>
    <t>Charlottesville</t>
  </si>
  <si>
    <t>+18045550100</t>
  </si>
  <si>
    <t>robert.pierce69@example.org</t>
  </si>
  <si>
    <t>430365</t>
  </si>
  <si>
    <t>Kerry</t>
  </si>
  <si>
    <t>Mario</t>
  </si>
  <si>
    <t>205-59-5729</t>
  </si>
  <si>
    <t>2600 FRESNO ST</t>
  </si>
  <si>
    <t>Fresno</t>
  </si>
  <si>
    <t>+14155550187</t>
  </si>
  <si>
    <t>kerry.smith69@example.org</t>
  </si>
  <si>
    <t>958877</t>
  </si>
  <si>
    <t>Christopher</t>
  </si>
  <si>
    <t>Janice</t>
  </si>
  <si>
    <t>Ramos</t>
  </si>
  <si>
    <t>041-20-5286</t>
  </si>
  <si>
    <t>101 E CENTRAL BLVD</t>
  </si>
  <si>
    <t>+18135550146</t>
  </si>
  <si>
    <t>christopher.ramos38@example.com</t>
  </si>
  <si>
    <t>594808</t>
  </si>
  <si>
    <t>Connor</t>
  </si>
  <si>
    <t>Davis</t>
  </si>
  <si>
    <t>507-42-2980</t>
  </si>
  <si>
    <t>626 STATE ST</t>
  </si>
  <si>
    <t>Erie</t>
  </si>
  <si>
    <t>+16105550191</t>
  </si>
  <si>
    <t>connor.davis89@example.org</t>
  </si>
  <si>
    <t>427193</t>
  </si>
  <si>
    <t>Crystal</t>
  </si>
  <si>
    <t>Michele</t>
  </si>
  <si>
    <t>Whitehead</t>
  </si>
  <si>
    <t>773-04-4052</t>
  </si>
  <si>
    <t>303 N LAURA ST</t>
  </si>
  <si>
    <t>Jacksonville</t>
  </si>
  <si>
    <t>+13055550160</t>
  </si>
  <si>
    <t>crystal.whitehead58@example.org</t>
  </si>
  <si>
    <t>183866</t>
  </si>
  <si>
    <t>Samuel</t>
  </si>
  <si>
    <t>Wagner</t>
  </si>
  <si>
    <t>188-15-6567</t>
  </si>
  <si>
    <t>1532 HARRIS ROADS</t>
  </si>
  <si>
    <t>North Garden</t>
  </si>
  <si>
    <t>+18045550155</t>
  </si>
  <si>
    <t>samuel.wagner85@example.net</t>
  </si>
  <si>
    <t>149027</t>
  </si>
  <si>
    <t>Gray</t>
  </si>
  <si>
    <t>027-12-3751</t>
  </si>
  <si>
    <t>5 WASHINGTON ST</t>
  </si>
  <si>
    <t>Newark</t>
  </si>
  <si>
    <t>NJ</t>
  </si>
  <si>
    <t>+19735550143</t>
  </si>
  <si>
    <t>anthony.gray38@example.net</t>
  </si>
  <si>
    <t>973471</t>
  </si>
  <si>
    <t>José</t>
  </si>
  <si>
    <t>Muñoz</t>
  </si>
  <si>
    <t>461-34-4051</t>
  </si>
  <si>
    <t>600 SOLEDAD ST</t>
  </si>
  <si>
    <t>San Antonio</t>
  </si>
  <si>
    <t>+15125550120</t>
  </si>
  <si>
    <t>jose.munoz98@example.net</t>
  </si>
  <si>
    <t>918451</t>
  </si>
  <si>
    <t>Marc</t>
  </si>
  <si>
    <t>Moore</t>
  </si>
  <si>
    <t>082-78-0619</t>
  </si>
  <si>
    <t>280 GROVE ST</t>
  </si>
  <si>
    <t>Jersey City</t>
  </si>
  <si>
    <t>+19735550166</t>
  </si>
  <si>
    <t>marc.moore2@example.net</t>
  </si>
  <si>
    <t>172832</t>
  </si>
  <si>
    <t>Stephanie</t>
  </si>
  <si>
    <t>Mary</t>
  </si>
  <si>
    <t>Gardner</t>
  </si>
  <si>
    <t>172-99-8815</t>
  </si>
  <si>
    <t>8429 DANIEL SPURS</t>
  </si>
  <si>
    <t>Albany</t>
  </si>
  <si>
    <t>+19145550155</t>
  </si>
  <si>
    <t>stephanie.gardner41@example.com</t>
  </si>
  <si>
    <t>111280</t>
  </si>
  <si>
    <t xml:space="preserve">  Edwin </t>
  </si>
  <si>
    <t xml:space="preserve">Fowler  </t>
  </si>
  <si>
    <t>653-34-2648</t>
  </si>
  <si>
    <t>2461 BRYANT TERRACE</t>
  </si>
  <si>
    <t>Greenfield</t>
  </si>
  <si>
    <t>+19165550135</t>
  </si>
  <si>
    <t>edwin.fowler4@example.com</t>
  </si>
  <si>
    <t>290586</t>
  </si>
  <si>
    <t>Michael</t>
  </si>
  <si>
    <t>078-76-3979</t>
  </si>
  <si>
    <t>300 S ADAMS ST</t>
  </si>
  <si>
    <t>Tallahassee</t>
  </si>
  <si>
    <t>+14075550176</t>
  </si>
  <si>
    <t>michael.lewis57@example.com</t>
  </si>
  <si>
    <t>955744</t>
  </si>
  <si>
    <t>Zoë</t>
  </si>
  <si>
    <t>Corey</t>
  </si>
  <si>
    <t>Brückner</t>
  </si>
  <si>
    <t>314-85-9529</t>
  </si>
  <si>
    <t>1472 NATASHA LAND</t>
  </si>
  <si>
    <t>Columbia</t>
  </si>
  <si>
    <t>+17175550144</t>
  </si>
  <si>
    <t>zoe.bruckner81@example.org</t>
  </si>
  <si>
    <t>422702</t>
  </si>
  <si>
    <t>Jenkins</t>
  </si>
  <si>
    <t>287-51-3639</t>
  </si>
  <si>
    <t>4511 HARRY ISLE</t>
  </si>
  <si>
    <t>+15405550178</t>
  </si>
  <si>
    <t>richard.jenkins44@example.org</t>
  </si>
  <si>
    <t>448247</t>
  </si>
  <si>
    <t>Tina</t>
  </si>
  <si>
    <t>Angela</t>
  </si>
  <si>
    <t>Cowan</t>
  </si>
  <si>
    <t>638-97-8168</t>
  </si>
  <si>
    <t>700 BOYLSTON ST</t>
  </si>
  <si>
    <t>Boston</t>
  </si>
  <si>
    <t>+14135550183</t>
  </si>
  <si>
    <t>tina.cowan18@example.org</t>
  </si>
  <si>
    <t>331665</t>
  </si>
  <si>
    <t>Eric</t>
  </si>
  <si>
    <t>Debra</t>
  </si>
  <si>
    <t>Carney</t>
  </si>
  <si>
    <t>344-41-8850</t>
  </si>
  <si>
    <t>1520 K AVE</t>
  </si>
  <si>
    <t>Plano</t>
  </si>
  <si>
    <t>+17135550128</t>
  </si>
  <si>
    <t>eric.carney57@example.net</t>
  </si>
  <si>
    <t>770546</t>
  </si>
  <si>
    <t>Renée</t>
  </si>
  <si>
    <t>Lefèvre</t>
  </si>
  <si>
    <t>212-54-6382</t>
  </si>
  <si>
    <t>5441 CHARLES FOREST LOWER</t>
  </si>
  <si>
    <t>Houston</t>
  </si>
  <si>
    <t>+17135550186</t>
  </si>
  <si>
    <t>renee.lefevre28@example.org</t>
  </si>
  <si>
    <t>200225</t>
  </si>
  <si>
    <t>Juan</t>
  </si>
  <si>
    <t>Cassandra</t>
  </si>
  <si>
    <t>Nelson</t>
  </si>
  <si>
    <t>524-93-1929</t>
  </si>
  <si>
    <t>2257 PAMELA SUMMIT</t>
  </si>
  <si>
    <t>Calvin</t>
  </si>
  <si>
    <t>+12155550185</t>
  </si>
  <si>
    <t>juan.nelson12@example.com</t>
  </si>
  <si>
    <t>568044</t>
  </si>
  <si>
    <t>Bradley</t>
  </si>
  <si>
    <t>Chad</t>
  </si>
  <si>
    <t>Tucker</t>
  </si>
  <si>
    <t>III</t>
  </si>
  <si>
    <t>197-54-6212</t>
  </si>
  <si>
    <t>447 S SALINA ST</t>
  </si>
  <si>
    <t>Syracuse</t>
  </si>
  <si>
    <t>+19145550175</t>
  </si>
  <si>
    <t>bradley.tucker71@example.net</t>
  </si>
  <si>
    <t>612567</t>
  </si>
  <si>
    <t>William</t>
  </si>
  <si>
    <t>600-56-8057</t>
  </si>
  <si>
    <t>319 E STATE ST</t>
  </si>
  <si>
    <t>Trenton</t>
  </si>
  <si>
    <t>+12015550181</t>
  </si>
  <si>
    <t>william.baker35@example.net</t>
  </si>
  <si>
    <t>126012</t>
  </si>
  <si>
    <t>Henson</t>
  </si>
  <si>
    <t>101-55-2194</t>
  </si>
  <si>
    <t>435 W HAMILTON ST</t>
  </si>
  <si>
    <t>Allentown</t>
  </si>
  <si>
    <t>+17175550122</t>
  </si>
  <si>
    <t>richard.henson48@example.net</t>
  </si>
  <si>
    <t>242834</t>
  </si>
  <si>
    <t>Laura</t>
  </si>
  <si>
    <t>012-71-9095</t>
  </si>
  <si>
    <t>2370 RUSSELL CANYON</t>
  </si>
  <si>
    <t>Cobbs Creek</t>
  </si>
  <si>
    <t>+17035550140</t>
  </si>
  <si>
    <t>eric.nolan55@example.com</t>
  </si>
  <si>
    <t>906865</t>
  </si>
  <si>
    <t>Danielle</t>
  </si>
  <si>
    <t>Garcia</t>
  </si>
  <si>
    <t>162-47-9864</t>
  </si>
  <si>
    <t>161 WASHINGTON AVE</t>
  </si>
  <si>
    <t>+15855550148</t>
  </si>
  <si>
    <t>danielle.garcia50@example.com</t>
  </si>
  <si>
    <t>270805</t>
  </si>
  <si>
    <t>Benjamin</t>
  </si>
  <si>
    <t>Welch</t>
  </si>
  <si>
    <t>780-49-4559</t>
  </si>
  <si>
    <t>101 W FLAGLER ST</t>
  </si>
  <si>
    <t>Miami</t>
  </si>
  <si>
    <t>+13055550199</t>
  </si>
  <si>
    <t>benjamin.welch39@example.com</t>
  </si>
  <si>
    <t>572304</t>
  </si>
  <si>
    <t>Todd</t>
  </si>
  <si>
    <t>Taylor</t>
  </si>
  <si>
    <t>039-69-3268</t>
  </si>
  <si>
    <t>7039 HUYNH COVE</t>
  </si>
  <si>
    <t>Mount Wolf</t>
  </si>
  <si>
    <t>+14125550127</t>
  </si>
  <si>
    <t>todd.taylor94@example.com</t>
  </si>
  <si>
    <t>341904</t>
  </si>
  <si>
    <t>Young</t>
  </si>
  <si>
    <t>JR</t>
  </si>
  <si>
    <t>172-78-9950</t>
  </si>
  <si>
    <t>+14075550182</t>
  </si>
  <si>
    <t>benjamin.young45@example.com</t>
  </si>
  <si>
    <t>164842</t>
  </si>
  <si>
    <t>Bonnie</t>
  </si>
  <si>
    <t>Whitney</t>
  </si>
  <si>
    <t>516-70-5282</t>
  </si>
  <si>
    <t>5667 ADAM TRAIL</t>
  </si>
  <si>
    <t>+15185550101</t>
  </si>
  <si>
    <t>bonnie.whitney96@example.org</t>
  </si>
  <si>
    <t>907595</t>
  </si>
  <si>
    <t>Keith</t>
  </si>
  <si>
    <t>387-73-7924</t>
  </si>
  <si>
    <t>9429 MICHELLE UNION</t>
  </si>
  <si>
    <t>East Sandwich</t>
  </si>
  <si>
    <t>+14135550145</t>
  </si>
  <si>
    <t>robert.keith28@example.net</t>
  </si>
  <si>
    <t>820465</t>
  </si>
  <si>
    <t>Leah</t>
  </si>
  <si>
    <t>Jeffrey</t>
  </si>
  <si>
    <t>Anderson</t>
  </si>
  <si>
    <t>679-04-1376</t>
  </si>
  <si>
    <t>315 E KENNEDY BLVD</t>
  </si>
  <si>
    <t>Tampa</t>
  </si>
  <si>
    <t>+19045550165</t>
  </si>
  <si>
    <t>leah.anderson84@example.com</t>
  </si>
  <si>
    <t>437498</t>
  </si>
  <si>
    <t>Jennifer</t>
  </si>
  <si>
    <t>324-16-8780</t>
  </si>
  <si>
    <t>+17175550132</t>
  </si>
  <si>
    <t>jennifer.owens22@example.net</t>
  </si>
  <si>
    <t>First_Clean</t>
  </si>
  <si>
    <t>Last_Clean</t>
  </si>
  <si>
    <t>ZIP5</t>
  </si>
  <si>
    <t>SSN_Masked</t>
  </si>
  <si>
    <t>SSN_Check</t>
  </si>
  <si>
    <t>Age</t>
  </si>
  <si>
    <t>Code</t>
  </si>
  <si>
    <t>State Name</t>
  </si>
  <si>
    <t>California</t>
  </si>
  <si>
    <t>Florida</t>
  </si>
  <si>
    <t>Massachussetts</t>
  </si>
  <si>
    <t xml:space="preserve">	New Jersey</t>
  </si>
  <si>
    <t>New York</t>
  </si>
  <si>
    <t>Pennsylvania</t>
  </si>
  <si>
    <t>Texas</t>
  </si>
  <si>
    <t>Virginia</t>
  </si>
  <si>
    <t>State_Name</t>
  </si>
  <si>
    <t>Row Labels</t>
  </si>
  <si>
    <t>Grand Total</t>
  </si>
  <si>
    <t>Count of ID</t>
  </si>
  <si>
    <t>Column Labels</t>
  </si>
  <si>
    <t xml:space="preserve">People needing SSN review: </t>
  </si>
  <si>
    <t>People in NJ: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</si>
</sst>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0" xfId="0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33"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mm/dd/yyyy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mm/dd/yyyy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bottom" textRotation="0" wrapText="0" indent="0" justifyLastLine="0" shrinkToFit="0" readingOrder="0"/>
    </dxf>
    <dxf>
      <fill>
        <patternFill>
          <fgColor indexed="64"/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203200</xdr:colOff>
      <xdr:row>2</xdr:row>
      <xdr:rowOff>146050</xdr:rowOff>
    </xdr:from>
    <xdr:to>
      <xdr:col>12</xdr:col>
      <xdr:colOff>488950</xdr:colOff>
      <xdr:row>4</xdr:row>
      <xdr:rowOff>158750</xdr:rowOff>
    </xdr:to>
    <xdr:sp macro="[0]!Format_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97038CD-CC07-CE81-2E2B-25AF07570EA6}"/>
            </a:ext>
          </a:extLst>
        </xdr:cNvPr>
        <xdr:cNvSpPr/>
      </xdr:nvSpPr>
      <xdr:spPr>
        <a:xfrm>
          <a:off x="6299200" y="514350"/>
          <a:ext cx="15049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FORMAT REPORT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hnu.k. menon" refreshedDate="46314.523764004633" createdVersion="8" refreshedVersion="8" minRefreshableVersion="3" recordCount="56" xr:uid="{331F5480-9B1E-4747-8F5A-6A0AA3BA879A}">
  <cacheSource type="worksheet">
    <worksheetSource name="tblroster"/>
  </cacheSource>
  <cacheFields count="22">
    <cacheField name="ID" numFmtId="0">
      <sharedItems count="56">
        <s v="429271"/>
        <s v="732870"/>
        <s v="826284"/>
        <s v="314895"/>
        <s v="756272"/>
        <s v="780876"/>
        <s v="871906"/>
        <s v="950142"/>
        <s v="879082"/>
        <s v="948583"/>
        <s v="127261"/>
        <s v="521024"/>
        <s v="224118"/>
        <s v="153315"/>
        <s v="969993"/>
        <s v="571167"/>
        <s v="247379"/>
        <s v="501640"/>
        <s v="877014"/>
        <s v="916934"/>
        <s v="503447"/>
        <s v="184271"/>
        <s v="734216"/>
        <s v="248465"/>
        <s v="898687"/>
        <s v="891769"/>
        <s v="233412"/>
        <s v="430365"/>
        <s v="958877"/>
        <s v="594808"/>
        <s v="427193"/>
        <s v="183866"/>
        <s v="149027"/>
        <s v="973471"/>
        <s v="918451"/>
        <s v="172832"/>
        <s v="111280"/>
        <s v="290586"/>
        <s v="955744"/>
        <s v="422702"/>
        <s v="448247"/>
        <s v="331665"/>
        <s v="770546"/>
        <s v="200225"/>
        <s v="568044"/>
        <s v="612567"/>
        <s v="126012"/>
        <s v="242834"/>
        <s v="906865"/>
        <s v="270805"/>
        <s v="572304"/>
        <s v="341904"/>
        <s v="164842"/>
        <s v="907595"/>
        <s v="820465"/>
        <s v="437498"/>
      </sharedItems>
    </cacheField>
    <cacheField name="First" numFmtId="0">
      <sharedItems/>
    </cacheField>
    <cacheField name="Middle" numFmtId="0">
      <sharedItems containsBlank="1"/>
    </cacheField>
    <cacheField name="Last" numFmtId="0">
      <sharedItems/>
    </cacheField>
    <cacheField name="Suffix" numFmtId="0">
      <sharedItems containsBlank="1"/>
    </cacheField>
    <cacheField name="SSN" numFmtId="0">
      <sharedItems/>
    </cacheField>
    <cacheField name="DOB" numFmtId="164">
      <sharedItems containsSemiMixedTypes="0" containsNonDate="0" containsDate="1" containsString="0" minDate="1946-08-03T00:00:00" maxDate="2002-12-16T00:00:00"/>
    </cacheField>
    <cacheField name="Street" numFmtId="0">
      <sharedItems/>
    </cacheField>
    <cacheField name="City" numFmtId="0">
      <sharedItems/>
    </cacheField>
    <cacheField name="State" numFmtId="0">
      <sharedItems count="8">
        <s v="PA"/>
        <s v="TX"/>
        <s v="FL"/>
        <s v="NY"/>
        <s v="MA"/>
        <s v="VA"/>
        <s v="CA"/>
        <s v="NJ"/>
      </sharedItems>
    </cacheField>
    <cacheField name="ZIP" numFmtId="0">
      <sharedItems containsSemiMixedTypes="0" containsString="0" containsNumber="1" containsInteger="1" minValue="2116" maxValue="95814"/>
    </cacheField>
    <cacheField name="Phone" numFmtId="0">
      <sharedItems/>
    </cacheField>
    <cacheField name="Email" numFmtId="0">
      <sharedItems/>
    </cacheField>
    <cacheField name="Hire Date" numFmtId="164">
      <sharedItems containsSemiMixedTypes="0" containsNonDate="0" containsDate="1" containsString="0" minDate="2015-12-15T00:00:00" maxDate="2026-07-20T00:00:00"/>
    </cacheField>
    <cacheField name="Department" numFmtId="0">
      <sharedItems count="7">
        <s v="Sales"/>
        <s v="Warehouse"/>
        <s v="Operations"/>
        <s v="Fleet"/>
        <s v="Customer Service"/>
        <s v="IT"/>
        <s v="Finance"/>
      </sharedItems>
    </cacheField>
    <cacheField name="First_Clean" numFmtId="0">
      <sharedItems/>
    </cacheField>
    <cacheField name="Last_Clean" numFmtId="0">
      <sharedItems/>
    </cacheField>
    <cacheField name="ZIP5" numFmtId="0">
      <sharedItems/>
    </cacheField>
    <cacheField name="SSN_Masked" numFmtId="0">
      <sharedItems/>
    </cacheField>
    <cacheField name="SSN_Check" numFmtId="0">
      <sharedItems/>
    </cacheField>
    <cacheField name="Age" numFmtId="0">
      <sharedItems containsSemiMixedTypes="0" containsString="0" containsNumber="1" containsInteger="1" minValue="23" maxValue="80"/>
    </cacheField>
    <cacheField name="State_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x v="0"/>
    <s v="Matthew"/>
    <m/>
    <s v="Smith"/>
    <m/>
    <s v="703-69-7795"/>
    <d v="1960-05-27T00:00:00"/>
    <s v="3121 CARR VALLEY"/>
    <s v="Pittston"/>
    <x v="0"/>
    <n v="18641"/>
    <s v="+17175550167"/>
    <s v="matthew.smith39@example.org"/>
    <d v="2025-02-18T00:00:00"/>
    <x v="0"/>
    <s v="MATTHEW"/>
    <s v="SMITH"/>
    <s v="18641"/>
    <s v="***-**-7795"/>
    <s v="OK"/>
    <n v="66"/>
    <s v="Pennsylvania"/>
  </r>
  <r>
    <x v="1"/>
    <s v="Shane"/>
    <m/>
    <s v="Henderson"/>
    <m/>
    <s v="250-19-0091"/>
    <d v="1972-02-23T00:00:00"/>
    <s v="710 W CESAR CHAVEZ ST"/>
    <s v="Austin"/>
    <x v="1"/>
    <n v="78701"/>
    <s v="+15125550136"/>
    <s v="shane.henderson70@example.org"/>
    <d v="2020-05-02T00:00:00"/>
    <x v="1"/>
    <s v="SHANE"/>
    <s v="HENDERSON"/>
    <s v="78701"/>
    <s v="***-**-0091"/>
    <s v="OK"/>
    <n v="54"/>
    <s v="Texas"/>
  </r>
  <r>
    <x v="2"/>
    <s v="Timothy"/>
    <m/>
    <s v="Van Dyke"/>
    <s v="II"/>
    <s v="664-44-0208"/>
    <d v="1998-12-23T00:00:00"/>
    <s v="4603 ANDERSON KEYS"/>
    <s v="Orlando"/>
    <x v="2"/>
    <n v="32825"/>
    <s v="+13055550128"/>
    <s v="timothy.vandyke31@example.com"/>
    <d v="2019-09-06T00:00:00"/>
    <x v="2"/>
    <s v="TIMOTHY"/>
    <s v="VAN DYKE"/>
    <s v="32825"/>
    <s v="***-**-0208"/>
    <s v="OK"/>
    <n v="27"/>
    <s v="Florida"/>
  </r>
  <r>
    <x v="3"/>
    <s v="Philip"/>
    <s v="David"/>
    <s v="Cannon"/>
    <m/>
    <s v="477-57-7245"/>
    <d v="1966-04-05T00:00:00"/>
    <s v="303 GENESEE ST"/>
    <s v="Utica"/>
    <x v="3"/>
    <n v="13501"/>
    <s v="+17165550144"/>
    <s v="philip.cannon15@example.net"/>
    <d v="2025-07-16T00:00:00"/>
    <x v="2"/>
    <s v="PHILIP"/>
    <s v="CANNON"/>
    <s v="13501"/>
    <s v="***-**-7245"/>
    <s v="OK"/>
    <n v="60"/>
    <s v="New York"/>
  </r>
  <r>
    <x v="4"/>
    <s v="Bryan"/>
    <s v="Matthew"/>
    <s v="Walker"/>
    <m/>
    <s v="820-78-3614"/>
    <d v="1968-12-10T00:00:00"/>
    <s v="1201 LEOPARD ST"/>
    <s v="Corpus Christi"/>
    <x v="1"/>
    <n v="78408"/>
    <s v="+17135550134"/>
    <s v="bryan.walker14@example.net"/>
    <d v="2019-08-11T00:00:00"/>
    <x v="3"/>
    <s v="BRYAN"/>
    <s v="WALKER"/>
    <s v="78408"/>
    <s v="***-**-3614"/>
    <s v="OK"/>
    <n v="57"/>
    <s v="Texas"/>
  </r>
  <r>
    <x v="5"/>
    <s v="Richard"/>
    <s v="Rodney"/>
    <s v="Gibson"/>
    <m/>
    <s v="038-59-1443"/>
    <d v="1954-12-12T00:00:00"/>
    <s v="795 MASSACHUSETTS AVE"/>
    <s v="Cambridge"/>
    <x v="4"/>
    <n v="2139"/>
    <s v="+14135550135"/>
    <s v="richard.gibson87@example.com"/>
    <d v="2025-12-23T00:00:00"/>
    <x v="0"/>
    <s v="RICHARD"/>
    <s v="GIBSON"/>
    <s v="02139"/>
    <s v="***-**-1443"/>
    <s v="OK"/>
    <n v="71"/>
    <s v="Massachussetts"/>
  </r>
  <r>
    <x v="6"/>
    <s v="John"/>
    <s v="Richard"/>
    <s v="Lewis"/>
    <m/>
    <s v="024-63-8805"/>
    <d v="1975-07-13T00:00:00"/>
    <s v="706 S JEFFERSON ST"/>
    <s v="Roanoke"/>
    <x v="5"/>
    <n v="24016"/>
    <s v="+18045550161"/>
    <s v="john.lewis91@example.org"/>
    <d v="2018-05-08T00:00:00"/>
    <x v="0"/>
    <s v="JOHN"/>
    <s v="LEWIS"/>
    <s v="24016"/>
    <s v="***-**-8805"/>
    <s v="OK"/>
    <n v="51"/>
    <s v="Virginia"/>
  </r>
  <r>
    <x v="7"/>
    <s v="Alicia"/>
    <s v="Natasha"/>
    <s v="Hickman"/>
    <m/>
    <s v="360-83-8347"/>
    <d v="1954-04-30T00:00:00"/>
    <s v="65 NIAGARA SQ"/>
    <s v="Buffalo"/>
    <x v="3"/>
    <n v="14202"/>
    <s v="+15185550130"/>
    <s v="alicia.hickman22@example.org"/>
    <d v="2020-01-28T00:00:00"/>
    <x v="4"/>
    <s v="ALICIA"/>
    <s v="HICKMAN"/>
    <s v="14202"/>
    <s v="***-**-8347"/>
    <s v="OK"/>
    <n v="72"/>
    <s v="New York"/>
  </r>
  <r>
    <x v="8"/>
    <s v="Shannon"/>
    <s v="Jason"/>
    <s v="Nolan"/>
    <m/>
    <s v="593-52-9668"/>
    <d v="1953-11-26T00:00:00"/>
    <s v="630 W 5TH ST"/>
    <s v="Los Angeles"/>
    <x v="6"/>
    <n v="90012"/>
    <s v="+14155550183"/>
    <s v="shannon.nolan42@example.com"/>
    <d v="2021-08-27T00:00:00"/>
    <x v="2"/>
    <s v="SHANNON"/>
    <s v="NOLAN"/>
    <s v="90012"/>
    <s v="***-**-9668"/>
    <s v="OK"/>
    <n v="72"/>
    <s v="California"/>
  </r>
  <r>
    <x v="9"/>
    <s v="Madison"/>
    <m/>
    <s v="Calderon"/>
    <m/>
    <s v="666-44-1766"/>
    <d v="1977-06-08T00:00:00"/>
    <s v="340 N WASHINGTON AVE"/>
    <s v="Scranton"/>
    <x v="0"/>
    <n v="18503"/>
    <s v="+14125550188"/>
    <s v="madison.calderon75@example.com"/>
    <d v="2024-05-02T00:00:00"/>
    <x v="2"/>
    <s v="MADISON"/>
    <s v="CALDERON"/>
    <s v="18503"/>
    <s v="***-**-1766"/>
    <s v="REVIEW"/>
    <n v="49"/>
    <s v="Pennsylvania"/>
  </r>
  <r>
    <x v="10"/>
    <s v="  Susan "/>
    <m/>
    <s v="Williams  "/>
    <m/>
    <s v="458-41-1945"/>
    <d v="1952-01-08T00:00:00"/>
    <s v="125 14TH ST"/>
    <s v="Oakland"/>
    <x v="6"/>
    <n v="94612"/>
    <s v="+15105550143"/>
    <s v="susan.williams47@example.com"/>
    <d v="2023-09-26T00:00:00"/>
    <x v="3"/>
    <s v="SUSAN"/>
    <s v="WILLIAMS"/>
    <s v="94612"/>
    <s v="***-**-1945"/>
    <s v="OK"/>
    <n v="74"/>
    <s v="California"/>
  </r>
  <r>
    <x v="11"/>
    <s v="Tammy"/>
    <s v="Gabriel"/>
    <s v="Allison"/>
    <m/>
    <s v="436-15-8923"/>
    <d v="1987-06-02T00:00:00"/>
    <s v="301 KING ST"/>
    <s v="Alexandria"/>
    <x v="5"/>
    <n v="22314"/>
    <s v="+17035550138"/>
    <s v="tammy.allison22@example.org"/>
    <d v="2019-11-30T00:00:00"/>
    <x v="5"/>
    <s v="TAMMY"/>
    <s v="ALLISON"/>
    <s v="22314"/>
    <s v="***-**-8923"/>
    <s v="OK"/>
    <n v="39"/>
    <s v="Virginia"/>
  </r>
  <r>
    <x v="12"/>
    <s v="Shawn"/>
    <s v="Vincent"/>
    <s v="Baker"/>
    <m/>
    <s v="627-84-8667"/>
    <d v="1969-04-14T00:00:00"/>
    <s v="2090 KITTREDGE ST"/>
    <s v="Berkeley"/>
    <x v="6"/>
    <n v="94704"/>
    <s v="+15105550106"/>
    <s v="shawn.baker63@example.com"/>
    <d v="2024-11-04T00:00:00"/>
    <x v="1"/>
    <s v="SHAWN"/>
    <s v="BAKER"/>
    <s v="94704"/>
    <s v="***-**-8667"/>
    <s v="OK"/>
    <n v="57"/>
    <s v="California"/>
  </r>
  <r>
    <x v="13"/>
    <s v="Lee"/>
    <s v="Kathryn"/>
    <s v="Hernandez"/>
    <m/>
    <s v="152-56-2089"/>
    <d v="1965-12-08T00:00:00"/>
    <s v="828 I ST"/>
    <s v="Sacramento"/>
    <x v="6"/>
    <n v="95814"/>
    <s v="+16195550159"/>
    <s v="lee.hernandez38@example.com"/>
    <d v="2017-11-02T00:00:00"/>
    <x v="2"/>
    <s v="LEE"/>
    <s v="HERNANDEZ"/>
    <s v="95814"/>
    <s v="***-**-2089"/>
    <s v="OK"/>
    <n v="60"/>
    <s v="California"/>
  </r>
  <r>
    <x v="14"/>
    <s v="  Danielle "/>
    <s v="Scott"/>
    <s v="Leblanc  "/>
    <m/>
    <s v="831-73-4979"/>
    <d v="1994-06-25T00:00:00"/>
    <s v="5107 MOORE VILLAGE"/>
    <s v="Lorton"/>
    <x v="5"/>
    <n v="22079"/>
    <s v="+15405550174"/>
    <s v="danielle.leblanc73@example.org"/>
    <d v="2017-11-20T00:00:00"/>
    <x v="4"/>
    <s v="DANIELLE"/>
    <s v="LEBLANC"/>
    <s v="22079"/>
    <s v="***-**-4979"/>
    <s v="OK"/>
    <n v="32"/>
    <s v="Virginia"/>
  </r>
  <r>
    <x v="15"/>
    <s v="Joan"/>
    <s v="Joshua"/>
    <s v="Henderson"/>
    <m/>
    <s v="481-62-7217"/>
    <d v="1967-04-24T00:00:00"/>
    <s v="101 E FRANKLIN ST"/>
    <s v="Richmond"/>
    <x v="5"/>
    <n v="23219"/>
    <s v="+17035550186"/>
    <s v="joan.henderson27@example.com"/>
    <d v="2025-10-03T00:00:00"/>
    <x v="5"/>
    <s v="JOAN"/>
    <s v="HENDERSON"/>
    <s v="23219"/>
    <s v="***-**-7217"/>
    <s v="OK"/>
    <n v="59"/>
    <s v="Virginia"/>
  </r>
  <r>
    <x v="16"/>
    <s v="John"/>
    <s v="Lindsey"/>
    <s v="De La Vega"/>
    <m/>
    <s v="846-94-9708"/>
    <d v="1974-02-03T00:00:00"/>
    <s v="10 E CHURCH ST"/>
    <s v="Bethlehem"/>
    <x v="0"/>
    <n v="18018"/>
    <s v="+16105550177"/>
    <s v="john.delavega95@example.net"/>
    <d v="2019-09-29T00:00:00"/>
    <x v="1"/>
    <s v="JOHN"/>
    <s v="DE LA VEGA"/>
    <s v="18018"/>
    <s v="***-**-9708"/>
    <s v="OK"/>
    <n v="52"/>
    <s v="Pennsylvania"/>
  </r>
  <r>
    <x v="17"/>
    <s v="  Christopher "/>
    <s v="Monica"/>
    <s v="Gaines  "/>
    <m/>
    <s v="735-44-3336"/>
    <d v="1985-05-27T00:00:00"/>
    <s v="100 LARKIN ST"/>
    <s v="San Francisco"/>
    <x v="6"/>
    <n v="94102"/>
    <s v="+16195550190"/>
    <s v="christopher.gaines11@example.net"/>
    <d v="2026-07-19T00:00:00"/>
    <x v="2"/>
    <s v="CHRISTOPHER"/>
    <s v="GAINES"/>
    <s v="94102"/>
    <s v="***-**-3336"/>
    <s v="OK"/>
    <n v="41"/>
    <s v="California"/>
  </r>
  <r>
    <x v="18"/>
    <s v="Jessica"/>
    <s v="Jessica"/>
    <s v="Owens"/>
    <m/>
    <s v="738-53-8005"/>
    <d v="1998-05-08T00:00:00"/>
    <s v="4400 FORBES AVE"/>
    <s v="Pittsburgh"/>
    <x v="0"/>
    <n v="15213"/>
    <s v="+16105550154"/>
    <s v="jessica.owens91@example.net"/>
    <d v="2024-02-07T00:00:00"/>
    <x v="5"/>
    <s v="JESSICA"/>
    <s v="OWENS"/>
    <s v="15213"/>
    <s v="***-**-8005"/>
    <s v="OK"/>
    <n v="28"/>
    <s v="Pennsylvania"/>
  </r>
  <r>
    <x v="19"/>
    <s v="Ronald"/>
    <m/>
    <s v="Parker"/>
    <m/>
    <s v="611-56-5664"/>
    <d v="2001-07-14T00:00:00"/>
    <s v="7965 ALBERT ROAD"/>
    <s v="Tivoli"/>
    <x v="3"/>
    <n v="12583"/>
    <s v="+17165550162"/>
    <s v="ronald.parker73@example.net"/>
    <d v="2026-02-02T00:00:00"/>
    <x v="3"/>
    <s v="RONALD"/>
    <s v="PARKER"/>
    <s v="12583"/>
    <s v="***-**-5664"/>
    <s v="OK"/>
    <n v="25"/>
    <s v="New York"/>
  </r>
  <r>
    <x v="20"/>
    <s v="Yvonne"/>
    <s v="Tanya"/>
    <s v="Huff"/>
    <m/>
    <s v="161-01-6694"/>
    <d v="1968-08-08T00:00:00"/>
    <s v="1015 N QUINCY ST"/>
    <s v="Arlington"/>
    <x v="5"/>
    <n v="22201"/>
    <s v="+17035550171"/>
    <s v="yvonne.huff77@example.net"/>
    <d v="2025-10-15T00:00:00"/>
    <x v="2"/>
    <s v="YVONNE"/>
    <s v="HUFF"/>
    <s v="22201"/>
    <s v="***-**-6694"/>
    <s v="OK"/>
    <n v="58"/>
    <s v="Virginia"/>
  </r>
  <r>
    <x v="21"/>
    <s v="Scott"/>
    <s v="James"/>
    <s v="Wright"/>
    <m/>
    <s v="304-30-5913"/>
    <d v="1997-06-01T00:00:00"/>
    <s v="120 N DUKE ST"/>
    <s v="Lancaster"/>
    <x v="0"/>
    <n v="17602"/>
    <s v="+14125550159"/>
    <s v="scott.wright18@example.com"/>
    <d v="2016-10-19T00:00:00"/>
    <x v="3"/>
    <s v="SCOTT"/>
    <s v="WRIGHT"/>
    <s v="17602"/>
    <s v="***-**-5913"/>
    <s v="OK"/>
    <n v="29"/>
    <s v="Pennsylvania"/>
  </r>
  <r>
    <x v="22"/>
    <s v="Joshua"/>
    <m/>
    <s v="O'Brien"/>
    <m/>
    <s v="243-21-2901"/>
    <d v="1964-06-29T00:00:00"/>
    <s v="330 PARK BLVD UPPER"/>
    <s v="San Diego"/>
    <x v="6"/>
    <n v="92101"/>
    <s v="+15105550181"/>
    <s v="joshua.obrien36@example.com"/>
    <d v="2016-10-21T00:00:00"/>
    <x v="5"/>
    <s v="JOSHUA"/>
    <s v="O'BRIEN"/>
    <s v="92101"/>
    <s v="***-**-2901"/>
    <s v="OK"/>
    <n v="62"/>
    <s v="California"/>
  </r>
  <r>
    <x v="23"/>
    <s v="Anthony"/>
    <s v="Stacey"/>
    <s v="Humphrey"/>
    <m/>
    <s v="826-69-3229"/>
    <d v="2002-12-15T00:00:00"/>
    <s v="40 S BROADWAY"/>
    <s v="Yonkers"/>
    <x v="3"/>
    <n v="10701"/>
    <s v="+19145550122"/>
    <s v="anthony.humphrey99@example.org"/>
    <d v="2022-01-27T00:00:00"/>
    <x v="1"/>
    <s v="ANTHONY"/>
    <s v="HUMPHREY"/>
    <s v="10701"/>
    <s v="***-**-3229"/>
    <s v="OK"/>
    <n v="23"/>
    <s v="New York"/>
  </r>
  <r>
    <x v="24"/>
    <s v="Christy"/>
    <m/>
    <s v="Ryan"/>
    <m/>
    <s v="137-60-8703"/>
    <d v="1996-01-19T00:00:00"/>
    <s v="501 N OREGON ST APT6F"/>
    <s v="El Paso"/>
    <x v="1"/>
    <n v="79901"/>
    <s v="+15125550149"/>
    <s v="christy.ryan70@example.com"/>
    <d v="2016-07-11T00:00:00"/>
    <x v="6"/>
    <s v="CHRISTY"/>
    <s v="RYAN"/>
    <s v="79901"/>
    <s v="***-**-8703"/>
    <s v="OK"/>
    <n v="30"/>
    <s v="Texas"/>
  </r>
  <r>
    <x v="25"/>
    <s v="Karen"/>
    <s v="Joseph"/>
    <s v="Garcia-Lopez"/>
    <m/>
    <s v="231-26-2415"/>
    <d v="1960-04-12T00:00:00"/>
    <s v="115 SOUTH AVE"/>
    <s v="Rochester"/>
    <x v="3"/>
    <n v="14604"/>
    <s v="+15855550133"/>
    <s v="karen.garcia-lopez15@example.org"/>
    <d v="2024-05-28T00:00:00"/>
    <x v="4"/>
    <s v="KAREN"/>
    <s v="GARCIA-LOPEZ"/>
    <s v="14604"/>
    <s v="***-**-2415"/>
    <s v="OK"/>
    <n v="66"/>
    <s v="New York"/>
  </r>
  <r>
    <x v="26"/>
    <s v="Robert"/>
    <s v="Brent"/>
    <s v="Pierce"/>
    <m/>
    <s v="305-76-7026"/>
    <d v="1975-01-31T00:00:00"/>
    <s v="605 E MAIN ST"/>
    <s v="Charlottesville"/>
    <x v="5"/>
    <n v="22902"/>
    <s v="+18045550100"/>
    <s v="robert.pierce69@example.org"/>
    <d v="2023-11-24T00:00:00"/>
    <x v="6"/>
    <s v="ROBERT"/>
    <s v="PIERCE"/>
    <s v="22902"/>
    <s v="***-**-7026"/>
    <s v="OK"/>
    <n v="51"/>
    <s v="Virginia"/>
  </r>
  <r>
    <x v="27"/>
    <s v="Kerry"/>
    <s v="Mario"/>
    <s v="Smith"/>
    <m/>
    <s v="205-59-5729"/>
    <d v="1973-05-24T00:00:00"/>
    <s v="2600 FRESNO ST"/>
    <s v="Fresno"/>
    <x v="6"/>
    <n v="93721"/>
    <s v="+14155550187"/>
    <s v="kerry.smith69@example.org"/>
    <d v="2023-06-18T00:00:00"/>
    <x v="2"/>
    <s v="KERRY"/>
    <s v="SMITH"/>
    <s v="93721"/>
    <s v="***-**-5729"/>
    <s v="OK"/>
    <n v="53"/>
    <s v="California"/>
  </r>
  <r>
    <x v="28"/>
    <s v="Christopher"/>
    <s v="Janice"/>
    <s v="Ramos"/>
    <m/>
    <s v="041-20-5286"/>
    <d v="1961-06-30T00:00:00"/>
    <s v="101 E CENTRAL BLVD"/>
    <s v="Orlando"/>
    <x v="2"/>
    <n v="32801"/>
    <s v="+18135550146"/>
    <s v="christopher.ramos38@example.com"/>
    <d v="2026-02-04T00:00:00"/>
    <x v="2"/>
    <s v="CHRISTOPHER"/>
    <s v="RAMOS"/>
    <s v="32801"/>
    <s v="***-**-5286"/>
    <s v="OK"/>
    <n v="65"/>
    <s v="Florida"/>
  </r>
  <r>
    <x v="29"/>
    <s v="Connor"/>
    <s v="Ryan"/>
    <s v="Davis"/>
    <m/>
    <s v="507-42-2980"/>
    <d v="1982-08-29T00:00:00"/>
    <s v="626 STATE ST"/>
    <s v="Erie"/>
    <x v="0"/>
    <n v="16501"/>
    <s v="+16105550191"/>
    <s v="connor.davis89@example.org"/>
    <d v="2015-12-15T00:00:00"/>
    <x v="0"/>
    <s v="CONNOR"/>
    <s v="DAVIS"/>
    <s v="16501"/>
    <s v="***-**-2980"/>
    <s v="OK"/>
    <n v="44"/>
    <s v="Pennsylvania"/>
  </r>
  <r>
    <x v="30"/>
    <s v="Crystal"/>
    <s v="Michele"/>
    <s v="Whitehead"/>
    <m/>
    <s v="773-04-4052"/>
    <d v="1954-08-30T00:00:00"/>
    <s v="303 N LAURA ST"/>
    <s v="Jacksonville"/>
    <x v="2"/>
    <n v="32202"/>
    <s v="+13055550160"/>
    <s v="crystal.whitehead58@example.org"/>
    <d v="2021-05-16T00:00:00"/>
    <x v="2"/>
    <s v="CRYSTAL"/>
    <s v="WHITEHEAD"/>
    <s v="32202"/>
    <s v="***-**-4052"/>
    <s v="OK"/>
    <n v="72"/>
    <s v="Florida"/>
  </r>
  <r>
    <x v="31"/>
    <s v="Samuel"/>
    <s v="John"/>
    <s v="Wagner"/>
    <m/>
    <s v="188-15-6567"/>
    <d v="1954-03-28T00:00:00"/>
    <s v="1532 HARRIS ROADS"/>
    <s v="North Garden"/>
    <x v="5"/>
    <n v="22959"/>
    <s v="+18045550155"/>
    <s v="samuel.wagner85@example.net"/>
    <d v="2023-12-14T00:00:00"/>
    <x v="4"/>
    <s v="SAMUEL"/>
    <s v="WAGNER"/>
    <s v="22959"/>
    <s v="***-**-6567"/>
    <s v="OK"/>
    <n v="72"/>
    <s v="Virginia"/>
  </r>
  <r>
    <x v="32"/>
    <s v="Anthony"/>
    <m/>
    <s v="Gray"/>
    <m/>
    <s v="027-12-3751"/>
    <d v="1965-05-11T00:00:00"/>
    <s v="5 WASHINGTON ST"/>
    <s v="Newark"/>
    <x v="7"/>
    <n v="7102"/>
    <s v="+19735550143"/>
    <s v="anthony.gray38@example.net"/>
    <d v="2020-10-07T00:00:00"/>
    <x v="6"/>
    <s v="ANTHONY"/>
    <s v="GRAY"/>
    <s v="07102"/>
    <s v="***-**-3751"/>
    <s v="OK"/>
    <n v="61"/>
    <s v="_x0009_New Jersey"/>
  </r>
  <r>
    <x v="33"/>
    <s v="José"/>
    <m/>
    <s v="Muñoz"/>
    <m/>
    <s v="461-34-4051"/>
    <d v="1956-01-19T00:00:00"/>
    <s v="600 SOLEDAD ST"/>
    <s v="San Antonio"/>
    <x v="1"/>
    <n v="78205"/>
    <s v="+15125550120"/>
    <s v="jose.munoz98@example.net"/>
    <d v="2018-08-02T00:00:00"/>
    <x v="6"/>
    <s v="JOSÉ"/>
    <s v="MUÑOZ"/>
    <s v="78205"/>
    <s v="***-**-4051"/>
    <s v="OK"/>
    <n v="70"/>
    <s v="Texas"/>
  </r>
  <r>
    <x v="34"/>
    <s v="Marc"/>
    <m/>
    <s v="Moore"/>
    <m/>
    <s v="082-78-0619"/>
    <d v="1992-03-04T00:00:00"/>
    <s v="280 GROVE ST"/>
    <s v="Jersey City"/>
    <x v="7"/>
    <n v="7302"/>
    <s v="+19735550166"/>
    <s v="marc.moore2@example.net"/>
    <d v="2020-10-30T00:00:00"/>
    <x v="1"/>
    <s v="MARC"/>
    <s v="MOORE"/>
    <s v="07302"/>
    <s v="***-**-0619"/>
    <s v="OK"/>
    <n v="34"/>
    <s v="_x0009_New Jersey"/>
  </r>
  <r>
    <x v="35"/>
    <s v="Stephanie"/>
    <s v="Mary"/>
    <s v="Gardner"/>
    <m/>
    <s v="172-99-8815"/>
    <d v="1946-08-03T00:00:00"/>
    <s v="8429 DANIEL SPURS"/>
    <s v="Albany"/>
    <x v="3"/>
    <n v="12211"/>
    <s v="+19145550155"/>
    <s v="stephanie.gardner41@example.com"/>
    <d v="2022-03-15T00:00:00"/>
    <x v="1"/>
    <s v="STEPHANIE"/>
    <s v="GARDNER"/>
    <s v="12211"/>
    <s v="***-**-8815"/>
    <s v="OK"/>
    <n v="80"/>
    <s v="New York"/>
  </r>
  <r>
    <x v="36"/>
    <s v="  Edwin "/>
    <m/>
    <s v="Fowler  "/>
    <m/>
    <s v="653-34-2648"/>
    <d v="1954-07-15T00:00:00"/>
    <s v="2461 BRYANT TERRACE"/>
    <s v="Greenfield"/>
    <x v="6"/>
    <n v="93927"/>
    <s v="+19165550135"/>
    <s v="edwin.fowler4@example.com"/>
    <d v="2017-03-24T00:00:00"/>
    <x v="3"/>
    <s v="EDWIN"/>
    <s v="FOWLER"/>
    <s v="93927"/>
    <s v="***-**-2648"/>
    <s v="OK"/>
    <n v="72"/>
    <s v="California"/>
  </r>
  <r>
    <x v="37"/>
    <s v="Michael"/>
    <s v="David"/>
    <s v="Lewis"/>
    <m/>
    <s v="078-76-3979"/>
    <d v="1978-06-04T00:00:00"/>
    <s v="300 S ADAMS ST"/>
    <s v="Tallahassee"/>
    <x v="2"/>
    <n v="32301"/>
    <s v="+14075550176"/>
    <s v="michael.lewis57@example.com"/>
    <d v="2019-03-03T00:00:00"/>
    <x v="1"/>
    <s v="MICHAEL"/>
    <s v="LEWIS"/>
    <s v="32301"/>
    <s v="***-**-3979"/>
    <s v="OK"/>
    <n v="48"/>
    <s v="Florida"/>
  </r>
  <r>
    <x v="38"/>
    <s v="Zoë"/>
    <s v="Corey"/>
    <s v="Brückner"/>
    <m/>
    <s v="314-85-9529"/>
    <d v="1959-05-17T00:00:00"/>
    <s v="1472 NATASHA LAND"/>
    <s v="Columbia"/>
    <x v="0"/>
    <n v="17512"/>
    <s v="+17175550144"/>
    <s v="zoe.bruckner81@example.org"/>
    <d v="2023-10-08T00:00:00"/>
    <x v="6"/>
    <s v="ZOË"/>
    <s v="BRÜCKNER"/>
    <s v="17512"/>
    <s v="***-**-9529"/>
    <s v="OK"/>
    <n v="67"/>
    <s v="Pennsylvania"/>
  </r>
  <r>
    <x v="39"/>
    <s v="Richard"/>
    <m/>
    <s v="Jenkins"/>
    <m/>
    <s v="287-51-3639"/>
    <d v="1994-12-22T00:00:00"/>
    <s v="4511 HARRY ISLE"/>
    <s v="Roanoke"/>
    <x v="5"/>
    <n v="24011"/>
    <s v="+15405550178"/>
    <s v="richard.jenkins44@example.org"/>
    <d v="2021-11-10T00:00:00"/>
    <x v="5"/>
    <s v="RICHARD"/>
    <s v="JENKINS"/>
    <s v="24011"/>
    <s v="***-**-3639"/>
    <s v="OK"/>
    <n v="31"/>
    <s v="Virginia"/>
  </r>
  <r>
    <x v="40"/>
    <s v="Tina"/>
    <s v="Angela"/>
    <s v="Cowan"/>
    <m/>
    <s v="638-97-8168"/>
    <d v="1970-03-14T00:00:00"/>
    <s v="700 BOYLSTON ST"/>
    <s v="Boston"/>
    <x v="4"/>
    <n v="2116"/>
    <s v="+14135550183"/>
    <s v="tina.cowan18@example.org"/>
    <d v="2016-09-16T00:00:00"/>
    <x v="2"/>
    <s v="TINA"/>
    <s v="COWAN"/>
    <s v="02116"/>
    <s v="***-**-8168"/>
    <s v="OK"/>
    <n v="56"/>
    <s v="Massachussetts"/>
  </r>
  <r>
    <x v="41"/>
    <s v="Eric"/>
    <s v="Debra"/>
    <s v="Carney"/>
    <m/>
    <s v="344-41-8850"/>
    <d v="1988-04-24T00:00:00"/>
    <s v="1520 K AVE"/>
    <s v="Plano"/>
    <x v="1"/>
    <n v="75074"/>
    <s v="+17135550128"/>
    <s v="eric.carney57@example.net"/>
    <d v="2020-07-02T00:00:00"/>
    <x v="4"/>
    <s v="ERIC"/>
    <s v="CARNEY"/>
    <s v="75074"/>
    <s v="***-**-8850"/>
    <s v="OK"/>
    <n v="38"/>
    <s v="Texas"/>
  </r>
  <r>
    <x v="42"/>
    <s v="Renée"/>
    <m/>
    <s v="Lefèvre"/>
    <m/>
    <s v="212-54-6382"/>
    <d v="1977-08-13T00:00:00"/>
    <s v="5441 CHARLES FOREST LOWER"/>
    <s v="Houston"/>
    <x v="1"/>
    <n v="77065"/>
    <s v="+17135550186"/>
    <s v="renee.lefevre28@example.org"/>
    <d v="2017-01-06T00:00:00"/>
    <x v="2"/>
    <s v="RENÉE"/>
    <s v="LEFÈVRE"/>
    <s v="77065"/>
    <s v="***-**-6382"/>
    <s v="OK"/>
    <n v="49"/>
    <s v="Texas"/>
  </r>
  <r>
    <x v="43"/>
    <s v="Juan"/>
    <s v="Cassandra"/>
    <s v="Nelson"/>
    <m/>
    <s v="524-93-1929"/>
    <d v="1953-07-28T00:00:00"/>
    <s v="2257 PAMELA SUMMIT"/>
    <s v="Calvin"/>
    <x v="0"/>
    <n v="16622"/>
    <s v="+12155550185"/>
    <s v="juan.nelson12@example.com"/>
    <d v="2022-07-30T00:00:00"/>
    <x v="1"/>
    <s v="JUAN"/>
    <s v="NELSON"/>
    <s v="16622"/>
    <s v="***-**-1929"/>
    <s v="OK"/>
    <n v="73"/>
    <s v="Pennsylvania"/>
  </r>
  <r>
    <x v="44"/>
    <s v="Bradley"/>
    <s v="Chad"/>
    <s v="Tucker"/>
    <s v="III"/>
    <s v="197-54-6212"/>
    <d v="1968-07-12T00:00:00"/>
    <s v="447 S SALINA ST"/>
    <s v="Syracuse"/>
    <x v="3"/>
    <n v="13202"/>
    <s v="+19145550175"/>
    <s v="bradley.tucker71@example.net"/>
    <d v="2024-03-25T00:00:00"/>
    <x v="6"/>
    <s v="BRADLEY"/>
    <s v="TUCKER"/>
    <s v="13202"/>
    <s v="***-**-6212"/>
    <s v="OK"/>
    <n v="58"/>
    <s v="New York"/>
  </r>
  <r>
    <x v="45"/>
    <s v="William"/>
    <m/>
    <s v="Baker"/>
    <m/>
    <s v="600-56-8057"/>
    <d v="1986-06-11T00:00:00"/>
    <s v="319 E STATE ST"/>
    <s v="Trenton"/>
    <x v="7"/>
    <n v="8608"/>
    <s v="+12015550181"/>
    <s v="william.baker35@example.net"/>
    <d v="2023-05-10T00:00:00"/>
    <x v="4"/>
    <s v="WILLIAM"/>
    <s v="BAKER"/>
    <s v="08608"/>
    <s v="***-**-8057"/>
    <s v="OK"/>
    <n v="40"/>
    <s v="_x0009_New Jersey"/>
  </r>
  <r>
    <x v="46"/>
    <s v="Richard"/>
    <s v="Richard"/>
    <s v="Henson"/>
    <m/>
    <s v="101-55-2194"/>
    <d v="1983-11-22T00:00:00"/>
    <s v="435 W HAMILTON ST"/>
    <s v="Allentown"/>
    <x v="0"/>
    <n v="18101"/>
    <s v="+17175550122"/>
    <s v="richard.henson48@example.net"/>
    <d v="2021-04-19T00:00:00"/>
    <x v="1"/>
    <s v="RICHARD"/>
    <s v="HENSON"/>
    <s v="18101"/>
    <s v="***-**-2194"/>
    <s v="OK"/>
    <n v="42"/>
    <s v="Pennsylvania"/>
  </r>
  <r>
    <x v="47"/>
    <s v="Eric"/>
    <s v="Laura"/>
    <s v="Nolan"/>
    <m/>
    <s v="012-71-9095"/>
    <d v="1963-03-10T00:00:00"/>
    <s v="2370 RUSSELL CANYON"/>
    <s v="Cobbs Creek"/>
    <x v="5"/>
    <n v="23035"/>
    <s v="+17035550140"/>
    <s v="eric.nolan55@example.com"/>
    <d v="2019-07-24T00:00:00"/>
    <x v="0"/>
    <s v="ERIC"/>
    <s v="NOLAN"/>
    <s v="23035"/>
    <s v="***-**-9095"/>
    <s v="OK"/>
    <n v="63"/>
    <s v="Virginia"/>
  </r>
  <r>
    <x v="48"/>
    <s v="Danielle"/>
    <m/>
    <s v="Garcia"/>
    <m/>
    <s v="162-47-9864"/>
    <d v="1997-06-05T00:00:00"/>
    <s v="161 WASHINGTON AVE"/>
    <s v="Albany"/>
    <x v="3"/>
    <n v="12210"/>
    <s v="+15855550148"/>
    <s v="danielle.garcia50@example.com"/>
    <d v="2026-02-06T00:00:00"/>
    <x v="5"/>
    <s v="DANIELLE"/>
    <s v="GARCIA"/>
    <s v="12210"/>
    <s v="***-**-9864"/>
    <s v="OK"/>
    <n v="29"/>
    <s v="New York"/>
  </r>
  <r>
    <x v="49"/>
    <s v="Benjamin"/>
    <m/>
    <s v="Welch"/>
    <m/>
    <s v="780-49-4559"/>
    <d v="1983-03-24T00:00:00"/>
    <s v="101 W FLAGLER ST"/>
    <s v="Miami"/>
    <x v="2"/>
    <n v="33130"/>
    <s v="+13055550199"/>
    <s v="benjamin.welch39@example.com"/>
    <d v="2024-01-27T00:00:00"/>
    <x v="3"/>
    <s v="BENJAMIN"/>
    <s v="WELCH"/>
    <s v="33130"/>
    <s v="***-**-4559"/>
    <s v="OK"/>
    <n v="43"/>
    <s v="Florida"/>
  </r>
  <r>
    <x v="50"/>
    <s v="Todd"/>
    <m/>
    <s v="Taylor"/>
    <m/>
    <s v="039-69-3268"/>
    <d v="1982-09-10T00:00:00"/>
    <s v="7039 HUYNH COVE"/>
    <s v="Mount Wolf"/>
    <x v="0"/>
    <n v="17347"/>
    <s v="+14125550127"/>
    <s v="todd.taylor94@example.com"/>
    <d v="2021-11-13T00:00:00"/>
    <x v="0"/>
    <s v="TODD"/>
    <s v="TAYLOR"/>
    <s v="17347"/>
    <s v="***-**-3268"/>
    <s v="OK"/>
    <n v="44"/>
    <s v="Pennsylvania"/>
  </r>
  <r>
    <x v="51"/>
    <s v="Benjamin"/>
    <m/>
    <s v="Young"/>
    <s v="JR"/>
    <s v="172-78-9950"/>
    <d v="1954-03-15T00:00:00"/>
    <s v="101 E CENTRAL BLVD"/>
    <s v="Orlando"/>
    <x v="2"/>
    <n v="32801"/>
    <s v="+14075550182"/>
    <s v="benjamin.young45@example.com"/>
    <d v="2020-02-17T00:00:00"/>
    <x v="0"/>
    <s v="BENJAMIN"/>
    <s v="YOUNG"/>
    <s v="32801"/>
    <s v="***-**-9950"/>
    <s v="OK"/>
    <n v="72"/>
    <s v="Florida"/>
  </r>
  <r>
    <x v="52"/>
    <s v="Bonnie"/>
    <m/>
    <s v="Whitney"/>
    <m/>
    <s v="516-70-5282"/>
    <d v="1961-06-18T00:00:00"/>
    <s v="5667 ADAM TRAIL"/>
    <s v="Buffalo"/>
    <x v="3"/>
    <n v="14216"/>
    <s v="+15185550101"/>
    <s v="bonnie.whitney96@example.org"/>
    <d v="2024-10-12T00:00:00"/>
    <x v="1"/>
    <s v="BONNIE"/>
    <s v="WHITNEY"/>
    <s v="14216"/>
    <s v="***-**-5282"/>
    <s v="OK"/>
    <n v="65"/>
    <s v="New York"/>
  </r>
  <r>
    <x v="53"/>
    <s v="Robert"/>
    <m/>
    <s v="Keith"/>
    <m/>
    <s v="387-73-7924"/>
    <d v="1962-02-03T00:00:00"/>
    <s v="9429 MICHELLE UNION"/>
    <s v="East Sandwich"/>
    <x v="4"/>
    <n v="2537"/>
    <s v="+14135550145"/>
    <s v="robert.keith28@example.net"/>
    <d v="2021-01-24T00:00:00"/>
    <x v="1"/>
    <s v="ROBERT"/>
    <s v="KEITH"/>
    <s v="02537"/>
    <s v="***-**-7924"/>
    <s v="OK"/>
    <n v="64"/>
    <s v="Massachussetts"/>
  </r>
  <r>
    <x v="54"/>
    <s v="Leah"/>
    <s v="Jeffrey"/>
    <s v="Anderson"/>
    <m/>
    <s v="679-04-1376"/>
    <d v="1977-11-29T00:00:00"/>
    <s v="315 E KENNEDY BLVD"/>
    <s v="Tampa"/>
    <x v="2"/>
    <n v="33602"/>
    <s v="+19045550165"/>
    <s v="leah.anderson84@example.com"/>
    <d v="2024-03-19T00:00:00"/>
    <x v="0"/>
    <s v="LEAH"/>
    <s v="ANDERSON"/>
    <s v="33602"/>
    <s v="***-**-1376"/>
    <s v="OK"/>
    <n v="48"/>
    <s v="Florida"/>
  </r>
  <r>
    <x v="55"/>
    <s v="Jennifer"/>
    <m/>
    <s v="Owens"/>
    <m/>
    <s v="324-16-8780"/>
    <d v="1998-05-09T00:00:00"/>
    <s v="4400 FORBES AVE"/>
    <s v="Pittsburgh"/>
    <x v="0"/>
    <n v="15213"/>
    <s v="+17175550132"/>
    <s v="jennifer.owens22@example.net"/>
    <d v="2019-11-23T00:00:00"/>
    <x v="4"/>
    <s v="JENNIFER"/>
    <s v="OWENS"/>
    <s v="15213"/>
    <s v="***-**-8780"/>
    <s v="OK"/>
    <n v="28"/>
    <s v="Pennsylvani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4DEDB8-68C3-44CE-9230-65CE78CF4AE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13" firstHeaderRow="1" firstDataRow="2" firstDataCol="1"/>
  <pivotFields count="22">
    <pivotField dataField="1" showAll="0">
      <items count="57">
        <item x="36"/>
        <item x="46"/>
        <item x="10"/>
        <item x="32"/>
        <item x="13"/>
        <item x="52"/>
        <item x="35"/>
        <item x="31"/>
        <item x="21"/>
        <item x="43"/>
        <item x="12"/>
        <item x="26"/>
        <item x="47"/>
        <item x="16"/>
        <item x="23"/>
        <item x="49"/>
        <item x="37"/>
        <item x="3"/>
        <item x="41"/>
        <item x="51"/>
        <item x="39"/>
        <item x="30"/>
        <item x="0"/>
        <item x="27"/>
        <item x="55"/>
        <item x="40"/>
        <item x="17"/>
        <item x="20"/>
        <item x="11"/>
        <item x="44"/>
        <item x="15"/>
        <item x="50"/>
        <item x="29"/>
        <item x="45"/>
        <item x="1"/>
        <item x="22"/>
        <item x="4"/>
        <item x="42"/>
        <item x="5"/>
        <item x="54"/>
        <item x="2"/>
        <item x="6"/>
        <item x="18"/>
        <item x="8"/>
        <item x="25"/>
        <item x="24"/>
        <item x="48"/>
        <item x="53"/>
        <item x="19"/>
        <item x="34"/>
        <item x="9"/>
        <item x="7"/>
        <item x="38"/>
        <item x="28"/>
        <item x="14"/>
        <item x="33"/>
        <item t="default"/>
      </items>
    </pivotField>
    <pivotField showAll="0"/>
    <pivotField showAll="0"/>
    <pivotField showAll="0"/>
    <pivotField showAll="0"/>
    <pivotField showAll="0"/>
    <pivotField numFmtId="164" showAll="0"/>
    <pivotField showAll="0"/>
    <pivotField showAll="0"/>
    <pivotField axis="axisRow" showAll="0">
      <items count="9">
        <item x="6"/>
        <item x="2"/>
        <item x="4"/>
        <item x="7"/>
        <item x="3"/>
        <item x="0"/>
        <item x="1"/>
        <item x="5"/>
        <item t="default"/>
      </items>
    </pivotField>
    <pivotField showAll="0"/>
    <pivotField showAll="0"/>
    <pivotField showAll="0"/>
    <pivotField numFmtId="164" showAll="0"/>
    <pivotField axis="axisCol" showAll="0">
      <items count="8">
        <item x="4"/>
        <item x="6"/>
        <item x="3"/>
        <item x="5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049EBA-282E-426C-9851-D9FB55D649CE}" name="tblroster" displayName="tblroster" ref="A1:V57" totalsRowShown="0" headerRowDxfId="30" dataDxfId="29">
  <autoFilter ref="A1:V57" xr:uid="{E7049EBA-282E-426C-9851-D9FB55D649CE}"/>
  <tableColumns count="22">
    <tableColumn id="1" xr3:uid="{89400757-5BD2-463A-811E-BD3A92714182}" name="ID" dataDxfId="28"/>
    <tableColumn id="2" xr3:uid="{90355BA3-5C55-416F-862F-FAB762A34AEB}" name="First" dataDxfId="27"/>
    <tableColumn id="3" xr3:uid="{6EA0F7CC-953A-4D65-9781-D5B2F9ADD872}" name="Middle" dataDxfId="26"/>
    <tableColumn id="4" xr3:uid="{5283F326-76CF-4413-99E9-286D193D3CA4}" name="Last" dataDxfId="25"/>
    <tableColumn id="5" xr3:uid="{CAF415D7-8F7B-4A16-A96C-C11F56F95012}" name="Suffix" dataDxfId="24"/>
    <tableColumn id="6" xr3:uid="{0FA9D38F-C13D-4814-AE77-209E0F1BC065}" name="SSN" dataDxfId="23"/>
    <tableColumn id="7" xr3:uid="{48FB9DFC-F9A8-45DD-A9EF-3DDA27639B97}" name="DOB" dataDxfId="22"/>
    <tableColumn id="8" xr3:uid="{C6CB129B-4C42-48A1-8DE2-1BA077FFB536}" name="Street" dataDxfId="21"/>
    <tableColumn id="9" xr3:uid="{460AE176-C67D-464E-9B1D-C6D3B142BA60}" name="City" dataDxfId="20"/>
    <tableColumn id="10" xr3:uid="{09CE68AF-4F43-4852-BA70-312FFEF395D2}" name="State" dataDxfId="19"/>
    <tableColumn id="11" xr3:uid="{D63CF95E-BA16-4FAA-8AB2-37667B81AD01}" name="ZIP" dataDxfId="18"/>
    <tableColumn id="12" xr3:uid="{F574E985-50E6-46BD-97B1-8D6A1AAA7682}" name="Phone" dataDxfId="17"/>
    <tableColumn id="13" xr3:uid="{699392C8-4222-44B2-9A1C-5BAE2564BD26}" name="Email" dataDxfId="16"/>
    <tableColumn id="14" xr3:uid="{91228D11-A110-40F8-B514-D5D7C50C5896}" name="Hire Date" dataDxfId="15"/>
    <tableColumn id="15" xr3:uid="{295BCEC7-B111-421E-9DBC-CCDE62EAC06C}" name="Department" dataDxfId="14"/>
    <tableColumn id="16" xr3:uid="{518F7637-4244-4C70-9624-22AA5CE928B5}" name="First_Clean" dataDxfId="13">
      <calculatedColumnFormula>TRIM(UPPER(tblroster[[#This Row],[First]]))</calculatedColumnFormula>
    </tableColumn>
    <tableColumn id="17" xr3:uid="{7BC93C49-1132-4E7A-8A48-FC46FCC51A7C}" name="Last_Clean" dataDxfId="12">
      <calculatedColumnFormula>TRIM(UPPER(tblroster[[#This Row],[Last]]))</calculatedColumnFormula>
    </tableColumn>
    <tableColumn id="18" xr3:uid="{A8B8A520-6A4E-457D-8DDD-D01659546931}" name="ZIP5" dataDxfId="11">
      <calculatedColumnFormula>TEXT(tblroster[[#This Row],[ZIP]],"00000")</calculatedColumnFormula>
    </tableColumn>
    <tableColumn id="19" xr3:uid="{48BC5AA4-A572-40C4-99E2-0D1E366BBEA1}" name="SSN_Masked" dataDxfId="10">
      <calculatedColumnFormula>"***-**-"&amp;RIGHT(tblroster[[#This Row],[SSN]],4)</calculatedColumnFormula>
    </tableColumn>
    <tableColumn id="20" xr3:uid="{316E2B09-1C4B-4733-9267-010A8BA73CFE}" name="SSN_Check" dataDxfId="9">
      <calculatedColumnFormula>IF(OR(LEFT(tblroster[[#This Row],[SSN]],3)="000",LEFT(tblroster[[#This Row],[SSN]],3)="666",LEFT(tblroster[[#This Row],[SSN]],1)="9"),"REVIEW","OK")</calculatedColumnFormula>
    </tableColumn>
    <tableColumn id="21" xr3:uid="{41561CB3-9FD6-4E33-9EF4-F5BC1F28E221}" name="Age" dataDxfId="8">
      <calculatedColumnFormula>DATEDIF(tblroster[[#This Row],[DOB]],DATE(2026,10,1),"y")</calculatedColumnFormula>
    </tableColumn>
    <tableColumn id="22" xr3:uid="{12B4CB05-BFA7-45CC-BE15-D863A2266E8B}" name="State_Name" dataDxfId="7">
      <calculatedColumnFormula>_xlfn.XLOOKUP(tblroster[[#This Row],[State]],States!$A$2:$A$9,States!$B$2:$B$9,"UNKNOWN")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84E51-6E0F-4277-8EBF-B7773B15F570}">
  <sheetPr codeName="Sheet1"/>
  <dimension ref="A3:I15"/>
  <sheetViews>
    <sheetView workbookViewId="0">
      <selection activeCell="N10" sqref="N10"/>
    </sheetView>
  </sheetViews>
  <sheetFormatPr defaultRowHeight="14.5" x14ac:dyDescent="0.35"/>
  <cols>
    <col min="1" max="1" width="12.36328125" bestFit="1" customWidth="1"/>
    <col min="2" max="2" width="15.36328125" bestFit="1" customWidth="1"/>
    <col min="3" max="3" width="7.1796875" bestFit="1" customWidth="1"/>
    <col min="4" max="4" width="4.90625" bestFit="1" customWidth="1"/>
    <col min="5" max="5" width="2.36328125" bestFit="1" customWidth="1"/>
    <col min="6" max="6" width="10.1796875" bestFit="1" customWidth="1"/>
    <col min="7" max="7" width="5" bestFit="1" customWidth="1"/>
    <col min="8" max="8" width="10.453125" bestFit="1" customWidth="1"/>
    <col min="9" max="9" width="10.7265625" bestFit="1" customWidth="1"/>
  </cols>
  <sheetData>
    <row r="3" spans="1:9" x14ac:dyDescent="0.35">
      <c r="A3" s="5" t="s">
        <v>504</v>
      </c>
      <c r="B3" s="5" t="s">
        <v>505</v>
      </c>
    </row>
    <row r="4" spans="1:9" x14ac:dyDescent="0.35">
      <c r="A4" s="5" t="s">
        <v>502</v>
      </c>
      <c r="B4" t="s">
        <v>93</v>
      </c>
      <c r="C4" t="s">
        <v>239</v>
      </c>
      <c r="D4" t="s">
        <v>64</v>
      </c>
      <c r="E4" t="s">
        <v>129</v>
      </c>
      <c r="F4" t="s">
        <v>45</v>
      </c>
      <c r="G4" t="s">
        <v>24</v>
      </c>
      <c r="H4" t="s">
        <v>34</v>
      </c>
      <c r="I4" t="s">
        <v>503</v>
      </c>
    </row>
    <row r="5" spans="1:9" x14ac:dyDescent="0.35">
      <c r="A5" s="6" t="s">
        <v>101</v>
      </c>
      <c r="D5">
        <v>2</v>
      </c>
      <c r="E5">
        <v>1</v>
      </c>
      <c r="F5">
        <v>4</v>
      </c>
      <c r="H5">
        <v>1</v>
      </c>
      <c r="I5">
        <v>8</v>
      </c>
    </row>
    <row r="6" spans="1:9" x14ac:dyDescent="0.35">
      <c r="A6" s="6" t="s">
        <v>42</v>
      </c>
      <c r="D6">
        <v>1</v>
      </c>
      <c r="F6">
        <v>3</v>
      </c>
      <c r="G6">
        <v>2</v>
      </c>
      <c r="H6">
        <v>1</v>
      </c>
      <c r="I6">
        <v>7</v>
      </c>
    </row>
    <row r="7" spans="1:9" x14ac:dyDescent="0.35">
      <c r="A7" s="6" t="s">
        <v>72</v>
      </c>
      <c r="F7">
        <v>1</v>
      </c>
      <c r="G7">
        <v>1</v>
      </c>
      <c r="H7">
        <v>1</v>
      </c>
      <c r="I7">
        <v>3</v>
      </c>
    </row>
    <row r="8" spans="1:9" x14ac:dyDescent="0.35">
      <c r="A8" s="6" t="s">
        <v>304</v>
      </c>
      <c r="B8">
        <v>1</v>
      </c>
      <c r="C8">
        <v>1</v>
      </c>
      <c r="H8">
        <v>1</v>
      </c>
      <c r="I8">
        <v>3</v>
      </c>
    </row>
    <row r="9" spans="1:9" x14ac:dyDescent="0.35">
      <c r="A9" s="6" t="s">
        <v>53</v>
      </c>
      <c r="B9">
        <v>2</v>
      </c>
      <c r="C9">
        <v>1</v>
      </c>
      <c r="D9">
        <v>1</v>
      </c>
      <c r="E9">
        <v>1</v>
      </c>
      <c r="F9">
        <v>1</v>
      </c>
      <c r="H9">
        <v>3</v>
      </c>
      <c r="I9">
        <v>9</v>
      </c>
    </row>
    <row r="10" spans="1:9" x14ac:dyDescent="0.35">
      <c r="A10" s="6" t="s">
        <v>21</v>
      </c>
      <c r="B10">
        <v>1</v>
      </c>
      <c r="C10">
        <v>1</v>
      </c>
      <c r="D10">
        <v>1</v>
      </c>
      <c r="E10">
        <v>1</v>
      </c>
      <c r="F10">
        <v>1</v>
      </c>
      <c r="G10">
        <v>3</v>
      </c>
      <c r="H10">
        <v>3</v>
      </c>
      <c r="I10">
        <v>11</v>
      </c>
    </row>
    <row r="11" spans="1:9" x14ac:dyDescent="0.35">
      <c r="A11" s="6" t="s">
        <v>31</v>
      </c>
      <c r="B11">
        <v>1</v>
      </c>
      <c r="C11">
        <v>2</v>
      </c>
      <c r="D11">
        <v>1</v>
      </c>
      <c r="F11">
        <v>1</v>
      </c>
      <c r="H11">
        <v>1</v>
      </c>
      <c r="I11">
        <v>6</v>
      </c>
    </row>
    <row r="12" spans="1:9" x14ac:dyDescent="0.35">
      <c r="A12" s="6" t="s">
        <v>81</v>
      </c>
      <c r="B12">
        <v>2</v>
      </c>
      <c r="C12">
        <v>1</v>
      </c>
      <c r="E12">
        <v>3</v>
      </c>
      <c r="F12">
        <v>1</v>
      </c>
      <c r="G12">
        <v>2</v>
      </c>
      <c r="I12">
        <v>9</v>
      </c>
    </row>
    <row r="13" spans="1:9" x14ac:dyDescent="0.35">
      <c r="A13" s="6" t="s">
        <v>503</v>
      </c>
      <c r="B13">
        <v>7</v>
      </c>
      <c r="C13">
        <v>6</v>
      </c>
      <c r="D13">
        <v>6</v>
      </c>
      <c r="E13">
        <v>6</v>
      </c>
      <c r="F13">
        <v>12</v>
      </c>
      <c r="G13">
        <v>8</v>
      </c>
      <c r="H13">
        <v>11</v>
      </c>
      <c r="I13">
        <v>56</v>
      </c>
    </row>
    <row r="14" spans="1:9" x14ac:dyDescent="0.35">
      <c r="A14" s="6" t="s">
        <v>506</v>
      </c>
      <c r="C14">
        <f>COUNTIFS(tblroster[SSN_Check],"REVIEW")</f>
        <v>1</v>
      </c>
    </row>
    <row r="15" spans="1:9" x14ac:dyDescent="0.35">
      <c r="A15" s="6" t="s">
        <v>507</v>
      </c>
      <c r="C15">
        <f>COUNTIFS(tblroster[State],"NJ")</f>
        <v>3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V57"/>
  <sheetViews>
    <sheetView tabSelected="1" zoomScale="74" zoomScaleNormal="74" workbookViewId="0">
      <pane ySplit="1" topLeftCell="A44" activePane="bottomLeft" state="frozenSplit"/>
      <selection pane="bottomLeft"/>
    </sheetView>
  </sheetViews>
  <sheetFormatPr defaultRowHeight="14.5" x14ac:dyDescent="0.35"/>
  <cols>
    <col min="1" max="1" width="6.81640625" bestFit="1" customWidth="1"/>
    <col min="2" max="2" width="12" bestFit="1" customWidth="1"/>
    <col min="3" max="3" width="9.81640625" bestFit="1" customWidth="1"/>
    <col min="4" max="4" width="11.54296875" bestFit="1" customWidth="1"/>
    <col min="5" max="5" width="8.54296875" bestFit="1" customWidth="1"/>
    <col min="6" max="6" width="11.08984375" hidden="1" customWidth="1"/>
    <col min="7" max="7" width="10.08984375" bestFit="1" customWidth="1"/>
    <col min="8" max="8" width="26.26953125" bestFit="1" customWidth="1"/>
    <col min="9" max="9" width="12.6328125" bestFit="1" customWidth="1"/>
    <col min="10" max="10" width="8.36328125" bestFit="1" customWidth="1"/>
    <col min="11" max="11" width="6.453125" bestFit="1" customWidth="1"/>
    <col min="12" max="12" width="12.90625" bestFit="1" customWidth="1"/>
    <col min="13" max="13" width="31.6328125" bestFit="1" customWidth="1"/>
    <col min="14" max="14" width="11.7265625" bestFit="1" customWidth="1"/>
    <col min="15" max="15" width="15.26953125" bestFit="1" customWidth="1"/>
    <col min="16" max="17" width="13" bestFit="1" customWidth="1"/>
    <col min="18" max="18" width="7.453125" bestFit="1" customWidth="1"/>
    <col min="19" max="19" width="14.7265625" bestFit="1" customWidth="1"/>
    <col min="20" max="20" width="13.08984375" bestFit="1" customWidth="1"/>
    <col min="21" max="21" width="7.08984375" bestFit="1" customWidth="1"/>
    <col min="22" max="22" width="14.1796875" bestFit="1" customWidth="1"/>
  </cols>
  <sheetData>
    <row r="1" spans="1:22" x14ac:dyDescent="0.35">
      <c r="A1" s="3" t="s">
        <v>2</v>
      </c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 t="s">
        <v>9</v>
      </c>
      <c r="I1" s="3" t="s">
        <v>10</v>
      </c>
      <c r="J1" s="3" t="s">
        <v>11</v>
      </c>
      <c r="K1" s="3" t="s">
        <v>12</v>
      </c>
      <c r="L1" s="3" t="s">
        <v>13</v>
      </c>
      <c r="M1" s="3" t="s">
        <v>14</v>
      </c>
      <c r="N1" s="2" t="s">
        <v>0</v>
      </c>
      <c r="O1" s="2" t="s">
        <v>1</v>
      </c>
      <c r="P1" s="3" t="s">
        <v>485</v>
      </c>
      <c r="Q1" s="3" t="s">
        <v>486</v>
      </c>
      <c r="R1" s="3" t="s">
        <v>487</v>
      </c>
      <c r="S1" s="3" t="s">
        <v>488</v>
      </c>
      <c r="T1" s="3" t="s">
        <v>489</v>
      </c>
      <c r="U1" s="3" t="s">
        <v>490</v>
      </c>
      <c r="V1" s="3" t="s">
        <v>501</v>
      </c>
    </row>
    <row r="2" spans="1:22" x14ac:dyDescent="0.35">
      <c r="A2" t="s">
        <v>15</v>
      </c>
      <c r="B2" t="s">
        <v>16</v>
      </c>
      <c r="D2" t="s">
        <v>17</v>
      </c>
      <c r="F2" t="s">
        <v>18</v>
      </c>
      <c r="G2" s="1">
        <v>22063</v>
      </c>
      <c r="H2" t="s">
        <v>19</v>
      </c>
      <c r="I2" t="s">
        <v>20</v>
      </c>
      <c r="J2" t="s">
        <v>21</v>
      </c>
      <c r="K2">
        <v>18641</v>
      </c>
      <c r="L2" t="s">
        <v>22</v>
      </c>
      <c r="M2" t="s">
        <v>23</v>
      </c>
      <c r="N2" s="1">
        <v>45706</v>
      </c>
      <c r="O2" t="s">
        <v>24</v>
      </c>
      <c r="P2" t="str">
        <f>TRIM(UPPER(tblroster[[#This Row],[First]]))</f>
        <v>MATTHEW</v>
      </c>
      <c r="Q2" t="str">
        <f>TRIM(UPPER(tblroster[[#This Row],[Last]]))</f>
        <v>SMITH</v>
      </c>
      <c r="R2" t="str">
        <f>TEXT(tblroster[[#This Row],[ZIP]],"00000")</f>
        <v>18641</v>
      </c>
      <c r="S2" t="str">
        <f>"***-**-"&amp;RIGHT(tblroster[[#This Row],[SSN]],4)</f>
        <v>***-**-7795</v>
      </c>
      <c r="T2" t="str">
        <f>IF(OR(LEFT(tblroster[[#This Row],[SSN]],3)="000",LEFT(tblroster[[#This Row],[SSN]],3)="666",LEFT(tblroster[[#This Row],[SSN]],1)="9"),"REVIEW","OK")</f>
        <v>OK</v>
      </c>
      <c r="U2">
        <f>DATEDIF(tblroster[[#This Row],[DOB]],DATE(2026,10,1),"y")</f>
        <v>66</v>
      </c>
      <c r="V2" t="str">
        <f>_xlfn.XLOOKUP(tblroster[[#This Row],[State]],States!$A$2:$A$9,States!$B$2:$B$9,"UNKNOWN")</f>
        <v>Pennsylvania</v>
      </c>
    </row>
    <row r="3" spans="1:22" x14ac:dyDescent="0.35">
      <c r="A3" t="s">
        <v>25</v>
      </c>
      <c r="B3" t="s">
        <v>26</v>
      </c>
      <c r="D3" t="s">
        <v>27</v>
      </c>
      <c r="F3" t="s">
        <v>28</v>
      </c>
      <c r="G3" s="1">
        <v>26352</v>
      </c>
      <c r="H3" t="s">
        <v>29</v>
      </c>
      <c r="I3" t="s">
        <v>30</v>
      </c>
      <c r="J3" t="s">
        <v>31</v>
      </c>
      <c r="K3">
        <v>78701</v>
      </c>
      <c r="L3" t="s">
        <v>32</v>
      </c>
      <c r="M3" t="s">
        <v>33</v>
      </c>
      <c r="N3" s="1">
        <v>43953</v>
      </c>
      <c r="O3" t="s">
        <v>34</v>
      </c>
      <c r="P3" t="str">
        <f>TRIM(UPPER(tblroster[[#This Row],[First]]))</f>
        <v>SHANE</v>
      </c>
      <c r="Q3" t="str">
        <f>TRIM(UPPER(tblroster[[#This Row],[Last]]))</f>
        <v>HENDERSON</v>
      </c>
      <c r="R3" t="str">
        <f>TEXT(tblroster[[#This Row],[ZIP]],"00000")</f>
        <v>78701</v>
      </c>
      <c r="S3" t="str">
        <f>"***-**-"&amp;RIGHT(tblroster[[#This Row],[SSN]],4)</f>
        <v>***-**-0091</v>
      </c>
      <c r="T3" t="str">
        <f>IF(OR(LEFT(tblroster[[#This Row],[SSN]],3)="000",LEFT(tblroster[[#This Row],[SSN]],3)="666",LEFT(tblroster[[#This Row],[SSN]],1)="9"),"REVIEW","OK")</f>
        <v>OK</v>
      </c>
      <c r="U3">
        <f>DATEDIF(tblroster[[#This Row],[DOB]],DATE(2026,10,1),"y")</f>
        <v>54</v>
      </c>
      <c r="V3" t="str">
        <f>_xlfn.XLOOKUP(tblroster[[#This Row],[State]],States!$A$2:$A$9,States!$B$2:$B$9,"UNKNOWN")</f>
        <v>Texas</v>
      </c>
    </row>
    <row r="4" spans="1:22" x14ac:dyDescent="0.35">
      <c r="A4" t="s">
        <v>35</v>
      </c>
      <c r="B4" t="s">
        <v>36</v>
      </c>
      <c r="D4" t="s">
        <v>37</v>
      </c>
      <c r="E4" t="s">
        <v>38</v>
      </c>
      <c r="F4" t="s">
        <v>39</v>
      </c>
      <c r="G4" s="1">
        <v>36152</v>
      </c>
      <c r="H4" t="s">
        <v>40</v>
      </c>
      <c r="I4" t="s">
        <v>41</v>
      </c>
      <c r="J4" t="s">
        <v>42</v>
      </c>
      <c r="K4">
        <v>32825</v>
      </c>
      <c r="L4" t="s">
        <v>43</v>
      </c>
      <c r="M4" t="s">
        <v>44</v>
      </c>
      <c r="N4" s="1">
        <v>43714</v>
      </c>
      <c r="O4" t="s">
        <v>45</v>
      </c>
      <c r="P4" t="str">
        <f>TRIM(UPPER(tblroster[[#This Row],[First]]))</f>
        <v>TIMOTHY</v>
      </c>
      <c r="Q4" t="str">
        <f>TRIM(UPPER(tblroster[[#This Row],[Last]]))</f>
        <v>VAN DYKE</v>
      </c>
      <c r="R4" t="str">
        <f>TEXT(tblroster[[#This Row],[ZIP]],"00000")</f>
        <v>32825</v>
      </c>
      <c r="S4" t="str">
        <f>"***-**-"&amp;RIGHT(tblroster[[#This Row],[SSN]],4)</f>
        <v>***-**-0208</v>
      </c>
      <c r="T4" t="str">
        <f>IF(OR(LEFT(tblroster[[#This Row],[SSN]],3)="000",LEFT(tblroster[[#This Row],[SSN]],3)="666",LEFT(tblroster[[#This Row],[SSN]],1)="9"),"REVIEW","OK")</f>
        <v>OK</v>
      </c>
      <c r="U4">
        <f>DATEDIF(tblroster[[#This Row],[DOB]],DATE(2026,10,1),"y")</f>
        <v>27</v>
      </c>
      <c r="V4" t="str">
        <f>_xlfn.XLOOKUP(tblroster[[#This Row],[State]],States!$A$2:$A$9,States!$B$2:$B$9,"UNKNOWN")</f>
        <v>Florida</v>
      </c>
    </row>
    <row r="5" spans="1:22" x14ac:dyDescent="0.35">
      <c r="A5" t="s">
        <v>46</v>
      </c>
      <c r="B5" t="s">
        <v>47</v>
      </c>
      <c r="C5" t="s">
        <v>48</v>
      </c>
      <c r="D5" t="s">
        <v>49</v>
      </c>
      <c r="F5" t="s">
        <v>50</v>
      </c>
      <c r="G5" s="1">
        <v>24202</v>
      </c>
      <c r="H5" t="s">
        <v>51</v>
      </c>
      <c r="I5" t="s">
        <v>52</v>
      </c>
      <c r="J5" t="s">
        <v>53</v>
      </c>
      <c r="K5">
        <v>13501</v>
      </c>
      <c r="L5" t="s">
        <v>54</v>
      </c>
      <c r="M5" t="s">
        <v>55</v>
      </c>
      <c r="N5" s="1">
        <v>45854</v>
      </c>
      <c r="O5" t="s">
        <v>45</v>
      </c>
      <c r="P5" t="str">
        <f>TRIM(UPPER(tblroster[[#This Row],[First]]))</f>
        <v>PHILIP</v>
      </c>
      <c r="Q5" t="str">
        <f>TRIM(UPPER(tblroster[[#This Row],[Last]]))</f>
        <v>CANNON</v>
      </c>
      <c r="R5" t="str">
        <f>TEXT(tblroster[[#This Row],[ZIP]],"00000")</f>
        <v>13501</v>
      </c>
      <c r="S5" t="str">
        <f>"***-**-"&amp;RIGHT(tblroster[[#This Row],[SSN]],4)</f>
        <v>***-**-7245</v>
      </c>
      <c r="T5" t="str">
        <f>IF(OR(LEFT(tblroster[[#This Row],[SSN]],3)="000",LEFT(tblroster[[#This Row],[SSN]],3)="666",LEFT(tblroster[[#This Row],[SSN]],1)="9"),"REVIEW","OK")</f>
        <v>OK</v>
      </c>
      <c r="U5">
        <f>DATEDIF(tblroster[[#This Row],[DOB]],DATE(2026,10,1),"y")</f>
        <v>60</v>
      </c>
      <c r="V5" t="str">
        <f>_xlfn.XLOOKUP(tblroster[[#This Row],[State]],States!$A$2:$A$9,States!$B$2:$B$9,"UNKNOWN")</f>
        <v>New York</v>
      </c>
    </row>
    <row r="6" spans="1:22" x14ac:dyDescent="0.35">
      <c r="A6" t="s">
        <v>56</v>
      </c>
      <c r="B6" t="s">
        <v>57</v>
      </c>
      <c r="C6" t="s">
        <v>16</v>
      </c>
      <c r="D6" t="s">
        <v>58</v>
      </c>
      <c r="F6" t="s">
        <v>59</v>
      </c>
      <c r="G6" s="1">
        <v>25182</v>
      </c>
      <c r="H6" t="s">
        <v>60</v>
      </c>
      <c r="I6" t="s">
        <v>61</v>
      </c>
      <c r="J6" t="s">
        <v>31</v>
      </c>
      <c r="K6">
        <v>78408</v>
      </c>
      <c r="L6" t="s">
        <v>62</v>
      </c>
      <c r="M6" t="s">
        <v>63</v>
      </c>
      <c r="N6" s="1">
        <v>43688</v>
      </c>
      <c r="O6" t="s">
        <v>64</v>
      </c>
      <c r="P6" t="str">
        <f>TRIM(UPPER(tblroster[[#This Row],[First]]))</f>
        <v>BRYAN</v>
      </c>
      <c r="Q6" t="str">
        <f>TRIM(UPPER(tblroster[[#This Row],[Last]]))</f>
        <v>WALKER</v>
      </c>
      <c r="R6" t="str">
        <f>TEXT(tblroster[[#This Row],[ZIP]],"00000")</f>
        <v>78408</v>
      </c>
      <c r="S6" t="str">
        <f>"***-**-"&amp;RIGHT(tblroster[[#This Row],[SSN]],4)</f>
        <v>***-**-3614</v>
      </c>
      <c r="T6" t="str">
        <f>IF(OR(LEFT(tblroster[[#This Row],[SSN]],3)="000",LEFT(tblroster[[#This Row],[SSN]],3)="666",LEFT(tblroster[[#This Row],[SSN]],1)="9"),"REVIEW","OK")</f>
        <v>OK</v>
      </c>
      <c r="U6">
        <f>DATEDIF(tblroster[[#This Row],[DOB]],DATE(2026,10,1),"y")</f>
        <v>57</v>
      </c>
      <c r="V6" t="str">
        <f>_xlfn.XLOOKUP(tblroster[[#This Row],[State]],States!$A$2:$A$9,States!$B$2:$B$9,"UNKNOWN")</f>
        <v>Texas</v>
      </c>
    </row>
    <row r="7" spans="1:22" x14ac:dyDescent="0.35">
      <c r="A7" t="s">
        <v>65</v>
      </c>
      <c r="B7" t="s">
        <v>66</v>
      </c>
      <c r="C7" t="s">
        <v>67</v>
      </c>
      <c r="D7" t="s">
        <v>68</v>
      </c>
      <c r="F7" t="s">
        <v>69</v>
      </c>
      <c r="G7" s="1">
        <v>20070</v>
      </c>
      <c r="H7" t="s">
        <v>70</v>
      </c>
      <c r="I7" t="s">
        <v>71</v>
      </c>
      <c r="J7" t="s">
        <v>72</v>
      </c>
      <c r="K7">
        <v>2139</v>
      </c>
      <c r="L7" t="s">
        <v>73</v>
      </c>
      <c r="M7" t="s">
        <v>74</v>
      </c>
      <c r="N7" s="1">
        <v>46014</v>
      </c>
      <c r="O7" t="s">
        <v>24</v>
      </c>
      <c r="P7" t="str">
        <f>TRIM(UPPER(tblroster[[#This Row],[First]]))</f>
        <v>RICHARD</v>
      </c>
      <c r="Q7" t="str">
        <f>TRIM(UPPER(tblroster[[#This Row],[Last]]))</f>
        <v>GIBSON</v>
      </c>
      <c r="R7" t="str">
        <f>TEXT(tblroster[[#This Row],[ZIP]],"00000")</f>
        <v>02139</v>
      </c>
      <c r="S7" t="str">
        <f>"***-**-"&amp;RIGHT(tblroster[[#This Row],[SSN]],4)</f>
        <v>***-**-1443</v>
      </c>
      <c r="T7" t="str">
        <f>IF(OR(LEFT(tblroster[[#This Row],[SSN]],3)="000",LEFT(tblroster[[#This Row],[SSN]],3)="666",LEFT(tblroster[[#This Row],[SSN]],1)="9"),"REVIEW","OK")</f>
        <v>OK</v>
      </c>
      <c r="U7">
        <f>DATEDIF(tblroster[[#This Row],[DOB]],DATE(2026,10,1),"y")</f>
        <v>71</v>
      </c>
      <c r="V7" t="str">
        <f>_xlfn.XLOOKUP(tblroster[[#This Row],[State]],States!$A$2:$A$9,States!$B$2:$B$9,"UNKNOWN")</f>
        <v>Massachussetts</v>
      </c>
    </row>
    <row r="8" spans="1:22" x14ac:dyDescent="0.35">
      <c r="A8" t="s">
        <v>75</v>
      </c>
      <c r="B8" t="s">
        <v>76</v>
      </c>
      <c r="C8" t="s">
        <v>66</v>
      </c>
      <c r="D8" t="s">
        <v>77</v>
      </c>
      <c r="F8" t="s">
        <v>78</v>
      </c>
      <c r="G8" s="1">
        <v>27588</v>
      </c>
      <c r="H8" t="s">
        <v>79</v>
      </c>
      <c r="I8" t="s">
        <v>80</v>
      </c>
      <c r="J8" t="s">
        <v>81</v>
      </c>
      <c r="K8">
        <v>24016</v>
      </c>
      <c r="L8" t="s">
        <v>82</v>
      </c>
      <c r="M8" t="s">
        <v>83</v>
      </c>
      <c r="N8" s="1">
        <v>43228</v>
      </c>
      <c r="O8" t="s">
        <v>24</v>
      </c>
      <c r="P8" t="str">
        <f>TRIM(UPPER(tblroster[[#This Row],[First]]))</f>
        <v>JOHN</v>
      </c>
      <c r="Q8" t="str">
        <f>TRIM(UPPER(tblroster[[#This Row],[Last]]))</f>
        <v>LEWIS</v>
      </c>
      <c r="R8" t="str">
        <f>TEXT(tblroster[[#This Row],[ZIP]],"00000")</f>
        <v>24016</v>
      </c>
      <c r="S8" t="str">
        <f>"***-**-"&amp;RIGHT(tblroster[[#This Row],[SSN]],4)</f>
        <v>***-**-8805</v>
      </c>
      <c r="T8" t="str">
        <f>IF(OR(LEFT(tblroster[[#This Row],[SSN]],3)="000",LEFT(tblroster[[#This Row],[SSN]],3)="666",LEFT(tblroster[[#This Row],[SSN]],1)="9"),"REVIEW","OK")</f>
        <v>OK</v>
      </c>
      <c r="U8">
        <f>DATEDIF(tblroster[[#This Row],[DOB]],DATE(2026,10,1),"y")</f>
        <v>51</v>
      </c>
      <c r="V8" t="str">
        <f>_xlfn.XLOOKUP(tblroster[[#This Row],[State]],States!$A$2:$A$9,States!$B$2:$B$9,"UNKNOWN")</f>
        <v>Virginia</v>
      </c>
    </row>
    <row r="9" spans="1:22" x14ac:dyDescent="0.35">
      <c r="A9" t="s">
        <v>84</v>
      </c>
      <c r="B9" t="s">
        <v>85</v>
      </c>
      <c r="C9" t="s">
        <v>86</v>
      </c>
      <c r="D9" t="s">
        <v>87</v>
      </c>
      <c r="F9" t="s">
        <v>88</v>
      </c>
      <c r="G9" s="1">
        <v>19844</v>
      </c>
      <c r="H9" t="s">
        <v>89</v>
      </c>
      <c r="I9" t="s">
        <v>90</v>
      </c>
      <c r="J9" t="s">
        <v>53</v>
      </c>
      <c r="K9">
        <v>14202</v>
      </c>
      <c r="L9" t="s">
        <v>91</v>
      </c>
      <c r="M9" t="s">
        <v>92</v>
      </c>
      <c r="N9" s="1">
        <v>43858</v>
      </c>
      <c r="O9" t="s">
        <v>93</v>
      </c>
      <c r="P9" t="str">
        <f>TRIM(UPPER(tblroster[[#This Row],[First]]))</f>
        <v>ALICIA</v>
      </c>
      <c r="Q9" t="str">
        <f>TRIM(UPPER(tblroster[[#This Row],[Last]]))</f>
        <v>HICKMAN</v>
      </c>
      <c r="R9" t="str">
        <f>TEXT(tblroster[[#This Row],[ZIP]],"00000")</f>
        <v>14202</v>
      </c>
      <c r="S9" t="str">
        <f>"***-**-"&amp;RIGHT(tblroster[[#This Row],[SSN]],4)</f>
        <v>***-**-8347</v>
      </c>
      <c r="T9" t="str">
        <f>IF(OR(LEFT(tblroster[[#This Row],[SSN]],3)="000",LEFT(tblroster[[#This Row],[SSN]],3)="666",LEFT(tblroster[[#This Row],[SSN]],1)="9"),"REVIEW","OK")</f>
        <v>OK</v>
      </c>
      <c r="U9">
        <f>DATEDIF(tblroster[[#This Row],[DOB]],DATE(2026,10,1),"y")</f>
        <v>72</v>
      </c>
      <c r="V9" t="str">
        <f>_xlfn.XLOOKUP(tblroster[[#This Row],[State]],States!$A$2:$A$9,States!$B$2:$B$9,"UNKNOWN")</f>
        <v>New York</v>
      </c>
    </row>
    <row r="10" spans="1:22" x14ac:dyDescent="0.35">
      <c r="A10" t="s">
        <v>94</v>
      </c>
      <c r="B10" t="s">
        <v>95</v>
      </c>
      <c r="C10" t="s">
        <v>96</v>
      </c>
      <c r="D10" t="s">
        <v>97</v>
      </c>
      <c r="F10" t="s">
        <v>98</v>
      </c>
      <c r="G10" s="1">
        <v>19689</v>
      </c>
      <c r="H10" t="s">
        <v>99</v>
      </c>
      <c r="I10" t="s">
        <v>100</v>
      </c>
      <c r="J10" t="s">
        <v>101</v>
      </c>
      <c r="K10">
        <v>90012</v>
      </c>
      <c r="L10" t="s">
        <v>102</v>
      </c>
      <c r="M10" t="s">
        <v>103</v>
      </c>
      <c r="N10" s="1">
        <v>44435</v>
      </c>
      <c r="O10" t="s">
        <v>45</v>
      </c>
      <c r="P10" t="str">
        <f>TRIM(UPPER(tblroster[[#This Row],[First]]))</f>
        <v>SHANNON</v>
      </c>
      <c r="Q10" t="str">
        <f>TRIM(UPPER(tblroster[[#This Row],[Last]]))</f>
        <v>NOLAN</v>
      </c>
      <c r="R10" t="str">
        <f>TEXT(tblroster[[#This Row],[ZIP]],"00000")</f>
        <v>90012</v>
      </c>
      <c r="S10" t="str">
        <f>"***-**-"&amp;RIGHT(tblroster[[#This Row],[SSN]],4)</f>
        <v>***-**-9668</v>
      </c>
      <c r="T10" t="str">
        <f>IF(OR(LEFT(tblroster[[#This Row],[SSN]],3)="000",LEFT(tblroster[[#This Row],[SSN]],3)="666",LEFT(tblroster[[#This Row],[SSN]],1)="9"),"REVIEW","OK")</f>
        <v>OK</v>
      </c>
      <c r="U10">
        <f>DATEDIF(tblroster[[#This Row],[DOB]],DATE(2026,10,1),"y")</f>
        <v>72</v>
      </c>
      <c r="V10" t="str">
        <f>_xlfn.XLOOKUP(tblroster[[#This Row],[State]],States!$A$2:$A$9,States!$B$2:$B$9,"UNKNOWN")</f>
        <v>California</v>
      </c>
    </row>
    <row r="11" spans="1:22" x14ac:dyDescent="0.35">
      <c r="A11" t="s">
        <v>104</v>
      </c>
      <c r="B11" t="s">
        <v>105</v>
      </c>
      <c r="D11" t="s">
        <v>106</v>
      </c>
      <c r="F11" t="s">
        <v>107</v>
      </c>
      <c r="G11" s="1">
        <v>28284</v>
      </c>
      <c r="H11" t="s">
        <v>108</v>
      </c>
      <c r="I11" t="s">
        <v>109</v>
      </c>
      <c r="J11" t="s">
        <v>21</v>
      </c>
      <c r="K11">
        <v>18503</v>
      </c>
      <c r="L11" t="s">
        <v>110</v>
      </c>
      <c r="M11" t="s">
        <v>111</v>
      </c>
      <c r="N11" s="1">
        <v>45414</v>
      </c>
      <c r="O11" t="s">
        <v>45</v>
      </c>
      <c r="P11" t="str">
        <f>TRIM(UPPER(tblroster[[#This Row],[First]]))</f>
        <v>MADISON</v>
      </c>
      <c r="Q11" t="str">
        <f>TRIM(UPPER(tblroster[[#This Row],[Last]]))</f>
        <v>CALDERON</v>
      </c>
      <c r="R11" t="str">
        <f>TEXT(tblroster[[#This Row],[ZIP]],"00000")</f>
        <v>18503</v>
      </c>
      <c r="S11" t="str">
        <f>"***-**-"&amp;RIGHT(tblroster[[#This Row],[SSN]],4)</f>
        <v>***-**-1766</v>
      </c>
      <c r="T11" t="str">
        <f>IF(OR(LEFT(tblroster[[#This Row],[SSN]],3)="000",LEFT(tblroster[[#This Row],[SSN]],3)="666",LEFT(tblroster[[#This Row],[SSN]],1)="9"),"REVIEW","OK")</f>
        <v>REVIEW</v>
      </c>
      <c r="U11">
        <f>DATEDIF(tblroster[[#This Row],[DOB]],DATE(2026,10,1),"y")</f>
        <v>49</v>
      </c>
      <c r="V11" t="str">
        <f>_xlfn.XLOOKUP(tblroster[[#This Row],[State]],States!$A$2:$A$9,States!$B$2:$B$9,"UNKNOWN")</f>
        <v>Pennsylvania</v>
      </c>
    </row>
    <row r="12" spans="1:22" x14ac:dyDescent="0.35">
      <c r="A12" t="s">
        <v>112</v>
      </c>
      <c r="B12" t="s">
        <v>113</v>
      </c>
      <c r="D12" t="s">
        <v>114</v>
      </c>
      <c r="F12" t="s">
        <v>115</v>
      </c>
      <c r="G12" s="1">
        <v>19001</v>
      </c>
      <c r="H12" t="s">
        <v>116</v>
      </c>
      <c r="I12" t="s">
        <v>117</v>
      </c>
      <c r="J12" t="s">
        <v>101</v>
      </c>
      <c r="K12">
        <v>94612</v>
      </c>
      <c r="L12" t="s">
        <v>118</v>
      </c>
      <c r="M12" t="s">
        <v>119</v>
      </c>
      <c r="N12" s="1">
        <v>45195</v>
      </c>
      <c r="O12" t="s">
        <v>64</v>
      </c>
      <c r="P12" t="str">
        <f>TRIM(UPPER(tblroster[[#This Row],[First]]))</f>
        <v>SUSAN</v>
      </c>
      <c r="Q12" t="str">
        <f>TRIM(UPPER(tblroster[[#This Row],[Last]]))</f>
        <v>WILLIAMS</v>
      </c>
      <c r="R12" t="str">
        <f>TEXT(tblroster[[#This Row],[ZIP]],"00000")</f>
        <v>94612</v>
      </c>
      <c r="S12" t="str">
        <f>"***-**-"&amp;RIGHT(tblroster[[#This Row],[SSN]],4)</f>
        <v>***-**-1945</v>
      </c>
      <c r="T12" t="str">
        <f>IF(OR(LEFT(tblroster[[#This Row],[SSN]],3)="000",LEFT(tblroster[[#This Row],[SSN]],3)="666",LEFT(tblroster[[#This Row],[SSN]],1)="9"),"REVIEW","OK")</f>
        <v>OK</v>
      </c>
      <c r="U12">
        <f>DATEDIF(tblroster[[#This Row],[DOB]],DATE(2026,10,1),"y")</f>
        <v>74</v>
      </c>
      <c r="V12" t="str">
        <f>_xlfn.XLOOKUP(tblroster[[#This Row],[State]],States!$A$2:$A$9,States!$B$2:$B$9,"UNKNOWN")</f>
        <v>California</v>
      </c>
    </row>
    <row r="13" spans="1:22" x14ac:dyDescent="0.35">
      <c r="A13" t="s">
        <v>120</v>
      </c>
      <c r="B13" t="s">
        <v>121</v>
      </c>
      <c r="C13" t="s">
        <v>122</v>
      </c>
      <c r="D13" t="s">
        <v>123</v>
      </c>
      <c r="F13" t="s">
        <v>124</v>
      </c>
      <c r="G13" s="1">
        <v>31930</v>
      </c>
      <c r="H13" t="s">
        <v>125</v>
      </c>
      <c r="I13" t="s">
        <v>126</v>
      </c>
      <c r="J13" t="s">
        <v>81</v>
      </c>
      <c r="K13">
        <v>22314</v>
      </c>
      <c r="L13" t="s">
        <v>127</v>
      </c>
      <c r="M13" t="s">
        <v>128</v>
      </c>
      <c r="N13" s="1">
        <v>43799</v>
      </c>
      <c r="O13" t="s">
        <v>129</v>
      </c>
      <c r="P13" t="str">
        <f>TRIM(UPPER(tblroster[[#This Row],[First]]))</f>
        <v>TAMMY</v>
      </c>
      <c r="Q13" t="str">
        <f>TRIM(UPPER(tblroster[[#This Row],[Last]]))</f>
        <v>ALLISON</v>
      </c>
      <c r="R13" t="str">
        <f>TEXT(tblroster[[#This Row],[ZIP]],"00000")</f>
        <v>22314</v>
      </c>
      <c r="S13" t="str">
        <f>"***-**-"&amp;RIGHT(tblroster[[#This Row],[SSN]],4)</f>
        <v>***-**-8923</v>
      </c>
      <c r="T13" t="str">
        <f>IF(OR(LEFT(tblroster[[#This Row],[SSN]],3)="000",LEFT(tblroster[[#This Row],[SSN]],3)="666",LEFT(tblroster[[#This Row],[SSN]],1)="9"),"REVIEW","OK")</f>
        <v>OK</v>
      </c>
      <c r="U13">
        <f>DATEDIF(tblroster[[#This Row],[DOB]],DATE(2026,10,1),"y")</f>
        <v>39</v>
      </c>
      <c r="V13" t="str">
        <f>_xlfn.XLOOKUP(tblroster[[#This Row],[State]],States!$A$2:$A$9,States!$B$2:$B$9,"UNKNOWN")</f>
        <v>Virginia</v>
      </c>
    </row>
    <row r="14" spans="1:22" x14ac:dyDescent="0.35">
      <c r="A14" t="s">
        <v>130</v>
      </c>
      <c r="B14" t="s">
        <v>131</v>
      </c>
      <c r="C14" t="s">
        <v>132</v>
      </c>
      <c r="D14" t="s">
        <v>133</v>
      </c>
      <c r="F14" t="s">
        <v>134</v>
      </c>
      <c r="G14" s="1">
        <v>25307</v>
      </c>
      <c r="H14" t="s">
        <v>135</v>
      </c>
      <c r="I14" t="s">
        <v>136</v>
      </c>
      <c r="J14" t="s">
        <v>101</v>
      </c>
      <c r="K14">
        <v>94704</v>
      </c>
      <c r="L14" t="s">
        <v>137</v>
      </c>
      <c r="M14" t="s">
        <v>138</v>
      </c>
      <c r="N14" s="1">
        <v>45600</v>
      </c>
      <c r="O14" t="s">
        <v>34</v>
      </c>
      <c r="P14" t="str">
        <f>TRIM(UPPER(tblroster[[#This Row],[First]]))</f>
        <v>SHAWN</v>
      </c>
      <c r="Q14" t="str">
        <f>TRIM(UPPER(tblroster[[#This Row],[Last]]))</f>
        <v>BAKER</v>
      </c>
      <c r="R14" t="str">
        <f>TEXT(tblroster[[#This Row],[ZIP]],"00000")</f>
        <v>94704</v>
      </c>
      <c r="S14" t="str">
        <f>"***-**-"&amp;RIGHT(tblroster[[#This Row],[SSN]],4)</f>
        <v>***-**-8667</v>
      </c>
      <c r="T14" t="str">
        <f>IF(OR(LEFT(tblroster[[#This Row],[SSN]],3)="000",LEFT(tblroster[[#This Row],[SSN]],3)="666",LEFT(tblroster[[#This Row],[SSN]],1)="9"),"REVIEW","OK")</f>
        <v>OK</v>
      </c>
      <c r="U14">
        <f>DATEDIF(tblroster[[#This Row],[DOB]],DATE(2026,10,1),"y")</f>
        <v>57</v>
      </c>
      <c r="V14" t="str">
        <f>_xlfn.XLOOKUP(tblroster[[#This Row],[State]],States!$A$2:$A$9,States!$B$2:$B$9,"UNKNOWN")</f>
        <v>California</v>
      </c>
    </row>
    <row r="15" spans="1:22" x14ac:dyDescent="0.35">
      <c r="A15" t="s">
        <v>139</v>
      </c>
      <c r="B15" t="s">
        <v>140</v>
      </c>
      <c r="C15" t="s">
        <v>141</v>
      </c>
      <c r="D15" t="s">
        <v>142</v>
      </c>
      <c r="F15" t="s">
        <v>143</v>
      </c>
      <c r="G15" s="1">
        <v>24084</v>
      </c>
      <c r="H15" t="s">
        <v>144</v>
      </c>
      <c r="I15" t="s">
        <v>145</v>
      </c>
      <c r="J15" t="s">
        <v>101</v>
      </c>
      <c r="K15">
        <v>95814</v>
      </c>
      <c r="L15" t="s">
        <v>146</v>
      </c>
      <c r="M15" t="s">
        <v>147</v>
      </c>
      <c r="N15" s="1">
        <v>43041</v>
      </c>
      <c r="O15" t="s">
        <v>45</v>
      </c>
      <c r="P15" t="str">
        <f>TRIM(UPPER(tblroster[[#This Row],[First]]))</f>
        <v>LEE</v>
      </c>
      <c r="Q15" t="str">
        <f>TRIM(UPPER(tblroster[[#This Row],[Last]]))</f>
        <v>HERNANDEZ</v>
      </c>
      <c r="R15" t="str">
        <f>TEXT(tblroster[[#This Row],[ZIP]],"00000")</f>
        <v>95814</v>
      </c>
      <c r="S15" t="str">
        <f>"***-**-"&amp;RIGHT(tblroster[[#This Row],[SSN]],4)</f>
        <v>***-**-2089</v>
      </c>
      <c r="T15" t="str">
        <f>IF(OR(LEFT(tblroster[[#This Row],[SSN]],3)="000",LEFT(tblroster[[#This Row],[SSN]],3)="666",LEFT(tblroster[[#This Row],[SSN]],1)="9"),"REVIEW","OK")</f>
        <v>OK</v>
      </c>
      <c r="U15">
        <f>DATEDIF(tblroster[[#This Row],[DOB]],DATE(2026,10,1),"y")</f>
        <v>60</v>
      </c>
      <c r="V15" t="str">
        <f>_xlfn.XLOOKUP(tblroster[[#This Row],[State]],States!$A$2:$A$9,States!$B$2:$B$9,"UNKNOWN")</f>
        <v>California</v>
      </c>
    </row>
    <row r="16" spans="1:22" x14ac:dyDescent="0.35">
      <c r="A16" t="s">
        <v>148</v>
      </c>
      <c r="B16" t="s">
        <v>149</v>
      </c>
      <c r="C16" t="s">
        <v>150</v>
      </c>
      <c r="D16" t="s">
        <v>151</v>
      </c>
      <c r="F16" t="s">
        <v>152</v>
      </c>
      <c r="G16" s="1">
        <v>34510</v>
      </c>
      <c r="H16" t="s">
        <v>153</v>
      </c>
      <c r="I16" t="s">
        <v>154</v>
      </c>
      <c r="J16" t="s">
        <v>81</v>
      </c>
      <c r="K16">
        <v>22079</v>
      </c>
      <c r="L16" t="s">
        <v>155</v>
      </c>
      <c r="M16" t="s">
        <v>156</v>
      </c>
      <c r="N16" s="1">
        <v>43059</v>
      </c>
      <c r="O16" t="s">
        <v>93</v>
      </c>
      <c r="P16" t="str">
        <f>TRIM(UPPER(tblroster[[#This Row],[First]]))</f>
        <v>DANIELLE</v>
      </c>
      <c r="Q16" t="str">
        <f>TRIM(UPPER(tblroster[[#This Row],[Last]]))</f>
        <v>LEBLANC</v>
      </c>
      <c r="R16" t="str">
        <f>TEXT(tblroster[[#This Row],[ZIP]],"00000")</f>
        <v>22079</v>
      </c>
      <c r="S16" t="str">
        <f>"***-**-"&amp;RIGHT(tblroster[[#This Row],[SSN]],4)</f>
        <v>***-**-4979</v>
      </c>
      <c r="T16" t="str">
        <f>IF(OR(LEFT(tblroster[[#This Row],[SSN]],3)="000",LEFT(tblroster[[#This Row],[SSN]],3)="666",LEFT(tblroster[[#This Row],[SSN]],1)="9"),"REVIEW","OK")</f>
        <v>OK</v>
      </c>
      <c r="U16">
        <f>DATEDIF(tblroster[[#This Row],[DOB]],DATE(2026,10,1),"y")</f>
        <v>32</v>
      </c>
      <c r="V16" t="str">
        <f>_xlfn.XLOOKUP(tblroster[[#This Row],[State]],States!$A$2:$A$9,States!$B$2:$B$9,"UNKNOWN")</f>
        <v>Virginia</v>
      </c>
    </row>
    <row r="17" spans="1:22" x14ac:dyDescent="0.35">
      <c r="A17" t="s">
        <v>157</v>
      </c>
      <c r="B17" t="s">
        <v>158</v>
      </c>
      <c r="C17" t="s">
        <v>159</v>
      </c>
      <c r="D17" t="s">
        <v>27</v>
      </c>
      <c r="F17" t="s">
        <v>160</v>
      </c>
      <c r="G17" s="1">
        <v>24586</v>
      </c>
      <c r="H17" t="s">
        <v>161</v>
      </c>
      <c r="I17" t="s">
        <v>162</v>
      </c>
      <c r="J17" t="s">
        <v>81</v>
      </c>
      <c r="K17">
        <v>23219</v>
      </c>
      <c r="L17" t="s">
        <v>163</v>
      </c>
      <c r="M17" t="s">
        <v>164</v>
      </c>
      <c r="N17" s="1">
        <v>45933</v>
      </c>
      <c r="O17" t="s">
        <v>129</v>
      </c>
      <c r="P17" t="str">
        <f>TRIM(UPPER(tblroster[[#This Row],[First]]))</f>
        <v>JOAN</v>
      </c>
      <c r="Q17" t="str">
        <f>TRIM(UPPER(tblroster[[#This Row],[Last]]))</f>
        <v>HENDERSON</v>
      </c>
      <c r="R17" t="str">
        <f>TEXT(tblroster[[#This Row],[ZIP]],"00000")</f>
        <v>23219</v>
      </c>
      <c r="S17" t="str">
        <f>"***-**-"&amp;RIGHT(tblroster[[#This Row],[SSN]],4)</f>
        <v>***-**-7217</v>
      </c>
      <c r="T17" t="str">
        <f>IF(OR(LEFT(tblroster[[#This Row],[SSN]],3)="000",LEFT(tblroster[[#This Row],[SSN]],3)="666",LEFT(tblroster[[#This Row],[SSN]],1)="9"),"REVIEW","OK")</f>
        <v>OK</v>
      </c>
      <c r="U17">
        <f>DATEDIF(tblroster[[#This Row],[DOB]],DATE(2026,10,1),"y")</f>
        <v>59</v>
      </c>
      <c r="V17" t="str">
        <f>_xlfn.XLOOKUP(tblroster[[#This Row],[State]],States!$A$2:$A$9,States!$B$2:$B$9,"UNKNOWN")</f>
        <v>Virginia</v>
      </c>
    </row>
    <row r="18" spans="1:22" x14ac:dyDescent="0.35">
      <c r="A18" t="s">
        <v>165</v>
      </c>
      <c r="B18" t="s">
        <v>76</v>
      </c>
      <c r="C18" t="s">
        <v>166</v>
      </c>
      <c r="D18" t="s">
        <v>167</v>
      </c>
      <c r="F18" t="s">
        <v>168</v>
      </c>
      <c r="G18" s="1">
        <v>27063</v>
      </c>
      <c r="H18" t="s">
        <v>169</v>
      </c>
      <c r="I18" t="s">
        <v>170</v>
      </c>
      <c r="J18" t="s">
        <v>21</v>
      </c>
      <c r="K18">
        <v>18018</v>
      </c>
      <c r="L18" t="s">
        <v>171</v>
      </c>
      <c r="M18" t="s">
        <v>172</v>
      </c>
      <c r="N18" s="1">
        <v>43737</v>
      </c>
      <c r="O18" t="s">
        <v>34</v>
      </c>
      <c r="P18" t="str">
        <f>TRIM(UPPER(tblroster[[#This Row],[First]]))</f>
        <v>JOHN</v>
      </c>
      <c r="Q18" t="str">
        <f>TRIM(UPPER(tblroster[[#This Row],[Last]]))</f>
        <v>DE LA VEGA</v>
      </c>
      <c r="R18" t="str">
        <f>TEXT(tblroster[[#This Row],[ZIP]],"00000")</f>
        <v>18018</v>
      </c>
      <c r="S18" t="str">
        <f>"***-**-"&amp;RIGHT(tblroster[[#This Row],[SSN]],4)</f>
        <v>***-**-9708</v>
      </c>
      <c r="T18" t="str">
        <f>IF(OR(LEFT(tblroster[[#This Row],[SSN]],3)="000",LEFT(tblroster[[#This Row],[SSN]],3)="666",LEFT(tblroster[[#This Row],[SSN]],1)="9"),"REVIEW","OK")</f>
        <v>OK</v>
      </c>
      <c r="U18">
        <f>DATEDIF(tblroster[[#This Row],[DOB]],DATE(2026,10,1),"y")</f>
        <v>52</v>
      </c>
      <c r="V18" t="str">
        <f>_xlfn.XLOOKUP(tblroster[[#This Row],[State]],States!$A$2:$A$9,States!$B$2:$B$9,"UNKNOWN")</f>
        <v>Pennsylvania</v>
      </c>
    </row>
    <row r="19" spans="1:22" x14ac:dyDescent="0.35">
      <c r="A19" t="s">
        <v>173</v>
      </c>
      <c r="B19" t="s">
        <v>174</v>
      </c>
      <c r="C19" t="s">
        <v>175</v>
      </c>
      <c r="D19" t="s">
        <v>176</v>
      </c>
      <c r="F19" t="s">
        <v>177</v>
      </c>
      <c r="G19" s="1">
        <v>31194</v>
      </c>
      <c r="H19" t="s">
        <v>178</v>
      </c>
      <c r="I19" t="s">
        <v>179</v>
      </c>
      <c r="J19" t="s">
        <v>101</v>
      </c>
      <c r="K19">
        <v>94102</v>
      </c>
      <c r="L19" t="s">
        <v>180</v>
      </c>
      <c r="M19" t="s">
        <v>181</v>
      </c>
      <c r="N19" s="1">
        <v>46222</v>
      </c>
      <c r="O19" t="s">
        <v>45</v>
      </c>
      <c r="P19" t="str">
        <f>TRIM(UPPER(tblroster[[#This Row],[First]]))</f>
        <v>CHRISTOPHER</v>
      </c>
      <c r="Q19" t="str">
        <f>TRIM(UPPER(tblroster[[#This Row],[Last]]))</f>
        <v>GAINES</v>
      </c>
      <c r="R19" t="str">
        <f>TEXT(tblroster[[#This Row],[ZIP]],"00000")</f>
        <v>94102</v>
      </c>
      <c r="S19" t="str">
        <f>"***-**-"&amp;RIGHT(tblroster[[#This Row],[SSN]],4)</f>
        <v>***-**-3336</v>
      </c>
      <c r="T19" t="str">
        <f>IF(OR(LEFT(tblroster[[#This Row],[SSN]],3)="000",LEFT(tblroster[[#This Row],[SSN]],3)="666",LEFT(tblroster[[#This Row],[SSN]],1)="9"),"REVIEW","OK")</f>
        <v>OK</v>
      </c>
      <c r="U19">
        <f>DATEDIF(tblroster[[#This Row],[DOB]],DATE(2026,10,1),"y")</f>
        <v>41</v>
      </c>
      <c r="V19" t="str">
        <f>_xlfn.XLOOKUP(tblroster[[#This Row],[State]],States!$A$2:$A$9,States!$B$2:$B$9,"UNKNOWN")</f>
        <v>California</v>
      </c>
    </row>
    <row r="20" spans="1:22" x14ac:dyDescent="0.35">
      <c r="A20" t="s">
        <v>182</v>
      </c>
      <c r="B20" t="s">
        <v>183</v>
      </c>
      <c r="C20" t="s">
        <v>183</v>
      </c>
      <c r="D20" t="s">
        <v>184</v>
      </c>
      <c r="F20" t="s">
        <v>185</v>
      </c>
      <c r="G20" s="1">
        <v>35923</v>
      </c>
      <c r="H20" t="s">
        <v>186</v>
      </c>
      <c r="I20" t="s">
        <v>187</v>
      </c>
      <c r="J20" t="s">
        <v>21</v>
      </c>
      <c r="K20">
        <v>15213</v>
      </c>
      <c r="L20" t="s">
        <v>188</v>
      </c>
      <c r="M20" t="s">
        <v>189</v>
      </c>
      <c r="N20" s="1">
        <v>45329</v>
      </c>
      <c r="O20" t="s">
        <v>129</v>
      </c>
      <c r="P20" t="str">
        <f>TRIM(UPPER(tblroster[[#This Row],[First]]))</f>
        <v>JESSICA</v>
      </c>
      <c r="Q20" t="str">
        <f>TRIM(UPPER(tblroster[[#This Row],[Last]]))</f>
        <v>OWENS</v>
      </c>
      <c r="R20" t="str">
        <f>TEXT(tblroster[[#This Row],[ZIP]],"00000")</f>
        <v>15213</v>
      </c>
      <c r="S20" t="str">
        <f>"***-**-"&amp;RIGHT(tblroster[[#This Row],[SSN]],4)</f>
        <v>***-**-8005</v>
      </c>
      <c r="T20" t="str">
        <f>IF(OR(LEFT(tblroster[[#This Row],[SSN]],3)="000",LEFT(tblroster[[#This Row],[SSN]],3)="666",LEFT(tblroster[[#This Row],[SSN]],1)="9"),"REVIEW","OK")</f>
        <v>OK</v>
      </c>
      <c r="U20">
        <f>DATEDIF(tblroster[[#This Row],[DOB]],DATE(2026,10,1),"y")</f>
        <v>28</v>
      </c>
      <c r="V20" t="str">
        <f>_xlfn.XLOOKUP(tblroster[[#This Row],[State]],States!$A$2:$A$9,States!$B$2:$B$9,"UNKNOWN")</f>
        <v>Pennsylvania</v>
      </c>
    </row>
    <row r="21" spans="1:22" x14ac:dyDescent="0.35">
      <c r="A21" t="s">
        <v>190</v>
      </c>
      <c r="B21" t="s">
        <v>191</v>
      </c>
      <c r="D21" t="s">
        <v>192</v>
      </c>
      <c r="F21" t="s">
        <v>193</v>
      </c>
      <c r="G21" s="1">
        <v>37086</v>
      </c>
      <c r="H21" t="s">
        <v>194</v>
      </c>
      <c r="I21" t="s">
        <v>195</v>
      </c>
      <c r="J21" t="s">
        <v>53</v>
      </c>
      <c r="K21">
        <v>12583</v>
      </c>
      <c r="L21" t="s">
        <v>196</v>
      </c>
      <c r="M21" t="s">
        <v>197</v>
      </c>
      <c r="N21" s="1">
        <v>46055</v>
      </c>
      <c r="O21" t="s">
        <v>64</v>
      </c>
      <c r="P21" t="str">
        <f>TRIM(UPPER(tblroster[[#This Row],[First]]))</f>
        <v>RONALD</v>
      </c>
      <c r="Q21" t="str">
        <f>TRIM(UPPER(tblroster[[#This Row],[Last]]))</f>
        <v>PARKER</v>
      </c>
      <c r="R21" t="str">
        <f>TEXT(tblroster[[#This Row],[ZIP]],"00000")</f>
        <v>12583</v>
      </c>
      <c r="S21" t="str">
        <f>"***-**-"&amp;RIGHT(tblroster[[#This Row],[SSN]],4)</f>
        <v>***-**-5664</v>
      </c>
      <c r="T21" t="str">
        <f>IF(OR(LEFT(tblroster[[#This Row],[SSN]],3)="000",LEFT(tblroster[[#This Row],[SSN]],3)="666",LEFT(tblroster[[#This Row],[SSN]],1)="9"),"REVIEW","OK")</f>
        <v>OK</v>
      </c>
      <c r="U21">
        <f>DATEDIF(tblroster[[#This Row],[DOB]],DATE(2026,10,1),"y")</f>
        <v>25</v>
      </c>
      <c r="V21" t="str">
        <f>_xlfn.XLOOKUP(tblroster[[#This Row],[State]],States!$A$2:$A$9,States!$B$2:$B$9,"UNKNOWN")</f>
        <v>New York</v>
      </c>
    </row>
    <row r="22" spans="1:22" x14ac:dyDescent="0.35">
      <c r="A22" t="s">
        <v>198</v>
      </c>
      <c r="B22" t="s">
        <v>199</v>
      </c>
      <c r="C22" t="s">
        <v>200</v>
      </c>
      <c r="D22" t="s">
        <v>201</v>
      </c>
      <c r="F22" t="s">
        <v>202</v>
      </c>
      <c r="G22" s="1">
        <v>25058</v>
      </c>
      <c r="H22" t="s">
        <v>203</v>
      </c>
      <c r="I22" t="s">
        <v>204</v>
      </c>
      <c r="J22" t="s">
        <v>81</v>
      </c>
      <c r="K22">
        <v>22201</v>
      </c>
      <c r="L22" t="s">
        <v>205</v>
      </c>
      <c r="M22" t="s">
        <v>206</v>
      </c>
      <c r="N22" s="1">
        <v>45945</v>
      </c>
      <c r="O22" t="s">
        <v>45</v>
      </c>
      <c r="P22" t="str">
        <f>TRIM(UPPER(tblroster[[#This Row],[First]]))</f>
        <v>YVONNE</v>
      </c>
      <c r="Q22" t="str">
        <f>TRIM(UPPER(tblroster[[#This Row],[Last]]))</f>
        <v>HUFF</v>
      </c>
      <c r="R22" t="str">
        <f>TEXT(tblroster[[#This Row],[ZIP]],"00000")</f>
        <v>22201</v>
      </c>
      <c r="S22" t="str">
        <f>"***-**-"&amp;RIGHT(tblroster[[#This Row],[SSN]],4)</f>
        <v>***-**-6694</v>
      </c>
      <c r="T22" t="str">
        <f>IF(OR(LEFT(tblroster[[#This Row],[SSN]],3)="000",LEFT(tblroster[[#This Row],[SSN]],3)="666",LEFT(tblroster[[#This Row],[SSN]],1)="9"),"REVIEW","OK")</f>
        <v>OK</v>
      </c>
      <c r="U22">
        <f>DATEDIF(tblroster[[#This Row],[DOB]],DATE(2026,10,1),"y")</f>
        <v>58</v>
      </c>
      <c r="V22" t="str">
        <f>_xlfn.XLOOKUP(tblroster[[#This Row],[State]],States!$A$2:$A$9,States!$B$2:$B$9,"UNKNOWN")</f>
        <v>Virginia</v>
      </c>
    </row>
    <row r="23" spans="1:22" x14ac:dyDescent="0.35">
      <c r="A23" t="s">
        <v>207</v>
      </c>
      <c r="B23" t="s">
        <v>150</v>
      </c>
      <c r="C23" t="s">
        <v>208</v>
      </c>
      <c r="D23" t="s">
        <v>209</v>
      </c>
      <c r="F23" t="s">
        <v>210</v>
      </c>
      <c r="G23" s="1">
        <v>35582</v>
      </c>
      <c r="H23" t="s">
        <v>211</v>
      </c>
      <c r="I23" t="s">
        <v>212</v>
      </c>
      <c r="J23" t="s">
        <v>21</v>
      </c>
      <c r="K23">
        <v>17602</v>
      </c>
      <c r="L23" t="s">
        <v>213</v>
      </c>
      <c r="M23" t="s">
        <v>214</v>
      </c>
      <c r="N23" s="1">
        <v>42662</v>
      </c>
      <c r="O23" t="s">
        <v>64</v>
      </c>
      <c r="P23" t="str">
        <f>TRIM(UPPER(tblroster[[#This Row],[First]]))</f>
        <v>SCOTT</v>
      </c>
      <c r="Q23" t="str">
        <f>TRIM(UPPER(tblroster[[#This Row],[Last]]))</f>
        <v>WRIGHT</v>
      </c>
      <c r="R23" t="str">
        <f>TEXT(tblroster[[#This Row],[ZIP]],"00000")</f>
        <v>17602</v>
      </c>
      <c r="S23" t="str">
        <f>"***-**-"&amp;RIGHT(tblroster[[#This Row],[SSN]],4)</f>
        <v>***-**-5913</v>
      </c>
      <c r="T23" t="str">
        <f>IF(OR(LEFT(tblroster[[#This Row],[SSN]],3)="000",LEFT(tblroster[[#This Row],[SSN]],3)="666",LEFT(tblroster[[#This Row],[SSN]],1)="9"),"REVIEW","OK")</f>
        <v>OK</v>
      </c>
      <c r="U23">
        <f>DATEDIF(tblroster[[#This Row],[DOB]],DATE(2026,10,1),"y")</f>
        <v>29</v>
      </c>
      <c r="V23" t="str">
        <f>_xlfn.XLOOKUP(tblroster[[#This Row],[State]],States!$A$2:$A$9,States!$B$2:$B$9,"UNKNOWN")</f>
        <v>Pennsylvania</v>
      </c>
    </row>
    <row r="24" spans="1:22" x14ac:dyDescent="0.35">
      <c r="A24" t="s">
        <v>215</v>
      </c>
      <c r="B24" t="s">
        <v>159</v>
      </c>
      <c r="D24" t="s">
        <v>216</v>
      </c>
      <c r="F24" t="s">
        <v>217</v>
      </c>
      <c r="G24" s="1">
        <v>23557</v>
      </c>
      <c r="H24" t="s">
        <v>218</v>
      </c>
      <c r="I24" t="s">
        <v>219</v>
      </c>
      <c r="J24" t="s">
        <v>101</v>
      </c>
      <c r="K24">
        <v>92101</v>
      </c>
      <c r="L24" t="s">
        <v>220</v>
      </c>
      <c r="M24" t="s">
        <v>221</v>
      </c>
      <c r="N24" s="1">
        <v>42664</v>
      </c>
      <c r="O24" t="s">
        <v>129</v>
      </c>
      <c r="P24" t="str">
        <f>TRIM(UPPER(tblroster[[#This Row],[First]]))</f>
        <v>JOSHUA</v>
      </c>
      <c r="Q24" t="str">
        <f>TRIM(UPPER(tblroster[[#This Row],[Last]]))</f>
        <v>O'BRIEN</v>
      </c>
      <c r="R24" t="str">
        <f>TEXT(tblroster[[#This Row],[ZIP]],"00000")</f>
        <v>92101</v>
      </c>
      <c r="S24" t="str">
        <f>"***-**-"&amp;RIGHT(tblroster[[#This Row],[SSN]],4)</f>
        <v>***-**-2901</v>
      </c>
      <c r="T24" t="str">
        <f>IF(OR(LEFT(tblroster[[#This Row],[SSN]],3)="000",LEFT(tblroster[[#This Row],[SSN]],3)="666",LEFT(tblroster[[#This Row],[SSN]],1)="9"),"REVIEW","OK")</f>
        <v>OK</v>
      </c>
      <c r="U24">
        <f>DATEDIF(tblroster[[#This Row],[DOB]],DATE(2026,10,1),"y")</f>
        <v>62</v>
      </c>
      <c r="V24" t="str">
        <f>_xlfn.XLOOKUP(tblroster[[#This Row],[State]],States!$A$2:$A$9,States!$B$2:$B$9,"UNKNOWN")</f>
        <v>California</v>
      </c>
    </row>
    <row r="25" spans="1:22" x14ac:dyDescent="0.35">
      <c r="A25" t="s">
        <v>222</v>
      </c>
      <c r="B25" t="s">
        <v>223</v>
      </c>
      <c r="C25" t="s">
        <v>224</v>
      </c>
      <c r="D25" t="s">
        <v>225</v>
      </c>
      <c r="F25" t="s">
        <v>226</v>
      </c>
      <c r="G25" s="1">
        <v>37605</v>
      </c>
      <c r="H25" t="s">
        <v>227</v>
      </c>
      <c r="I25" t="s">
        <v>228</v>
      </c>
      <c r="J25" t="s">
        <v>53</v>
      </c>
      <c r="K25">
        <v>10701</v>
      </c>
      <c r="L25" t="s">
        <v>229</v>
      </c>
      <c r="M25" t="s">
        <v>230</v>
      </c>
      <c r="N25" s="1">
        <v>44588</v>
      </c>
      <c r="O25" t="s">
        <v>34</v>
      </c>
      <c r="P25" t="str">
        <f>TRIM(UPPER(tblroster[[#This Row],[First]]))</f>
        <v>ANTHONY</v>
      </c>
      <c r="Q25" t="str">
        <f>TRIM(UPPER(tblroster[[#This Row],[Last]]))</f>
        <v>HUMPHREY</v>
      </c>
      <c r="R25" t="str">
        <f>TEXT(tblroster[[#This Row],[ZIP]],"00000")</f>
        <v>10701</v>
      </c>
      <c r="S25" t="str">
        <f>"***-**-"&amp;RIGHT(tblroster[[#This Row],[SSN]],4)</f>
        <v>***-**-3229</v>
      </c>
      <c r="T25" t="str">
        <f>IF(OR(LEFT(tblroster[[#This Row],[SSN]],3)="000",LEFT(tblroster[[#This Row],[SSN]],3)="666",LEFT(tblroster[[#This Row],[SSN]],1)="9"),"REVIEW","OK")</f>
        <v>OK</v>
      </c>
      <c r="U25">
        <f>DATEDIF(tblroster[[#This Row],[DOB]],DATE(2026,10,1),"y")</f>
        <v>23</v>
      </c>
      <c r="V25" t="str">
        <f>_xlfn.XLOOKUP(tblroster[[#This Row],[State]],States!$A$2:$A$9,States!$B$2:$B$9,"UNKNOWN")</f>
        <v>New York</v>
      </c>
    </row>
    <row r="26" spans="1:22" x14ac:dyDescent="0.35">
      <c r="A26" t="s">
        <v>231</v>
      </c>
      <c r="B26" t="s">
        <v>232</v>
      </c>
      <c r="D26" t="s">
        <v>233</v>
      </c>
      <c r="F26" t="s">
        <v>234</v>
      </c>
      <c r="G26" s="1">
        <v>35083</v>
      </c>
      <c r="H26" t="s">
        <v>235</v>
      </c>
      <c r="I26" t="s">
        <v>236</v>
      </c>
      <c r="J26" t="s">
        <v>31</v>
      </c>
      <c r="K26">
        <v>79901</v>
      </c>
      <c r="L26" t="s">
        <v>237</v>
      </c>
      <c r="M26" t="s">
        <v>238</v>
      </c>
      <c r="N26" s="1">
        <v>42562</v>
      </c>
      <c r="O26" t="s">
        <v>239</v>
      </c>
      <c r="P26" t="str">
        <f>TRIM(UPPER(tblroster[[#This Row],[First]]))</f>
        <v>CHRISTY</v>
      </c>
      <c r="Q26" t="str">
        <f>TRIM(UPPER(tblroster[[#This Row],[Last]]))</f>
        <v>RYAN</v>
      </c>
      <c r="R26" t="str">
        <f>TEXT(tblroster[[#This Row],[ZIP]],"00000")</f>
        <v>79901</v>
      </c>
      <c r="S26" t="str">
        <f>"***-**-"&amp;RIGHT(tblroster[[#This Row],[SSN]],4)</f>
        <v>***-**-8703</v>
      </c>
      <c r="T26" t="str">
        <f>IF(OR(LEFT(tblroster[[#This Row],[SSN]],3)="000",LEFT(tblroster[[#This Row],[SSN]],3)="666",LEFT(tblroster[[#This Row],[SSN]],1)="9"),"REVIEW","OK")</f>
        <v>OK</v>
      </c>
      <c r="U26">
        <f>DATEDIF(tblroster[[#This Row],[DOB]],DATE(2026,10,1),"y")</f>
        <v>30</v>
      </c>
      <c r="V26" t="str">
        <f>_xlfn.XLOOKUP(tblroster[[#This Row],[State]],States!$A$2:$A$9,States!$B$2:$B$9,"UNKNOWN")</f>
        <v>Texas</v>
      </c>
    </row>
    <row r="27" spans="1:22" x14ac:dyDescent="0.35">
      <c r="A27" t="s">
        <v>240</v>
      </c>
      <c r="B27" t="s">
        <v>241</v>
      </c>
      <c r="C27" t="s">
        <v>242</v>
      </c>
      <c r="D27" t="s">
        <v>243</v>
      </c>
      <c r="F27" t="s">
        <v>244</v>
      </c>
      <c r="G27" s="1">
        <v>22018</v>
      </c>
      <c r="H27" t="s">
        <v>245</v>
      </c>
      <c r="I27" t="s">
        <v>246</v>
      </c>
      <c r="J27" t="s">
        <v>53</v>
      </c>
      <c r="K27">
        <v>14604</v>
      </c>
      <c r="L27" t="s">
        <v>247</v>
      </c>
      <c r="M27" t="s">
        <v>248</v>
      </c>
      <c r="N27" s="1">
        <v>45440</v>
      </c>
      <c r="O27" t="s">
        <v>93</v>
      </c>
      <c r="P27" t="str">
        <f>TRIM(UPPER(tblroster[[#This Row],[First]]))</f>
        <v>KAREN</v>
      </c>
      <c r="Q27" t="str">
        <f>TRIM(UPPER(tblroster[[#This Row],[Last]]))</f>
        <v>GARCIA-LOPEZ</v>
      </c>
      <c r="R27" t="str">
        <f>TEXT(tblroster[[#This Row],[ZIP]],"00000")</f>
        <v>14604</v>
      </c>
      <c r="S27" t="str">
        <f>"***-**-"&amp;RIGHT(tblroster[[#This Row],[SSN]],4)</f>
        <v>***-**-2415</v>
      </c>
      <c r="T27" t="str">
        <f>IF(OR(LEFT(tblroster[[#This Row],[SSN]],3)="000",LEFT(tblroster[[#This Row],[SSN]],3)="666",LEFT(tblroster[[#This Row],[SSN]],1)="9"),"REVIEW","OK")</f>
        <v>OK</v>
      </c>
      <c r="U27">
        <f>DATEDIF(tblroster[[#This Row],[DOB]],DATE(2026,10,1),"y")</f>
        <v>66</v>
      </c>
      <c r="V27" t="str">
        <f>_xlfn.XLOOKUP(tblroster[[#This Row],[State]],States!$A$2:$A$9,States!$B$2:$B$9,"UNKNOWN")</f>
        <v>New York</v>
      </c>
    </row>
    <row r="28" spans="1:22" x14ac:dyDescent="0.35">
      <c r="A28" t="s">
        <v>249</v>
      </c>
      <c r="B28" t="s">
        <v>250</v>
      </c>
      <c r="C28" t="s">
        <v>251</v>
      </c>
      <c r="D28" t="s">
        <v>252</v>
      </c>
      <c r="F28" t="s">
        <v>253</v>
      </c>
      <c r="G28" s="1">
        <v>27425</v>
      </c>
      <c r="H28" t="s">
        <v>254</v>
      </c>
      <c r="I28" t="s">
        <v>255</v>
      </c>
      <c r="J28" t="s">
        <v>81</v>
      </c>
      <c r="K28">
        <v>22902</v>
      </c>
      <c r="L28" t="s">
        <v>256</v>
      </c>
      <c r="M28" t="s">
        <v>257</v>
      </c>
      <c r="N28" s="1">
        <v>45254</v>
      </c>
      <c r="O28" t="s">
        <v>239</v>
      </c>
      <c r="P28" t="str">
        <f>TRIM(UPPER(tblroster[[#This Row],[First]]))</f>
        <v>ROBERT</v>
      </c>
      <c r="Q28" t="str">
        <f>TRIM(UPPER(tblroster[[#This Row],[Last]]))</f>
        <v>PIERCE</v>
      </c>
      <c r="R28" t="str">
        <f>TEXT(tblroster[[#This Row],[ZIP]],"00000")</f>
        <v>22902</v>
      </c>
      <c r="S28" t="str">
        <f>"***-**-"&amp;RIGHT(tblroster[[#This Row],[SSN]],4)</f>
        <v>***-**-7026</v>
      </c>
      <c r="T28" t="str">
        <f>IF(OR(LEFT(tblroster[[#This Row],[SSN]],3)="000",LEFT(tblroster[[#This Row],[SSN]],3)="666",LEFT(tblroster[[#This Row],[SSN]],1)="9"),"REVIEW","OK")</f>
        <v>OK</v>
      </c>
      <c r="U28">
        <f>DATEDIF(tblroster[[#This Row],[DOB]],DATE(2026,10,1),"y")</f>
        <v>51</v>
      </c>
      <c r="V28" t="str">
        <f>_xlfn.XLOOKUP(tblroster[[#This Row],[State]],States!$A$2:$A$9,States!$B$2:$B$9,"UNKNOWN")</f>
        <v>Virginia</v>
      </c>
    </row>
    <row r="29" spans="1:22" x14ac:dyDescent="0.35">
      <c r="A29" t="s">
        <v>258</v>
      </c>
      <c r="B29" t="s">
        <v>259</v>
      </c>
      <c r="C29" t="s">
        <v>260</v>
      </c>
      <c r="D29" t="s">
        <v>17</v>
      </c>
      <c r="F29" t="s">
        <v>261</v>
      </c>
      <c r="G29" s="1">
        <v>26808</v>
      </c>
      <c r="H29" t="s">
        <v>262</v>
      </c>
      <c r="I29" t="s">
        <v>263</v>
      </c>
      <c r="J29" t="s">
        <v>101</v>
      </c>
      <c r="K29">
        <v>93721</v>
      </c>
      <c r="L29" t="s">
        <v>264</v>
      </c>
      <c r="M29" t="s">
        <v>265</v>
      </c>
      <c r="N29" s="1">
        <v>45095</v>
      </c>
      <c r="O29" t="s">
        <v>45</v>
      </c>
      <c r="P29" t="str">
        <f>TRIM(UPPER(tblroster[[#This Row],[First]]))</f>
        <v>KERRY</v>
      </c>
      <c r="Q29" t="str">
        <f>TRIM(UPPER(tblroster[[#This Row],[Last]]))</f>
        <v>SMITH</v>
      </c>
      <c r="R29" t="str">
        <f>TEXT(tblroster[[#This Row],[ZIP]],"00000")</f>
        <v>93721</v>
      </c>
      <c r="S29" t="str">
        <f>"***-**-"&amp;RIGHT(tblroster[[#This Row],[SSN]],4)</f>
        <v>***-**-5729</v>
      </c>
      <c r="T29" t="str">
        <f>IF(OR(LEFT(tblroster[[#This Row],[SSN]],3)="000",LEFT(tblroster[[#This Row],[SSN]],3)="666",LEFT(tblroster[[#This Row],[SSN]],1)="9"),"REVIEW","OK")</f>
        <v>OK</v>
      </c>
      <c r="U29">
        <f>DATEDIF(tblroster[[#This Row],[DOB]],DATE(2026,10,1),"y")</f>
        <v>53</v>
      </c>
      <c r="V29" t="str">
        <f>_xlfn.XLOOKUP(tblroster[[#This Row],[State]],States!$A$2:$A$9,States!$B$2:$B$9,"UNKNOWN")</f>
        <v>California</v>
      </c>
    </row>
    <row r="30" spans="1:22" x14ac:dyDescent="0.35">
      <c r="A30" t="s">
        <v>266</v>
      </c>
      <c r="B30" t="s">
        <v>267</v>
      </c>
      <c r="C30" t="s">
        <v>268</v>
      </c>
      <c r="D30" t="s">
        <v>269</v>
      </c>
      <c r="F30" t="s">
        <v>270</v>
      </c>
      <c r="G30" s="1">
        <v>22462</v>
      </c>
      <c r="H30" t="s">
        <v>271</v>
      </c>
      <c r="I30" t="s">
        <v>41</v>
      </c>
      <c r="J30" t="s">
        <v>42</v>
      </c>
      <c r="K30">
        <v>32801</v>
      </c>
      <c r="L30" t="s">
        <v>272</v>
      </c>
      <c r="M30" t="s">
        <v>273</v>
      </c>
      <c r="N30" s="1">
        <v>46057</v>
      </c>
      <c r="O30" t="s">
        <v>45</v>
      </c>
      <c r="P30" t="str">
        <f>TRIM(UPPER(tblroster[[#This Row],[First]]))</f>
        <v>CHRISTOPHER</v>
      </c>
      <c r="Q30" t="str">
        <f>TRIM(UPPER(tblroster[[#This Row],[Last]]))</f>
        <v>RAMOS</v>
      </c>
      <c r="R30" t="str">
        <f>TEXT(tblroster[[#This Row],[ZIP]],"00000")</f>
        <v>32801</v>
      </c>
      <c r="S30" t="str">
        <f>"***-**-"&amp;RIGHT(tblroster[[#This Row],[SSN]],4)</f>
        <v>***-**-5286</v>
      </c>
      <c r="T30" t="str">
        <f>IF(OR(LEFT(tblroster[[#This Row],[SSN]],3)="000",LEFT(tblroster[[#This Row],[SSN]],3)="666",LEFT(tblroster[[#This Row],[SSN]],1)="9"),"REVIEW","OK")</f>
        <v>OK</v>
      </c>
      <c r="U30">
        <f>DATEDIF(tblroster[[#This Row],[DOB]],DATE(2026,10,1),"y")</f>
        <v>65</v>
      </c>
      <c r="V30" t="str">
        <f>_xlfn.XLOOKUP(tblroster[[#This Row],[State]],States!$A$2:$A$9,States!$B$2:$B$9,"UNKNOWN")</f>
        <v>Florida</v>
      </c>
    </row>
    <row r="31" spans="1:22" x14ac:dyDescent="0.35">
      <c r="A31" t="s">
        <v>274</v>
      </c>
      <c r="B31" t="s">
        <v>275</v>
      </c>
      <c r="C31" t="s">
        <v>233</v>
      </c>
      <c r="D31" t="s">
        <v>276</v>
      </c>
      <c r="F31" t="s">
        <v>277</v>
      </c>
      <c r="G31" s="1">
        <v>30192</v>
      </c>
      <c r="H31" t="s">
        <v>278</v>
      </c>
      <c r="I31" t="s">
        <v>279</v>
      </c>
      <c r="J31" t="s">
        <v>21</v>
      </c>
      <c r="K31">
        <v>16501</v>
      </c>
      <c r="L31" t="s">
        <v>280</v>
      </c>
      <c r="M31" t="s">
        <v>281</v>
      </c>
      <c r="N31" s="1">
        <v>42353</v>
      </c>
      <c r="O31" t="s">
        <v>24</v>
      </c>
      <c r="P31" t="str">
        <f>TRIM(UPPER(tblroster[[#This Row],[First]]))</f>
        <v>CONNOR</v>
      </c>
      <c r="Q31" t="str">
        <f>TRIM(UPPER(tblroster[[#This Row],[Last]]))</f>
        <v>DAVIS</v>
      </c>
      <c r="R31" t="str">
        <f>TEXT(tblroster[[#This Row],[ZIP]],"00000")</f>
        <v>16501</v>
      </c>
      <c r="S31" t="str">
        <f>"***-**-"&amp;RIGHT(tblroster[[#This Row],[SSN]],4)</f>
        <v>***-**-2980</v>
      </c>
      <c r="T31" t="str">
        <f>IF(OR(LEFT(tblroster[[#This Row],[SSN]],3)="000",LEFT(tblroster[[#This Row],[SSN]],3)="666",LEFT(tblroster[[#This Row],[SSN]],1)="9"),"REVIEW","OK")</f>
        <v>OK</v>
      </c>
      <c r="U31">
        <f>DATEDIF(tblroster[[#This Row],[DOB]],DATE(2026,10,1),"y")</f>
        <v>44</v>
      </c>
      <c r="V31" t="str">
        <f>_xlfn.XLOOKUP(tblroster[[#This Row],[State]],States!$A$2:$A$9,States!$B$2:$B$9,"UNKNOWN")</f>
        <v>Pennsylvania</v>
      </c>
    </row>
    <row r="32" spans="1:22" x14ac:dyDescent="0.35">
      <c r="A32" t="s">
        <v>282</v>
      </c>
      <c r="B32" t="s">
        <v>283</v>
      </c>
      <c r="C32" t="s">
        <v>284</v>
      </c>
      <c r="D32" t="s">
        <v>285</v>
      </c>
      <c r="F32" t="s">
        <v>286</v>
      </c>
      <c r="G32" s="1">
        <v>19966</v>
      </c>
      <c r="H32" t="s">
        <v>287</v>
      </c>
      <c r="I32" t="s">
        <v>288</v>
      </c>
      <c r="J32" t="s">
        <v>42</v>
      </c>
      <c r="K32">
        <v>32202</v>
      </c>
      <c r="L32" t="s">
        <v>289</v>
      </c>
      <c r="M32" t="s">
        <v>290</v>
      </c>
      <c r="N32" s="1">
        <v>44332</v>
      </c>
      <c r="O32" t="s">
        <v>45</v>
      </c>
      <c r="P32" t="str">
        <f>TRIM(UPPER(tblroster[[#This Row],[First]]))</f>
        <v>CRYSTAL</v>
      </c>
      <c r="Q32" t="str">
        <f>TRIM(UPPER(tblroster[[#This Row],[Last]]))</f>
        <v>WHITEHEAD</v>
      </c>
      <c r="R32" t="str">
        <f>TEXT(tblroster[[#This Row],[ZIP]],"00000")</f>
        <v>32202</v>
      </c>
      <c r="S32" t="str">
        <f>"***-**-"&amp;RIGHT(tblroster[[#This Row],[SSN]],4)</f>
        <v>***-**-4052</v>
      </c>
      <c r="T32" t="str">
        <f>IF(OR(LEFT(tblroster[[#This Row],[SSN]],3)="000",LEFT(tblroster[[#This Row],[SSN]],3)="666",LEFT(tblroster[[#This Row],[SSN]],1)="9"),"REVIEW","OK")</f>
        <v>OK</v>
      </c>
      <c r="U32">
        <f>DATEDIF(tblroster[[#This Row],[DOB]],DATE(2026,10,1),"y")</f>
        <v>72</v>
      </c>
      <c r="V32" t="str">
        <f>_xlfn.XLOOKUP(tblroster[[#This Row],[State]],States!$A$2:$A$9,States!$B$2:$B$9,"UNKNOWN")</f>
        <v>Florida</v>
      </c>
    </row>
    <row r="33" spans="1:22" x14ac:dyDescent="0.35">
      <c r="A33" t="s">
        <v>291</v>
      </c>
      <c r="B33" t="s">
        <v>292</v>
      </c>
      <c r="C33" t="s">
        <v>76</v>
      </c>
      <c r="D33" t="s">
        <v>293</v>
      </c>
      <c r="F33" t="s">
        <v>294</v>
      </c>
      <c r="G33" s="1">
        <v>19811</v>
      </c>
      <c r="H33" t="s">
        <v>295</v>
      </c>
      <c r="I33" t="s">
        <v>296</v>
      </c>
      <c r="J33" t="s">
        <v>81</v>
      </c>
      <c r="K33">
        <v>22959</v>
      </c>
      <c r="L33" t="s">
        <v>297</v>
      </c>
      <c r="M33" t="s">
        <v>298</v>
      </c>
      <c r="N33" s="1">
        <v>45274</v>
      </c>
      <c r="O33" t="s">
        <v>93</v>
      </c>
      <c r="P33" t="str">
        <f>TRIM(UPPER(tblroster[[#This Row],[First]]))</f>
        <v>SAMUEL</v>
      </c>
      <c r="Q33" t="str">
        <f>TRIM(UPPER(tblroster[[#This Row],[Last]]))</f>
        <v>WAGNER</v>
      </c>
      <c r="R33" t="str">
        <f>TEXT(tblroster[[#This Row],[ZIP]],"00000")</f>
        <v>22959</v>
      </c>
      <c r="S33" t="str">
        <f>"***-**-"&amp;RIGHT(tblroster[[#This Row],[SSN]],4)</f>
        <v>***-**-6567</v>
      </c>
      <c r="T33" t="str">
        <f>IF(OR(LEFT(tblroster[[#This Row],[SSN]],3)="000",LEFT(tblroster[[#This Row],[SSN]],3)="666",LEFT(tblroster[[#This Row],[SSN]],1)="9"),"REVIEW","OK")</f>
        <v>OK</v>
      </c>
      <c r="U33">
        <f>DATEDIF(tblroster[[#This Row],[DOB]],DATE(2026,10,1),"y")</f>
        <v>72</v>
      </c>
      <c r="V33" t="str">
        <f>_xlfn.XLOOKUP(tblroster[[#This Row],[State]],States!$A$2:$A$9,States!$B$2:$B$9,"UNKNOWN")</f>
        <v>Virginia</v>
      </c>
    </row>
    <row r="34" spans="1:22" x14ac:dyDescent="0.35">
      <c r="A34" t="s">
        <v>299</v>
      </c>
      <c r="B34" t="s">
        <v>223</v>
      </c>
      <c r="D34" t="s">
        <v>300</v>
      </c>
      <c r="F34" t="s">
        <v>301</v>
      </c>
      <c r="G34" s="1">
        <v>23873</v>
      </c>
      <c r="H34" t="s">
        <v>302</v>
      </c>
      <c r="I34" t="s">
        <v>303</v>
      </c>
      <c r="J34" t="s">
        <v>304</v>
      </c>
      <c r="K34">
        <v>7102</v>
      </c>
      <c r="L34" t="s">
        <v>305</v>
      </c>
      <c r="M34" t="s">
        <v>306</v>
      </c>
      <c r="N34" s="1">
        <v>44111</v>
      </c>
      <c r="O34" t="s">
        <v>239</v>
      </c>
      <c r="P34" t="str">
        <f>TRIM(UPPER(tblroster[[#This Row],[First]]))</f>
        <v>ANTHONY</v>
      </c>
      <c r="Q34" t="str">
        <f>TRIM(UPPER(tblroster[[#This Row],[Last]]))</f>
        <v>GRAY</v>
      </c>
      <c r="R34" t="str">
        <f>TEXT(tblroster[[#This Row],[ZIP]],"00000")</f>
        <v>07102</v>
      </c>
      <c r="S34" t="str">
        <f>"***-**-"&amp;RIGHT(tblroster[[#This Row],[SSN]],4)</f>
        <v>***-**-3751</v>
      </c>
      <c r="T34" t="str">
        <f>IF(OR(LEFT(tblroster[[#This Row],[SSN]],3)="000",LEFT(tblroster[[#This Row],[SSN]],3)="666",LEFT(tblroster[[#This Row],[SSN]],1)="9"),"REVIEW","OK")</f>
        <v>OK</v>
      </c>
      <c r="U34">
        <f>DATEDIF(tblroster[[#This Row],[DOB]],DATE(2026,10,1),"y")</f>
        <v>61</v>
      </c>
      <c r="V34" t="str">
        <f>_xlfn.XLOOKUP(tblroster[[#This Row],[State]],States!$A$2:$A$9,States!$B$2:$B$9,"UNKNOWN")</f>
        <v xml:space="preserve">	New Jersey</v>
      </c>
    </row>
    <row r="35" spans="1:22" x14ac:dyDescent="0.35">
      <c r="A35" t="s">
        <v>307</v>
      </c>
      <c r="B35" t="s">
        <v>308</v>
      </c>
      <c r="D35" t="s">
        <v>309</v>
      </c>
      <c r="F35" t="s">
        <v>310</v>
      </c>
      <c r="G35" s="1">
        <v>20473</v>
      </c>
      <c r="H35" t="s">
        <v>311</v>
      </c>
      <c r="I35" t="s">
        <v>312</v>
      </c>
      <c r="J35" t="s">
        <v>31</v>
      </c>
      <c r="K35">
        <v>78205</v>
      </c>
      <c r="L35" t="s">
        <v>313</v>
      </c>
      <c r="M35" t="s">
        <v>314</v>
      </c>
      <c r="N35" s="1">
        <v>43314</v>
      </c>
      <c r="O35" t="s">
        <v>239</v>
      </c>
      <c r="P35" t="str">
        <f>TRIM(UPPER(tblroster[[#This Row],[First]]))</f>
        <v>JOSÉ</v>
      </c>
      <c r="Q35" t="str">
        <f>TRIM(UPPER(tblroster[[#This Row],[Last]]))</f>
        <v>MUÑOZ</v>
      </c>
      <c r="R35" t="str">
        <f>TEXT(tblroster[[#This Row],[ZIP]],"00000")</f>
        <v>78205</v>
      </c>
      <c r="S35" t="str">
        <f>"***-**-"&amp;RIGHT(tblroster[[#This Row],[SSN]],4)</f>
        <v>***-**-4051</v>
      </c>
      <c r="T35" t="str">
        <f>IF(OR(LEFT(tblroster[[#This Row],[SSN]],3)="000",LEFT(tblroster[[#This Row],[SSN]],3)="666",LEFT(tblroster[[#This Row],[SSN]],1)="9"),"REVIEW","OK")</f>
        <v>OK</v>
      </c>
      <c r="U35">
        <f>DATEDIF(tblroster[[#This Row],[DOB]],DATE(2026,10,1),"y")</f>
        <v>70</v>
      </c>
      <c r="V35" t="str">
        <f>_xlfn.XLOOKUP(tblroster[[#This Row],[State]],States!$A$2:$A$9,States!$B$2:$B$9,"UNKNOWN")</f>
        <v>Texas</v>
      </c>
    </row>
    <row r="36" spans="1:22" x14ac:dyDescent="0.35">
      <c r="A36" t="s">
        <v>315</v>
      </c>
      <c r="B36" t="s">
        <v>316</v>
      </c>
      <c r="D36" t="s">
        <v>317</v>
      </c>
      <c r="F36" t="s">
        <v>318</v>
      </c>
      <c r="G36" s="1">
        <v>33667</v>
      </c>
      <c r="H36" t="s">
        <v>319</v>
      </c>
      <c r="I36" t="s">
        <v>320</v>
      </c>
      <c r="J36" t="s">
        <v>304</v>
      </c>
      <c r="K36">
        <v>7302</v>
      </c>
      <c r="L36" t="s">
        <v>321</v>
      </c>
      <c r="M36" t="s">
        <v>322</v>
      </c>
      <c r="N36" s="1">
        <v>44134</v>
      </c>
      <c r="O36" t="s">
        <v>34</v>
      </c>
      <c r="P36" t="str">
        <f>TRIM(UPPER(tblroster[[#This Row],[First]]))</f>
        <v>MARC</v>
      </c>
      <c r="Q36" t="str">
        <f>TRIM(UPPER(tblroster[[#This Row],[Last]]))</f>
        <v>MOORE</v>
      </c>
      <c r="R36" t="str">
        <f>TEXT(tblroster[[#This Row],[ZIP]],"00000")</f>
        <v>07302</v>
      </c>
      <c r="S36" t="str">
        <f>"***-**-"&amp;RIGHT(tblroster[[#This Row],[SSN]],4)</f>
        <v>***-**-0619</v>
      </c>
      <c r="T36" t="str">
        <f>IF(OR(LEFT(tblroster[[#This Row],[SSN]],3)="000",LEFT(tblroster[[#This Row],[SSN]],3)="666",LEFT(tblroster[[#This Row],[SSN]],1)="9"),"REVIEW","OK")</f>
        <v>OK</v>
      </c>
      <c r="U36">
        <f>DATEDIF(tblroster[[#This Row],[DOB]],DATE(2026,10,1),"y")</f>
        <v>34</v>
      </c>
      <c r="V36" t="str">
        <f>_xlfn.XLOOKUP(tblroster[[#This Row],[State]],States!$A$2:$A$9,States!$B$2:$B$9,"UNKNOWN")</f>
        <v xml:space="preserve">	New Jersey</v>
      </c>
    </row>
    <row r="37" spans="1:22" x14ac:dyDescent="0.35">
      <c r="A37" t="s">
        <v>323</v>
      </c>
      <c r="B37" t="s">
        <v>324</v>
      </c>
      <c r="C37" t="s">
        <v>325</v>
      </c>
      <c r="D37" t="s">
        <v>326</v>
      </c>
      <c r="F37" t="s">
        <v>327</v>
      </c>
      <c r="G37" s="1">
        <v>17017</v>
      </c>
      <c r="H37" t="s">
        <v>328</v>
      </c>
      <c r="I37" t="s">
        <v>329</v>
      </c>
      <c r="J37" t="s">
        <v>53</v>
      </c>
      <c r="K37">
        <v>12211</v>
      </c>
      <c r="L37" t="s">
        <v>330</v>
      </c>
      <c r="M37" t="s">
        <v>331</v>
      </c>
      <c r="N37" s="1">
        <v>44635</v>
      </c>
      <c r="O37" t="s">
        <v>34</v>
      </c>
      <c r="P37" t="str">
        <f>TRIM(UPPER(tblroster[[#This Row],[First]]))</f>
        <v>STEPHANIE</v>
      </c>
      <c r="Q37" t="str">
        <f>TRIM(UPPER(tblroster[[#This Row],[Last]]))</f>
        <v>GARDNER</v>
      </c>
      <c r="R37" t="str">
        <f>TEXT(tblroster[[#This Row],[ZIP]],"00000")</f>
        <v>12211</v>
      </c>
      <c r="S37" t="str">
        <f>"***-**-"&amp;RIGHT(tblroster[[#This Row],[SSN]],4)</f>
        <v>***-**-8815</v>
      </c>
      <c r="T37" t="str">
        <f>IF(OR(LEFT(tblroster[[#This Row],[SSN]],3)="000",LEFT(tblroster[[#This Row],[SSN]],3)="666",LEFT(tblroster[[#This Row],[SSN]],1)="9"),"REVIEW","OK")</f>
        <v>OK</v>
      </c>
      <c r="U37">
        <f>DATEDIF(tblroster[[#This Row],[DOB]],DATE(2026,10,1),"y")</f>
        <v>80</v>
      </c>
      <c r="V37" t="str">
        <f>_xlfn.XLOOKUP(tblroster[[#This Row],[State]],States!$A$2:$A$9,States!$B$2:$B$9,"UNKNOWN")</f>
        <v>New York</v>
      </c>
    </row>
    <row r="38" spans="1:22" x14ac:dyDescent="0.35">
      <c r="A38" t="s">
        <v>332</v>
      </c>
      <c r="B38" t="s">
        <v>333</v>
      </c>
      <c r="D38" t="s">
        <v>334</v>
      </c>
      <c r="F38" t="s">
        <v>335</v>
      </c>
      <c r="G38" s="1">
        <v>19920</v>
      </c>
      <c r="H38" t="s">
        <v>336</v>
      </c>
      <c r="I38" t="s">
        <v>337</v>
      </c>
      <c r="J38" t="s">
        <v>101</v>
      </c>
      <c r="K38">
        <v>93927</v>
      </c>
      <c r="L38" t="s">
        <v>338</v>
      </c>
      <c r="M38" t="s">
        <v>339</v>
      </c>
      <c r="N38" s="1">
        <v>42818</v>
      </c>
      <c r="O38" t="s">
        <v>64</v>
      </c>
      <c r="P38" t="str">
        <f>TRIM(UPPER(tblroster[[#This Row],[First]]))</f>
        <v>EDWIN</v>
      </c>
      <c r="Q38" t="str">
        <f>TRIM(UPPER(tblroster[[#This Row],[Last]]))</f>
        <v>FOWLER</v>
      </c>
      <c r="R38" t="str">
        <f>TEXT(tblroster[[#This Row],[ZIP]],"00000")</f>
        <v>93927</v>
      </c>
      <c r="S38" t="str">
        <f>"***-**-"&amp;RIGHT(tblroster[[#This Row],[SSN]],4)</f>
        <v>***-**-2648</v>
      </c>
      <c r="T38" t="str">
        <f>IF(OR(LEFT(tblroster[[#This Row],[SSN]],3)="000",LEFT(tblroster[[#This Row],[SSN]],3)="666",LEFT(tblroster[[#This Row],[SSN]],1)="9"),"REVIEW","OK")</f>
        <v>OK</v>
      </c>
      <c r="U38">
        <f>DATEDIF(tblroster[[#This Row],[DOB]],DATE(2026,10,1),"y")</f>
        <v>72</v>
      </c>
      <c r="V38" t="str">
        <f>_xlfn.XLOOKUP(tblroster[[#This Row],[State]],States!$A$2:$A$9,States!$B$2:$B$9,"UNKNOWN")</f>
        <v>California</v>
      </c>
    </row>
    <row r="39" spans="1:22" x14ac:dyDescent="0.35">
      <c r="A39" t="s">
        <v>340</v>
      </c>
      <c r="B39" t="s">
        <v>341</v>
      </c>
      <c r="C39" t="s">
        <v>48</v>
      </c>
      <c r="D39" t="s">
        <v>77</v>
      </c>
      <c r="F39" t="s">
        <v>342</v>
      </c>
      <c r="G39" s="1">
        <v>28645</v>
      </c>
      <c r="H39" t="s">
        <v>343</v>
      </c>
      <c r="I39" t="s">
        <v>344</v>
      </c>
      <c r="J39" t="s">
        <v>42</v>
      </c>
      <c r="K39">
        <v>32301</v>
      </c>
      <c r="L39" t="s">
        <v>345</v>
      </c>
      <c r="M39" t="s">
        <v>346</v>
      </c>
      <c r="N39" s="1">
        <v>43527</v>
      </c>
      <c r="O39" t="s">
        <v>34</v>
      </c>
      <c r="P39" t="str">
        <f>TRIM(UPPER(tblroster[[#This Row],[First]]))</f>
        <v>MICHAEL</v>
      </c>
      <c r="Q39" t="str">
        <f>TRIM(UPPER(tblroster[[#This Row],[Last]]))</f>
        <v>LEWIS</v>
      </c>
      <c r="R39" t="str">
        <f>TEXT(tblroster[[#This Row],[ZIP]],"00000")</f>
        <v>32301</v>
      </c>
      <c r="S39" t="str">
        <f>"***-**-"&amp;RIGHT(tblroster[[#This Row],[SSN]],4)</f>
        <v>***-**-3979</v>
      </c>
      <c r="T39" t="str">
        <f>IF(OR(LEFT(tblroster[[#This Row],[SSN]],3)="000",LEFT(tblroster[[#This Row],[SSN]],3)="666",LEFT(tblroster[[#This Row],[SSN]],1)="9"),"REVIEW","OK")</f>
        <v>OK</v>
      </c>
      <c r="U39">
        <f>DATEDIF(tblroster[[#This Row],[DOB]],DATE(2026,10,1),"y")</f>
        <v>48</v>
      </c>
      <c r="V39" t="str">
        <f>_xlfn.XLOOKUP(tblroster[[#This Row],[State]],States!$A$2:$A$9,States!$B$2:$B$9,"UNKNOWN")</f>
        <v>Florida</v>
      </c>
    </row>
    <row r="40" spans="1:22" x14ac:dyDescent="0.35">
      <c r="A40" t="s">
        <v>347</v>
      </c>
      <c r="B40" t="s">
        <v>348</v>
      </c>
      <c r="C40" t="s">
        <v>349</v>
      </c>
      <c r="D40" t="s">
        <v>350</v>
      </c>
      <c r="F40" t="s">
        <v>351</v>
      </c>
      <c r="G40" s="1">
        <v>21687</v>
      </c>
      <c r="H40" t="s">
        <v>352</v>
      </c>
      <c r="I40" t="s">
        <v>353</v>
      </c>
      <c r="J40" t="s">
        <v>21</v>
      </c>
      <c r="K40">
        <v>17512</v>
      </c>
      <c r="L40" t="s">
        <v>354</v>
      </c>
      <c r="M40" t="s">
        <v>355</v>
      </c>
      <c r="N40" s="1">
        <v>45207</v>
      </c>
      <c r="O40" t="s">
        <v>239</v>
      </c>
      <c r="P40" t="str">
        <f>TRIM(UPPER(tblroster[[#This Row],[First]]))</f>
        <v>ZOË</v>
      </c>
      <c r="Q40" t="str">
        <f>TRIM(UPPER(tblroster[[#This Row],[Last]]))</f>
        <v>BRÜCKNER</v>
      </c>
      <c r="R40" t="str">
        <f>TEXT(tblroster[[#This Row],[ZIP]],"00000")</f>
        <v>17512</v>
      </c>
      <c r="S40" t="str">
        <f>"***-**-"&amp;RIGHT(tblroster[[#This Row],[SSN]],4)</f>
        <v>***-**-9529</v>
      </c>
      <c r="T40" t="str">
        <f>IF(OR(LEFT(tblroster[[#This Row],[SSN]],3)="000",LEFT(tblroster[[#This Row],[SSN]],3)="666",LEFT(tblroster[[#This Row],[SSN]],1)="9"),"REVIEW","OK")</f>
        <v>OK</v>
      </c>
      <c r="U40">
        <f>DATEDIF(tblroster[[#This Row],[DOB]],DATE(2026,10,1),"y")</f>
        <v>67</v>
      </c>
      <c r="V40" t="str">
        <f>_xlfn.XLOOKUP(tblroster[[#This Row],[State]],States!$A$2:$A$9,States!$B$2:$B$9,"UNKNOWN")</f>
        <v>Pennsylvania</v>
      </c>
    </row>
    <row r="41" spans="1:22" x14ac:dyDescent="0.35">
      <c r="A41" t="s">
        <v>356</v>
      </c>
      <c r="B41" t="s">
        <v>66</v>
      </c>
      <c r="D41" t="s">
        <v>357</v>
      </c>
      <c r="F41" t="s">
        <v>358</v>
      </c>
      <c r="G41" s="1">
        <v>34690</v>
      </c>
      <c r="H41" t="s">
        <v>359</v>
      </c>
      <c r="I41" t="s">
        <v>80</v>
      </c>
      <c r="J41" t="s">
        <v>81</v>
      </c>
      <c r="K41">
        <v>24011</v>
      </c>
      <c r="L41" t="s">
        <v>360</v>
      </c>
      <c r="M41" t="s">
        <v>361</v>
      </c>
      <c r="N41" s="1">
        <v>44510</v>
      </c>
      <c r="O41" t="s">
        <v>129</v>
      </c>
      <c r="P41" t="str">
        <f>TRIM(UPPER(tblroster[[#This Row],[First]]))</f>
        <v>RICHARD</v>
      </c>
      <c r="Q41" t="str">
        <f>TRIM(UPPER(tblroster[[#This Row],[Last]]))</f>
        <v>JENKINS</v>
      </c>
      <c r="R41" t="str">
        <f>TEXT(tblroster[[#This Row],[ZIP]],"00000")</f>
        <v>24011</v>
      </c>
      <c r="S41" t="str">
        <f>"***-**-"&amp;RIGHT(tblroster[[#This Row],[SSN]],4)</f>
        <v>***-**-3639</v>
      </c>
      <c r="T41" t="str">
        <f>IF(OR(LEFT(tblroster[[#This Row],[SSN]],3)="000",LEFT(tblroster[[#This Row],[SSN]],3)="666",LEFT(tblroster[[#This Row],[SSN]],1)="9"),"REVIEW","OK")</f>
        <v>OK</v>
      </c>
      <c r="U41">
        <f>DATEDIF(tblroster[[#This Row],[DOB]],DATE(2026,10,1),"y")</f>
        <v>31</v>
      </c>
      <c r="V41" t="str">
        <f>_xlfn.XLOOKUP(tblroster[[#This Row],[State]],States!$A$2:$A$9,States!$B$2:$B$9,"UNKNOWN")</f>
        <v>Virginia</v>
      </c>
    </row>
    <row r="42" spans="1:22" x14ac:dyDescent="0.35">
      <c r="A42" t="s">
        <v>362</v>
      </c>
      <c r="B42" t="s">
        <v>363</v>
      </c>
      <c r="C42" t="s">
        <v>364</v>
      </c>
      <c r="D42" t="s">
        <v>365</v>
      </c>
      <c r="F42" t="s">
        <v>366</v>
      </c>
      <c r="G42" s="1">
        <v>25641</v>
      </c>
      <c r="H42" t="s">
        <v>367</v>
      </c>
      <c r="I42" t="s">
        <v>368</v>
      </c>
      <c r="J42" t="s">
        <v>72</v>
      </c>
      <c r="K42">
        <v>2116</v>
      </c>
      <c r="L42" t="s">
        <v>369</v>
      </c>
      <c r="M42" t="s">
        <v>370</v>
      </c>
      <c r="N42" s="1">
        <v>42629</v>
      </c>
      <c r="O42" t="s">
        <v>45</v>
      </c>
      <c r="P42" t="str">
        <f>TRIM(UPPER(tblroster[[#This Row],[First]]))</f>
        <v>TINA</v>
      </c>
      <c r="Q42" t="str">
        <f>TRIM(UPPER(tblroster[[#This Row],[Last]]))</f>
        <v>COWAN</v>
      </c>
      <c r="R42" t="str">
        <f>TEXT(tblroster[[#This Row],[ZIP]],"00000")</f>
        <v>02116</v>
      </c>
      <c r="S42" t="str">
        <f>"***-**-"&amp;RIGHT(tblroster[[#This Row],[SSN]],4)</f>
        <v>***-**-8168</v>
      </c>
      <c r="T42" t="str">
        <f>IF(OR(LEFT(tblroster[[#This Row],[SSN]],3)="000",LEFT(tblroster[[#This Row],[SSN]],3)="666",LEFT(tblroster[[#This Row],[SSN]],1)="9"),"REVIEW","OK")</f>
        <v>OK</v>
      </c>
      <c r="U42">
        <f>DATEDIF(tblroster[[#This Row],[DOB]],DATE(2026,10,1),"y")</f>
        <v>56</v>
      </c>
      <c r="V42" t="str">
        <f>_xlfn.XLOOKUP(tblroster[[#This Row],[State]],States!$A$2:$A$9,States!$B$2:$B$9,"UNKNOWN")</f>
        <v>Massachussetts</v>
      </c>
    </row>
    <row r="43" spans="1:22" x14ac:dyDescent="0.35">
      <c r="A43" t="s">
        <v>371</v>
      </c>
      <c r="B43" t="s">
        <v>372</v>
      </c>
      <c r="C43" t="s">
        <v>373</v>
      </c>
      <c r="D43" t="s">
        <v>374</v>
      </c>
      <c r="F43" t="s">
        <v>375</v>
      </c>
      <c r="G43" s="1">
        <v>32257</v>
      </c>
      <c r="H43" t="s">
        <v>376</v>
      </c>
      <c r="I43" t="s">
        <v>377</v>
      </c>
      <c r="J43" t="s">
        <v>31</v>
      </c>
      <c r="K43">
        <v>75074</v>
      </c>
      <c r="L43" t="s">
        <v>378</v>
      </c>
      <c r="M43" t="s">
        <v>379</v>
      </c>
      <c r="N43" s="1">
        <v>44014</v>
      </c>
      <c r="O43" t="s">
        <v>93</v>
      </c>
      <c r="P43" t="str">
        <f>TRIM(UPPER(tblroster[[#This Row],[First]]))</f>
        <v>ERIC</v>
      </c>
      <c r="Q43" t="str">
        <f>TRIM(UPPER(tblroster[[#This Row],[Last]]))</f>
        <v>CARNEY</v>
      </c>
      <c r="R43" t="str">
        <f>TEXT(tblroster[[#This Row],[ZIP]],"00000")</f>
        <v>75074</v>
      </c>
      <c r="S43" t="str">
        <f>"***-**-"&amp;RIGHT(tblroster[[#This Row],[SSN]],4)</f>
        <v>***-**-8850</v>
      </c>
      <c r="T43" t="str">
        <f>IF(OR(LEFT(tblroster[[#This Row],[SSN]],3)="000",LEFT(tblroster[[#This Row],[SSN]],3)="666",LEFT(tblroster[[#This Row],[SSN]],1)="9"),"REVIEW","OK")</f>
        <v>OK</v>
      </c>
      <c r="U43">
        <f>DATEDIF(tblroster[[#This Row],[DOB]],DATE(2026,10,1),"y")</f>
        <v>38</v>
      </c>
      <c r="V43" t="str">
        <f>_xlfn.XLOOKUP(tblroster[[#This Row],[State]],States!$A$2:$A$9,States!$B$2:$B$9,"UNKNOWN")</f>
        <v>Texas</v>
      </c>
    </row>
    <row r="44" spans="1:22" x14ac:dyDescent="0.35">
      <c r="A44" t="s">
        <v>380</v>
      </c>
      <c r="B44" t="s">
        <v>381</v>
      </c>
      <c r="D44" t="s">
        <v>382</v>
      </c>
      <c r="F44" t="s">
        <v>383</v>
      </c>
      <c r="G44" s="1">
        <v>28350</v>
      </c>
      <c r="H44" t="s">
        <v>384</v>
      </c>
      <c r="I44" t="s">
        <v>385</v>
      </c>
      <c r="J44" t="s">
        <v>31</v>
      </c>
      <c r="K44">
        <v>77065</v>
      </c>
      <c r="L44" t="s">
        <v>386</v>
      </c>
      <c r="M44" t="s">
        <v>387</v>
      </c>
      <c r="N44" s="1">
        <v>42741</v>
      </c>
      <c r="O44" t="s">
        <v>45</v>
      </c>
      <c r="P44" t="str">
        <f>TRIM(UPPER(tblroster[[#This Row],[First]]))</f>
        <v>RENÉE</v>
      </c>
      <c r="Q44" t="str">
        <f>TRIM(UPPER(tblroster[[#This Row],[Last]]))</f>
        <v>LEFÈVRE</v>
      </c>
      <c r="R44" t="str">
        <f>TEXT(tblroster[[#This Row],[ZIP]],"00000")</f>
        <v>77065</v>
      </c>
      <c r="S44" t="str">
        <f>"***-**-"&amp;RIGHT(tblroster[[#This Row],[SSN]],4)</f>
        <v>***-**-6382</v>
      </c>
      <c r="T44" t="str">
        <f>IF(OR(LEFT(tblroster[[#This Row],[SSN]],3)="000",LEFT(tblroster[[#This Row],[SSN]],3)="666",LEFT(tblroster[[#This Row],[SSN]],1)="9"),"REVIEW","OK")</f>
        <v>OK</v>
      </c>
      <c r="U44">
        <f>DATEDIF(tblroster[[#This Row],[DOB]],DATE(2026,10,1),"y")</f>
        <v>49</v>
      </c>
      <c r="V44" t="str">
        <f>_xlfn.XLOOKUP(tblroster[[#This Row],[State]],States!$A$2:$A$9,States!$B$2:$B$9,"UNKNOWN")</f>
        <v>Texas</v>
      </c>
    </row>
    <row r="45" spans="1:22" x14ac:dyDescent="0.35">
      <c r="A45" t="s">
        <v>388</v>
      </c>
      <c r="B45" t="s">
        <v>389</v>
      </c>
      <c r="C45" t="s">
        <v>390</v>
      </c>
      <c r="D45" t="s">
        <v>391</v>
      </c>
      <c r="F45" t="s">
        <v>392</v>
      </c>
      <c r="G45" s="1">
        <v>19568</v>
      </c>
      <c r="H45" t="s">
        <v>393</v>
      </c>
      <c r="I45" t="s">
        <v>394</v>
      </c>
      <c r="J45" t="s">
        <v>21</v>
      </c>
      <c r="K45">
        <v>16622</v>
      </c>
      <c r="L45" t="s">
        <v>395</v>
      </c>
      <c r="M45" t="s">
        <v>396</v>
      </c>
      <c r="N45" s="1">
        <v>44772</v>
      </c>
      <c r="O45" t="s">
        <v>34</v>
      </c>
      <c r="P45" t="str">
        <f>TRIM(UPPER(tblroster[[#This Row],[First]]))</f>
        <v>JUAN</v>
      </c>
      <c r="Q45" t="str">
        <f>TRIM(UPPER(tblroster[[#This Row],[Last]]))</f>
        <v>NELSON</v>
      </c>
      <c r="R45" t="str">
        <f>TEXT(tblroster[[#This Row],[ZIP]],"00000")</f>
        <v>16622</v>
      </c>
      <c r="S45" t="str">
        <f>"***-**-"&amp;RIGHT(tblroster[[#This Row],[SSN]],4)</f>
        <v>***-**-1929</v>
      </c>
      <c r="T45" t="str">
        <f>IF(OR(LEFT(tblroster[[#This Row],[SSN]],3)="000",LEFT(tblroster[[#This Row],[SSN]],3)="666",LEFT(tblroster[[#This Row],[SSN]],1)="9"),"REVIEW","OK")</f>
        <v>OK</v>
      </c>
      <c r="U45">
        <f>DATEDIF(tblroster[[#This Row],[DOB]],DATE(2026,10,1),"y")</f>
        <v>73</v>
      </c>
      <c r="V45" t="str">
        <f>_xlfn.XLOOKUP(tblroster[[#This Row],[State]],States!$A$2:$A$9,States!$B$2:$B$9,"UNKNOWN")</f>
        <v>Pennsylvania</v>
      </c>
    </row>
    <row r="46" spans="1:22" x14ac:dyDescent="0.35">
      <c r="A46" t="s">
        <v>397</v>
      </c>
      <c r="B46" t="s">
        <v>398</v>
      </c>
      <c r="C46" t="s">
        <v>399</v>
      </c>
      <c r="D46" t="s">
        <v>400</v>
      </c>
      <c r="E46" t="s">
        <v>401</v>
      </c>
      <c r="F46" t="s">
        <v>402</v>
      </c>
      <c r="G46" s="1">
        <v>25031</v>
      </c>
      <c r="H46" t="s">
        <v>403</v>
      </c>
      <c r="I46" t="s">
        <v>404</v>
      </c>
      <c r="J46" t="s">
        <v>53</v>
      </c>
      <c r="K46">
        <v>13202</v>
      </c>
      <c r="L46" t="s">
        <v>405</v>
      </c>
      <c r="M46" t="s">
        <v>406</v>
      </c>
      <c r="N46" s="1">
        <v>45376</v>
      </c>
      <c r="O46" t="s">
        <v>239</v>
      </c>
      <c r="P46" t="str">
        <f>TRIM(UPPER(tblroster[[#This Row],[First]]))</f>
        <v>BRADLEY</v>
      </c>
      <c r="Q46" t="str">
        <f>TRIM(UPPER(tblroster[[#This Row],[Last]]))</f>
        <v>TUCKER</v>
      </c>
      <c r="R46" t="str">
        <f>TEXT(tblroster[[#This Row],[ZIP]],"00000")</f>
        <v>13202</v>
      </c>
      <c r="S46" t="str">
        <f>"***-**-"&amp;RIGHT(tblroster[[#This Row],[SSN]],4)</f>
        <v>***-**-6212</v>
      </c>
      <c r="T46" t="str">
        <f>IF(OR(LEFT(tblroster[[#This Row],[SSN]],3)="000",LEFT(tblroster[[#This Row],[SSN]],3)="666",LEFT(tblroster[[#This Row],[SSN]],1)="9"),"REVIEW","OK")</f>
        <v>OK</v>
      </c>
      <c r="U46">
        <f>DATEDIF(tblroster[[#This Row],[DOB]],DATE(2026,10,1),"y")</f>
        <v>58</v>
      </c>
      <c r="V46" t="str">
        <f>_xlfn.XLOOKUP(tblroster[[#This Row],[State]],States!$A$2:$A$9,States!$B$2:$B$9,"UNKNOWN")</f>
        <v>New York</v>
      </c>
    </row>
    <row r="47" spans="1:22" x14ac:dyDescent="0.35">
      <c r="A47" t="s">
        <v>407</v>
      </c>
      <c r="B47" t="s">
        <v>408</v>
      </c>
      <c r="D47" t="s">
        <v>133</v>
      </c>
      <c r="F47" t="s">
        <v>409</v>
      </c>
      <c r="G47" s="1">
        <v>31574</v>
      </c>
      <c r="H47" t="s">
        <v>410</v>
      </c>
      <c r="I47" t="s">
        <v>411</v>
      </c>
      <c r="J47" t="s">
        <v>304</v>
      </c>
      <c r="K47">
        <v>8608</v>
      </c>
      <c r="L47" t="s">
        <v>412</v>
      </c>
      <c r="M47" t="s">
        <v>413</v>
      </c>
      <c r="N47" s="1">
        <v>45056</v>
      </c>
      <c r="O47" t="s">
        <v>93</v>
      </c>
      <c r="P47" t="str">
        <f>TRIM(UPPER(tblroster[[#This Row],[First]]))</f>
        <v>WILLIAM</v>
      </c>
      <c r="Q47" t="str">
        <f>TRIM(UPPER(tblroster[[#This Row],[Last]]))</f>
        <v>BAKER</v>
      </c>
      <c r="R47" t="str">
        <f>TEXT(tblroster[[#This Row],[ZIP]],"00000")</f>
        <v>08608</v>
      </c>
      <c r="S47" t="str">
        <f>"***-**-"&amp;RIGHT(tblroster[[#This Row],[SSN]],4)</f>
        <v>***-**-8057</v>
      </c>
      <c r="T47" t="str">
        <f>IF(OR(LEFT(tblroster[[#This Row],[SSN]],3)="000",LEFT(tblroster[[#This Row],[SSN]],3)="666",LEFT(tblroster[[#This Row],[SSN]],1)="9"),"REVIEW","OK")</f>
        <v>OK</v>
      </c>
      <c r="U47">
        <f>DATEDIF(tblroster[[#This Row],[DOB]],DATE(2026,10,1),"y")</f>
        <v>40</v>
      </c>
      <c r="V47" t="str">
        <f>_xlfn.XLOOKUP(tblroster[[#This Row],[State]],States!$A$2:$A$9,States!$B$2:$B$9,"UNKNOWN")</f>
        <v xml:space="preserve">	New Jersey</v>
      </c>
    </row>
    <row r="48" spans="1:22" x14ac:dyDescent="0.35">
      <c r="A48" t="s">
        <v>414</v>
      </c>
      <c r="B48" t="s">
        <v>66</v>
      </c>
      <c r="C48" t="s">
        <v>66</v>
      </c>
      <c r="D48" t="s">
        <v>415</v>
      </c>
      <c r="F48" t="s">
        <v>416</v>
      </c>
      <c r="G48" s="1">
        <v>30642</v>
      </c>
      <c r="H48" t="s">
        <v>417</v>
      </c>
      <c r="I48" t="s">
        <v>418</v>
      </c>
      <c r="J48" t="s">
        <v>21</v>
      </c>
      <c r="K48">
        <v>18101</v>
      </c>
      <c r="L48" t="s">
        <v>419</v>
      </c>
      <c r="M48" t="s">
        <v>420</v>
      </c>
      <c r="N48" s="1">
        <v>44305</v>
      </c>
      <c r="O48" t="s">
        <v>34</v>
      </c>
      <c r="P48" t="str">
        <f>TRIM(UPPER(tblroster[[#This Row],[First]]))</f>
        <v>RICHARD</v>
      </c>
      <c r="Q48" t="str">
        <f>TRIM(UPPER(tblroster[[#This Row],[Last]]))</f>
        <v>HENSON</v>
      </c>
      <c r="R48" t="str">
        <f>TEXT(tblroster[[#This Row],[ZIP]],"00000")</f>
        <v>18101</v>
      </c>
      <c r="S48" t="str">
        <f>"***-**-"&amp;RIGHT(tblroster[[#This Row],[SSN]],4)</f>
        <v>***-**-2194</v>
      </c>
      <c r="T48" t="str">
        <f>IF(OR(LEFT(tblroster[[#This Row],[SSN]],3)="000",LEFT(tblroster[[#This Row],[SSN]],3)="666",LEFT(tblroster[[#This Row],[SSN]],1)="9"),"REVIEW","OK")</f>
        <v>OK</v>
      </c>
      <c r="U48">
        <f>DATEDIF(tblroster[[#This Row],[DOB]],DATE(2026,10,1),"y")</f>
        <v>42</v>
      </c>
      <c r="V48" t="str">
        <f>_xlfn.XLOOKUP(tblroster[[#This Row],[State]],States!$A$2:$A$9,States!$B$2:$B$9,"UNKNOWN")</f>
        <v>Pennsylvania</v>
      </c>
    </row>
    <row r="49" spans="1:22" x14ac:dyDescent="0.35">
      <c r="A49" t="s">
        <v>421</v>
      </c>
      <c r="B49" t="s">
        <v>372</v>
      </c>
      <c r="C49" t="s">
        <v>422</v>
      </c>
      <c r="D49" t="s">
        <v>97</v>
      </c>
      <c r="F49" t="s">
        <v>423</v>
      </c>
      <c r="G49" s="1">
        <v>23080</v>
      </c>
      <c r="H49" t="s">
        <v>424</v>
      </c>
      <c r="I49" t="s">
        <v>425</v>
      </c>
      <c r="J49" t="s">
        <v>81</v>
      </c>
      <c r="K49">
        <v>23035</v>
      </c>
      <c r="L49" t="s">
        <v>426</v>
      </c>
      <c r="M49" t="s">
        <v>427</v>
      </c>
      <c r="N49" s="1">
        <v>43670</v>
      </c>
      <c r="O49" t="s">
        <v>24</v>
      </c>
      <c r="P49" t="str">
        <f>TRIM(UPPER(tblroster[[#This Row],[First]]))</f>
        <v>ERIC</v>
      </c>
      <c r="Q49" t="str">
        <f>TRIM(UPPER(tblroster[[#This Row],[Last]]))</f>
        <v>NOLAN</v>
      </c>
      <c r="R49" t="str">
        <f>TEXT(tblroster[[#This Row],[ZIP]],"00000")</f>
        <v>23035</v>
      </c>
      <c r="S49" t="str">
        <f>"***-**-"&amp;RIGHT(tblroster[[#This Row],[SSN]],4)</f>
        <v>***-**-9095</v>
      </c>
      <c r="T49" t="str">
        <f>IF(OR(LEFT(tblroster[[#This Row],[SSN]],3)="000",LEFT(tblroster[[#This Row],[SSN]],3)="666",LEFT(tblroster[[#This Row],[SSN]],1)="9"),"REVIEW","OK")</f>
        <v>OK</v>
      </c>
      <c r="U49">
        <f>DATEDIF(tblroster[[#This Row],[DOB]],DATE(2026,10,1),"y")</f>
        <v>63</v>
      </c>
      <c r="V49" t="str">
        <f>_xlfn.XLOOKUP(tblroster[[#This Row],[State]],States!$A$2:$A$9,States!$B$2:$B$9,"UNKNOWN")</f>
        <v>Virginia</v>
      </c>
    </row>
    <row r="50" spans="1:22" x14ac:dyDescent="0.35">
      <c r="A50" t="s">
        <v>428</v>
      </c>
      <c r="B50" t="s">
        <v>429</v>
      </c>
      <c r="D50" t="s">
        <v>430</v>
      </c>
      <c r="F50" t="s">
        <v>431</v>
      </c>
      <c r="G50" s="1">
        <v>35586</v>
      </c>
      <c r="H50" t="s">
        <v>432</v>
      </c>
      <c r="I50" t="s">
        <v>329</v>
      </c>
      <c r="J50" t="s">
        <v>53</v>
      </c>
      <c r="K50">
        <v>12210</v>
      </c>
      <c r="L50" t="s">
        <v>433</v>
      </c>
      <c r="M50" t="s">
        <v>434</v>
      </c>
      <c r="N50" s="1">
        <v>46059</v>
      </c>
      <c r="O50" t="s">
        <v>129</v>
      </c>
      <c r="P50" t="str">
        <f>TRIM(UPPER(tblroster[[#This Row],[First]]))</f>
        <v>DANIELLE</v>
      </c>
      <c r="Q50" t="str">
        <f>TRIM(UPPER(tblroster[[#This Row],[Last]]))</f>
        <v>GARCIA</v>
      </c>
      <c r="R50" t="str">
        <f>TEXT(tblroster[[#This Row],[ZIP]],"00000")</f>
        <v>12210</v>
      </c>
      <c r="S50" t="str">
        <f>"***-**-"&amp;RIGHT(tblroster[[#This Row],[SSN]],4)</f>
        <v>***-**-9864</v>
      </c>
      <c r="T50" t="str">
        <f>IF(OR(LEFT(tblroster[[#This Row],[SSN]],3)="000",LEFT(tblroster[[#This Row],[SSN]],3)="666",LEFT(tblroster[[#This Row],[SSN]],1)="9"),"REVIEW","OK")</f>
        <v>OK</v>
      </c>
      <c r="U50">
        <f>DATEDIF(tblroster[[#This Row],[DOB]],DATE(2026,10,1),"y")</f>
        <v>29</v>
      </c>
      <c r="V50" t="str">
        <f>_xlfn.XLOOKUP(tblroster[[#This Row],[State]],States!$A$2:$A$9,States!$B$2:$B$9,"UNKNOWN")</f>
        <v>New York</v>
      </c>
    </row>
    <row r="51" spans="1:22" x14ac:dyDescent="0.35">
      <c r="A51" t="s">
        <v>435</v>
      </c>
      <c r="B51" t="s">
        <v>436</v>
      </c>
      <c r="D51" t="s">
        <v>437</v>
      </c>
      <c r="F51" t="s">
        <v>438</v>
      </c>
      <c r="G51" s="1">
        <v>30399</v>
      </c>
      <c r="H51" t="s">
        <v>439</v>
      </c>
      <c r="I51" t="s">
        <v>440</v>
      </c>
      <c r="J51" t="s">
        <v>42</v>
      </c>
      <c r="K51">
        <v>33130</v>
      </c>
      <c r="L51" t="s">
        <v>441</v>
      </c>
      <c r="M51" t="s">
        <v>442</v>
      </c>
      <c r="N51" s="1">
        <v>45318</v>
      </c>
      <c r="O51" t="s">
        <v>64</v>
      </c>
      <c r="P51" t="str">
        <f>TRIM(UPPER(tblroster[[#This Row],[First]]))</f>
        <v>BENJAMIN</v>
      </c>
      <c r="Q51" t="str">
        <f>TRIM(UPPER(tblroster[[#This Row],[Last]]))</f>
        <v>WELCH</v>
      </c>
      <c r="R51" t="str">
        <f>TEXT(tblroster[[#This Row],[ZIP]],"00000")</f>
        <v>33130</v>
      </c>
      <c r="S51" t="str">
        <f>"***-**-"&amp;RIGHT(tblroster[[#This Row],[SSN]],4)</f>
        <v>***-**-4559</v>
      </c>
      <c r="T51" t="str">
        <f>IF(OR(LEFT(tblroster[[#This Row],[SSN]],3)="000",LEFT(tblroster[[#This Row],[SSN]],3)="666",LEFT(tblroster[[#This Row],[SSN]],1)="9"),"REVIEW","OK")</f>
        <v>OK</v>
      </c>
      <c r="U51">
        <f>DATEDIF(tblroster[[#This Row],[DOB]],DATE(2026,10,1),"y")</f>
        <v>43</v>
      </c>
      <c r="V51" t="str">
        <f>_xlfn.XLOOKUP(tblroster[[#This Row],[State]],States!$A$2:$A$9,States!$B$2:$B$9,"UNKNOWN")</f>
        <v>Florida</v>
      </c>
    </row>
    <row r="52" spans="1:22" x14ac:dyDescent="0.35">
      <c r="A52" t="s">
        <v>443</v>
      </c>
      <c r="B52" t="s">
        <v>444</v>
      </c>
      <c r="D52" t="s">
        <v>445</v>
      </c>
      <c r="F52" t="s">
        <v>446</v>
      </c>
      <c r="G52" s="1">
        <v>30204</v>
      </c>
      <c r="H52" t="s">
        <v>447</v>
      </c>
      <c r="I52" t="s">
        <v>448</v>
      </c>
      <c r="J52" t="s">
        <v>21</v>
      </c>
      <c r="K52">
        <v>17347</v>
      </c>
      <c r="L52" t="s">
        <v>449</v>
      </c>
      <c r="M52" t="s">
        <v>450</v>
      </c>
      <c r="N52" s="1">
        <v>44513</v>
      </c>
      <c r="O52" t="s">
        <v>24</v>
      </c>
      <c r="P52" t="str">
        <f>TRIM(UPPER(tblroster[[#This Row],[First]]))</f>
        <v>TODD</v>
      </c>
      <c r="Q52" t="str">
        <f>TRIM(UPPER(tblroster[[#This Row],[Last]]))</f>
        <v>TAYLOR</v>
      </c>
      <c r="R52" t="str">
        <f>TEXT(tblroster[[#This Row],[ZIP]],"00000")</f>
        <v>17347</v>
      </c>
      <c r="S52" t="str">
        <f>"***-**-"&amp;RIGHT(tblroster[[#This Row],[SSN]],4)</f>
        <v>***-**-3268</v>
      </c>
      <c r="T52" t="str">
        <f>IF(OR(LEFT(tblroster[[#This Row],[SSN]],3)="000",LEFT(tblroster[[#This Row],[SSN]],3)="666",LEFT(tblroster[[#This Row],[SSN]],1)="9"),"REVIEW","OK")</f>
        <v>OK</v>
      </c>
      <c r="U52">
        <f>DATEDIF(tblroster[[#This Row],[DOB]],DATE(2026,10,1),"y")</f>
        <v>44</v>
      </c>
      <c r="V52" t="str">
        <f>_xlfn.XLOOKUP(tblroster[[#This Row],[State]],States!$A$2:$A$9,States!$B$2:$B$9,"UNKNOWN")</f>
        <v>Pennsylvania</v>
      </c>
    </row>
    <row r="53" spans="1:22" x14ac:dyDescent="0.35">
      <c r="A53" t="s">
        <v>451</v>
      </c>
      <c r="B53" t="s">
        <v>436</v>
      </c>
      <c r="D53" t="s">
        <v>452</v>
      </c>
      <c r="E53" t="s">
        <v>453</v>
      </c>
      <c r="F53" t="s">
        <v>454</v>
      </c>
      <c r="G53" s="1">
        <v>19798</v>
      </c>
      <c r="H53" t="s">
        <v>271</v>
      </c>
      <c r="I53" t="s">
        <v>41</v>
      </c>
      <c r="J53" t="s">
        <v>42</v>
      </c>
      <c r="K53">
        <v>32801</v>
      </c>
      <c r="L53" t="s">
        <v>455</v>
      </c>
      <c r="M53" t="s">
        <v>456</v>
      </c>
      <c r="N53" s="1">
        <v>43878</v>
      </c>
      <c r="O53" t="s">
        <v>24</v>
      </c>
      <c r="P53" t="str">
        <f>TRIM(UPPER(tblroster[[#This Row],[First]]))</f>
        <v>BENJAMIN</v>
      </c>
      <c r="Q53" t="str">
        <f>TRIM(UPPER(tblroster[[#This Row],[Last]]))</f>
        <v>YOUNG</v>
      </c>
      <c r="R53" t="str">
        <f>TEXT(tblroster[[#This Row],[ZIP]],"00000")</f>
        <v>32801</v>
      </c>
      <c r="S53" t="str">
        <f>"***-**-"&amp;RIGHT(tblroster[[#This Row],[SSN]],4)</f>
        <v>***-**-9950</v>
      </c>
      <c r="T53" t="str">
        <f>IF(OR(LEFT(tblroster[[#This Row],[SSN]],3)="000",LEFT(tblroster[[#This Row],[SSN]],3)="666",LEFT(tblroster[[#This Row],[SSN]],1)="9"),"REVIEW","OK")</f>
        <v>OK</v>
      </c>
      <c r="U53">
        <f>DATEDIF(tblroster[[#This Row],[DOB]],DATE(2026,10,1),"y")</f>
        <v>72</v>
      </c>
      <c r="V53" t="str">
        <f>_xlfn.XLOOKUP(tblroster[[#This Row],[State]],States!$A$2:$A$9,States!$B$2:$B$9,"UNKNOWN")</f>
        <v>Florida</v>
      </c>
    </row>
    <row r="54" spans="1:22" x14ac:dyDescent="0.35">
      <c r="A54" t="s">
        <v>457</v>
      </c>
      <c r="B54" t="s">
        <v>458</v>
      </c>
      <c r="D54" t="s">
        <v>459</v>
      </c>
      <c r="F54" t="s">
        <v>460</v>
      </c>
      <c r="G54" s="1">
        <v>22450</v>
      </c>
      <c r="H54" t="s">
        <v>461</v>
      </c>
      <c r="I54" t="s">
        <v>90</v>
      </c>
      <c r="J54" t="s">
        <v>53</v>
      </c>
      <c r="K54">
        <v>14216</v>
      </c>
      <c r="L54" t="s">
        <v>462</v>
      </c>
      <c r="M54" t="s">
        <v>463</v>
      </c>
      <c r="N54" s="1">
        <v>45577</v>
      </c>
      <c r="O54" t="s">
        <v>34</v>
      </c>
      <c r="P54" t="str">
        <f>TRIM(UPPER(tblroster[[#This Row],[First]]))</f>
        <v>BONNIE</v>
      </c>
      <c r="Q54" t="str">
        <f>TRIM(UPPER(tblroster[[#This Row],[Last]]))</f>
        <v>WHITNEY</v>
      </c>
      <c r="R54" t="str">
        <f>TEXT(tblroster[[#This Row],[ZIP]],"00000")</f>
        <v>14216</v>
      </c>
      <c r="S54" t="str">
        <f>"***-**-"&amp;RIGHT(tblroster[[#This Row],[SSN]],4)</f>
        <v>***-**-5282</v>
      </c>
      <c r="T54" t="str">
        <f>IF(OR(LEFT(tblroster[[#This Row],[SSN]],3)="000",LEFT(tblroster[[#This Row],[SSN]],3)="666",LEFT(tblroster[[#This Row],[SSN]],1)="9"),"REVIEW","OK")</f>
        <v>OK</v>
      </c>
      <c r="U54">
        <f>DATEDIF(tblroster[[#This Row],[DOB]],DATE(2026,10,1),"y")</f>
        <v>65</v>
      </c>
      <c r="V54" t="str">
        <f>_xlfn.XLOOKUP(tblroster[[#This Row],[State]],States!$A$2:$A$9,States!$B$2:$B$9,"UNKNOWN")</f>
        <v>New York</v>
      </c>
    </row>
    <row r="55" spans="1:22" x14ac:dyDescent="0.35">
      <c r="A55" t="s">
        <v>464</v>
      </c>
      <c r="B55" t="s">
        <v>250</v>
      </c>
      <c r="D55" t="s">
        <v>465</v>
      </c>
      <c r="F55" t="s">
        <v>466</v>
      </c>
      <c r="G55" s="1">
        <v>22680</v>
      </c>
      <c r="H55" t="s">
        <v>467</v>
      </c>
      <c r="I55" t="s">
        <v>468</v>
      </c>
      <c r="J55" t="s">
        <v>72</v>
      </c>
      <c r="K55">
        <v>2537</v>
      </c>
      <c r="L55" t="s">
        <v>469</v>
      </c>
      <c r="M55" t="s">
        <v>470</v>
      </c>
      <c r="N55" s="1">
        <v>44220</v>
      </c>
      <c r="O55" t="s">
        <v>34</v>
      </c>
      <c r="P55" t="str">
        <f>TRIM(UPPER(tblroster[[#This Row],[First]]))</f>
        <v>ROBERT</v>
      </c>
      <c r="Q55" t="str">
        <f>TRIM(UPPER(tblroster[[#This Row],[Last]]))</f>
        <v>KEITH</v>
      </c>
      <c r="R55" t="str">
        <f>TEXT(tblroster[[#This Row],[ZIP]],"00000")</f>
        <v>02537</v>
      </c>
      <c r="S55" t="str">
        <f>"***-**-"&amp;RIGHT(tblroster[[#This Row],[SSN]],4)</f>
        <v>***-**-7924</v>
      </c>
      <c r="T55" t="str">
        <f>IF(OR(LEFT(tblroster[[#This Row],[SSN]],3)="000",LEFT(tblroster[[#This Row],[SSN]],3)="666",LEFT(tblroster[[#This Row],[SSN]],1)="9"),"REVIEW","OK")</f>
        <v>OK</v>
      </c>
      <c r="U55">
        <f>DATEDIF(tblroster[[#This Row],[DOB]],DATE(2026,10,1),"y")</f>
        <v>64</v>
      </c>
      <c r="V55" t="str">
        <f>_xlfn.XLOOKUP(tblroster[[#This Row],[State]],States!$A$2:$A$9,States!$B$2:$B$9,"UNKNOWN")</f>
        <v>Massachussetts</v>
      </c>
    </row>
    <row r="56" spans="1:22" x14ac:dyDescent="0.35">
      <c r="A56" t="s">
        <v>471</v>
      </c>
      <c r="B56" t="s">
        <v>472</v>
      </c>
      <c r="C56" t="s">
        <v>473</v>
      </c>
      <c r="D56" t="s">
        <v>474</v>
      </c>
      <c r="F56" t="s">
        <v>475</v>
      </c>
      <c r="G56" s="1">
        <v>28458</v>
      </c>
      <c r="H56" t="s">
        <v>476</v>
      </c>
      <c r="I56" t="s">
        <v>477</v>
      </c>
      <c r="J56" t="s">
        <v>42</v>
      </c>
      <c r="K56">
        <v>33602</v>
      </c>
      <c r="L56" t="s">
        <v>478</v>
      </c>
      <c r="M56" t="s">
        <v>479</v>
      </c>
      <c r="N56" s="1">
        <v>45370</v>
      </c>
      <c r="O56" t="s">
        <v>24</v>
      </c>
      <c r="P56" t="str">
        <f>TRIM(UPPER(tblroster[[#This Row],[First]]))</f>
        <v>LEAH</v>
      </c>
      <c r="Q56" t="str">
        <f>TRIM(UPPER(tblroster[[#This Row],[Last]]))</f>
        <v>ANDERSON</v>
      </c>
      <c r="R56" t="str">
        <f>TEXT(tblroster[[#This Row],[ZIP]],"00000")</f>
        <v>33602</v>
      </c>
      <c r="S56" t="str">
        <f>"***-**-"&amp;RIGHT(tblroster[[#This Row],[SSN]],4)</f>
        <v>***-**-1376</v>
      </c>
      <c r="T56" t="str">
        <f>IF(OR(LEFT(tblroster[[#This Row],[SSN]],3)="000",LEFT(tblroster[[#This Row],[SSN]],3)="666",LEFT(tblroster[[#This Row],[SSN]],1)="9"),"REVIEW","OK")</f>
        <v>OK</v>
      </c>
      <c r="U56">
        <f>DATEDIF(tblroster[[#This Row],[DOB]],DATE(2026,10,1),"y")</f>
        <v>48</v>
      </c>
      <c r="V56" t="str">
        <f>_xlfn.XLOOKUP(tblroster[[#This Row],[State]],States!$A$2:$A$9,States!$B$2:$B$9,"UNKNOWN")</f>
        <v>Florida</v>
      </c>
    </row>
    <row r="57" spans="1:22" x14ac:dyDescent="0.35">
      <c r="A57" t="s">
        <v>480</v>
      </c>
      <c r="B57" t="s">
        <v>481</v>
      </c>
      <c r="D57" t="s">
        <v>184</v>
      </c>
      <c r="F57" t="s">
        <v>482</v>
      </c>
      <c r="G57" s="1">
        <v>35924</v>
      </c>
      <c r="H57" t="s">
        <v>186</v>
      </c>
      <c r="I57" t="s">
        <v>187</v>
      </c>
      <c r="J57" t="s">
        <v>21</v>
      </c>
      <c r="K57">
        <v>15213</v>
      </c>
      <c r="L57" t="s">
        <v>483</v>
      </c>
      <c r="M57" t="s">
        <v>484</v>
      </c>
      <c r="N57" s="1">
        <v>43792</v>
      </c>
      <c r="O57" t="s">
        <v>93</v>
      </c>
      <c r="P57" t="str">
        <f>TRIM(UPPER(tblroster[[#This Row],[First]]))</f>
        <v>JENNIFER</v>
      </c>
      <c r="Q57" t="str">
        <f>TRIM(UPPER(tblroster[[#This Row],[Last]]))</f>
        <v>OWENS</v>
      </c>
      <c r="R57" t="str">
        <f>TEXT(tblroster[[#This Row],[ZIP]],"00000")</f>
        <v>15213</v>
      </c>
      <c r="S57" t="str">
        <f>"***-**-"&amp;RIGHT(tblroster[[#This Row],[SSN]],4)</f>
        <v>***-**-8780</v>
      </c>
      <c r="T57" t="str">
        <f>IF(OR(LEFT(tblroster[[#This Row],[SSN]],3)="000",LEFT(tblroster[[#This Row],[SSN]],3)="666",LEFT(tblroster[[#This Row],[SSN]],1)="9"),"REVIEW","OK")</f>
        <v>OK</v>
      </c>
      <c r="U57">
        <f>DATEDIF(tblroster[[#This Row],[DOB]],DATE(2026,10,1),"y")</f>
        <v>28</v>
      </c>
      <c r="V57" t="str">
        <f>_xlfn.XLOOKUP(tblroster[[#This Row],[State]],States!$A$2:$A$9,States!$B$2:$B$9,"UNKNOWN")</f>
        <v>Pennsylvania</v>
      </c>
    </row>
  </sheetData>
  <conditionalFormatting sqref="T58:T1048576">
    <cfRule type="cellIs" dxfId="32" priority="9" operator="equal">
      <formula>"REVIEW"</formula>
    </cfRule>
  </conditionalFormatting>
  <conditionalFormatting sqref="T2:T57">
    <cfRule type="cellIs" dxfId="0" priority="1" operator="equal">
      <formula>"REVIEW"</formula>
    </cfRule>
  </conditionalFormatting>
  <pageMargins left="0.75" right="0.75" top="1" bottom="1" header="0.5" footer="0.5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A0BF7-EEC1-4363-95D1-7A335B546F3F}">
  <sheetPr codeName="Sheet3"/>
  <dimension ref="A1:C9"/>
  <sheetViews>
    <sheetView workbookViewId="0">
      <selection activeCell="B9" sqref="B9"/>
    </sheetView>
  </sheetViews>
  <sheetFormatPr defaultRowHeight="14.5" x14ac:dyDescent="0.35"/>
  <sheetData>
    <row r="1" spans="1:3" x14ac:dyDescent="0.35">
      <c r="A1" t="s">
        <v>491</v>
      </c>
      <c r="B1" t="s">
        <v>492</v>
      </c>
    </row>
    <row r="2" spans="1:3" x14ac:dyDescent="0.35">
      <c r="A2" t="s">
        <v>101</v>
      </c>
      <c r="B2" t="s">
        <v>493</v>
      </c>
    </row>
    <row r="3" spans="1:3" x14ac:dyDescent="0.35">
      <c r="A3" t="s">
        <v>42</v>
      </c>
      <c r="B3" t="s">
        <v>494</v>
      </c>
    </row>
    <row r="4" spans="1:3" x14ac:dyDescent="0.35">
      <c r="A4" t="s">
        <v>72</v>
      </c>
      <c r="B4" t="s">
        <v>495</v>
      </c>
    </row>
    <row r="5" spans="1:3" ht="29" x14ac:dyDescent="0.35">
      <c r="A5" t="s">
        <v>304</v>
      </c>
      <c r="B5" s="4" t="s">
        <v>496</v>
      </c>
      <c r="C5" s="4"/>
    </row>
    <row r="6" spans="1:3" x14ac:dyDescent="0.35">
      <c r="A6" t="s">
        <v>53</v>
      </c>
      <c r="B6" t="s">
        <v>497</v>
      </c>
    </row>
    <row r="7" spans="1:3" x14ac:dyDescent="0.35">
      <c r="A7" t="s">
        <v>21</v>
      </c>
      <c r="B7" t="s">
        <v>498</v>
      </c>
    </row>
    <row r="8" spans="1:3" x14ac:dyDescent="0.35">
      <c r="A8" t="s">
        <v>31</v>
      </c>
      <c r="B8" t="s">
        <v>499</v>
      </c>
    </row>
    <row r="9" spans="1:3" x14ac:dyDescent="0.35">
      <c r="A9" t="s">
        <v>81</v>
      </c>
      <c r="B9" t="s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Roster</vt:lpstr>
      <vt:lpstr>States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SYNTHETIC - NOT REAL</dc:title>
  <dc:subject>SYNTHETIC - NOT REAL</dc:subject>
  <dc:creator>BreachLens synthetic generator</dc:creator>
  <dc:description>SYNTHETIC - NOT REAL. Synthetic test export dated 2026-09-30.</dc:description>
  <cp:lastModifiedBy>vishnu.k. menon</cp:lastModifiedBy>
  <dcterms:created xsi:type="dcterms:W3CDTF">2026-09-30T09:00:00Z</dcterms:created>
  <dcterms:modified xsi:type="dcterms:W3CDTF">2026-10-19T17:09:16Z</dcterms:modified>
</cp:coreProperties>
</file>